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giovannini.eduardogmail.com/Desktop/edu_price_analysis/02_Models/"/>
    </mc:Choice>
  </mc:AlternateContent>
  <xr:revisionPtr revIDLastSave="0" documentId="13_ncr:1_{6B2CBA67-A415-C143-9065-189F33077838}" xr6:coauthVersionLast="47" xr6:coauthVersionMax="47" xr10:uidLastSave="{00000000-0000-0000-0000-000000000000}"/>
  <bookViews>
    <workbookView xWindow="160" yWindow="780" windowWidth="25360" windowHeight="20660" activeTab="2" xr2:uid="{00000000-000D-0000-FFFF-FFFF00000000}"/>
  </bookViews>
  <sheets>
    <sheet name="Terminal IIP" sheetId="1" r:id="rId1"/>
    <sheet name="Registro de Compras" sheetId="2" r:id="rId2"/>
    <sheet name="Início" sheetId="3" r:id="rId3"/>
    <sheet name="Resumo Executivo" sheetId="4" r:id="rId4"/>
    <sheet name="Insights e Tendências" sheetId="5" r:id="rId5"/>
    <sheet name="Revisão de Categoria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6" l="1"/>
  <c r="D13" i="6"/>
  <c r="C13" i="6"/>
  <c r="B13" i="6"/>
  <c r="F12" i="6"/>
  <c r="D12" i="6"/>
  <c r="C12" i="6"/>
  <c r="B12" i="6"/>
  <c r="F11" i="6"/>
  <c r="D11" i="6"/>
  <c r="C11" i="6"/>
  <c r="B11" i="6"/>
  <c r="F10" i="6"/>
  <c r="D10" i="6"/>
  <c r="C10" i="6"/>
  <c r="B10" i="6"/>
  <c r="F9" i="6"/>
  <c r="D9" i="6"/>
  <c r="C9" i="6"/>
  <c r="B9" i="6"/>
  <c r="F8" i="6"/>
  <c r="D8" i="6"/>
  <c r="C8" i="6"/>
  <c r="B8" i="6"/>
  <c r="A4" i="6"/>
  <c r="C15" i="5" a="1"/>
  <c r="C15" i="5" s="1"/>
  <c r="C14" i="5" a="1"/>
  <c r="C14" i="5" s="1"/>
  <c r="C13" i="5" a="1"/>
  <c r="C13" i="5" s="1"/>
  <c r="C12" i="5" a="1"/>
  <c r="C12" i="5" s="1"/>
  <c r="C11" i="5" a="1"/>
  <c r="C11" i="5" s="1"/>
  <c r="C39" i="5"/>
  <c r="B39" i="5"/>
  <c r="A39" i="5"/>
  <c r="C38" i="5"/>
  <c r="B38" i="5"/>
  <c r="A38" i="5"/>
  <c r="C37" i="5"/>
  <c r="B37" i="5"/>
  <c r="A37" i="5"/>
  <c r="C36" i="5"/>
  <c r="B36" i="5"/>
  <c r="A36" i="5"/>
  <c r="C35" i="5"/>
  <c r="B35" i="5"/>
  <c r="A35" i="5"/>
  <c r="C34" i="5"/>
  <c r="B34" i="5"/>
  <c r="A34" i="5"/>
  <c r="C4" i="4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E12" i="6" s="1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E11" i="6" s="1"/>
  <c r="G3187" i="2"/>
  <c r="G3186" i="2"/>
  <c r="G3185" i="2"/>
  <c r="E10" i="6" s="1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E13" i="6" s="1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E8" i="6" s="1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E9" i="6" s="1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B14" i="5" s="1" a="1"/>
  <c r="B14" i="5" s="1"/>
  <c r="G9" i="2"/>
  <c r="G8" i="2"/>
  <c r="G7" i="2"/>
  <c r="G6" i="2"/>
  <c r="G5" i="2"/>
  <c r="B15" i="5" s="1" a="1"/>
  <c r="B15" i="5" s="1"/>
  <c r="I33" i="1"/>
  <c r="D39" i="5" s="1"/>
  <c r="I32" i="1"/>
  <c r="D38" i="5" s="1"/>
  <c r="I31" i="1"/>
  <c r="D37" i="5" s="1"/>
  <c r="I30" i="1"/>
  <c r="D36" i="5" s="1"/>
  <c r="I29" i="1"/>
  <c r="D35" i="5" s="1"/>
  <c r="I28" i="1"/>
  <c r="D34" i="5" s="1"/>
  <c r="F15" i="1"/>
  <c r="D15" i="1"/>
  <c r="G14" i="1"/>
  <c r="G13" i="1"/>
  <c r="G12" i="1"/>
  <c r="G11" i="1"/>
  <c r="E11" i="1"/>
  <c r="E12" i="1" s="1"/>
  <c r="E13" i="1" s="1"/>
  <c r="E14" i="1" s="1"/>
  <c r="C11" i="1"/>
  <c r="C12" i="1" s="1"/>
  <c r="C13" i="1" s="1"/>
  <c r="C14" i="1" s="1"/>
  <c r="G10" i="1"/>
  <c r="D4" i="6" l="1"/>
  <c r="B11" i="5" a="1"/>
  <c r="B11" i="5" s="1"/>
  <c r="B13" i="5" a="1"/>
  <c r="B13" i="5" s="1"/>
  <c r="D14" i="5" s="1"/>
  <c r="B29" i="5"/>
  <c r="C22" i="1"/>
  <c r="B12" i="5" a="1"/>
  <c r="B12" i="5" s="1"/>
  <c r="D13" i="5" s="1"/>
  <c r="G15" i="1"/>
  <c r="B25" i="5"/>
  <c r="B28" i="5"/>
  <c r="B26" i="5"/>
  <c r="C21" i="1"/>
  <c r="D15" i="5"/>
  <c r="C19" i="1"/>
  <c r="C24" i="1" s="1"/>
  <c r="A4" i="4"/>
  <c r="E4" i="4" s="1"/>
  <c r="C20" i="1"/>
  <c r="C23" i="1"/>
  <c r="B27" i="5"/>
  <c r="C15" i="1"/>
  <c r="B6" i="1"/>
  <c r="G4" i="4" s="1"/>
  <c r="E15" i="1"/>
  <c r="E6" i="1"/>
  <c r="D12" i="5" l="1"/>
  <c r="C28" i="5"/>
  <c r="H6" i="1"/>
  <c r="D23" i="1"/>
  <c r="D21" i="1"/>
  <c r="D22" i="1"/>
  <c r="D19" i="1"/>
  <c r="C25" i="5"/>
  <c r="C26" i="5"/>
  <c r="C27" i="5"/>
  <c r="C29" i="5"/>
  <c r="D20" i="1"/>
  <c r="D2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<sst xmlns="http://schemas.openxmlformats.org/spreadsheetml/2006/main" count="18011" uniqueCount="5611">
  <si>
    <t xml:space="preserve"> ■ BLOOMBERG PERSONAL INFLATION TERMINAL (IIP) — REAL-TIME MONITOR</t>
  </si>
  <si>
    <t xml:space="preserve">   STATUS: ACTIVE | ACCOUNT: PORTFOLIO MAIN | BASE_YEAR: 2022 | MARKET_BENCHMARK: IPCA_IPB</t>
  </si>
  <si>
    <t>SUA INFLAÇÃO ACUMULADA (22-26)</t>
  </si>
  <si>
    <t>INFLAÇÃO MERCADO (22-26)</t>
  </si>
  <si>
    <t>TOTAL GASTO HISTÓRICO REAL</t>
  </si>
  <si>
    <t xml:space="preserve"> 1. ÍNDICES DE INFLAÇÃO ACUMULADA E HISTÓRICO ANUAL</t>
  </si>
  <si>
    <t xml:space="preserve"> ■ SCENARIO SIMULATION 2027</t>
  </si>
  <si>
    <t>Ano</t>
  </si>
  <si>
    <t>Seu Índice (IIP)</t>
  </si>
  <si>
    <t>Variação IIP (YoY)</t>
  </si>
  <si>
    <t>Índice Mercado</t>
  </si>
  <si>
    <t>Variação Mercado (YoY)</t>
  </si>
  <si>
    <t>Diferença (pp)</t>
  </si>
  <si>
    <t>SELECT SCENARIO:</t>
  </si>
  <si>
    <t>Conservador</t>
  </si>
  <si>
    <t>Scenario</t>
  </si>
  <si>
    <t>IIP Rate</t>
  </si>
  <si>
    <t>Market Rate</t>
  </si>
  <si>
    <t>Otimista</t>
  </si>
  <si>
    <t>Pessimista</t>
  </si>
  <si>
    <t xml:space="preserve"> 2. COMPOSIÇÃO DE GASTOS POR CATEGORIA (SOMASE)</t>
  </si>
  <si>
    <t>Categoria</t>
  </si>
  <si>
    <t>Total Gasto Real</t>
  </si>
  <si>
    <t>Participação (%)</t>
  </si>
  <si>
    <t>Alimentação e Bebidas</t>
  </si>
  <si>
    <t>Saúde e Cuidados Pessoais</t>
  </si>
  <si>
    <t>Serviços e Entregas</t>
  </si>
  <si>
    <t>Habitação e Construção</t>
  </si>
  <si>
    <t>Transporte e Automotivo</t>
  </si>
  <si>
    <t>Total Geral</t>
  </si>
  <si>
    <t xml:space="preserve"> 3. MONITORAMENTO DE PREÇOS — ITENS CHAVE (TICKER SYSTEM)</t>
  </si>
  <si>
    <t>Produto / Item</t>
  </si>
  <si>
    <t>Preço 2022</t>
  </si>
  <si>
    <t>Preço 2023</t>
  </si>
  <si>
    <t>Preço 2024</t>
  </si>
  <si>
    <t>Preço 2025</t>
  </si>
  <si>
    <t>Preço 2026</t>
  </si>
  <si>
    <t>Alta 22-26 (%)</t>
  </si>
  <si>
    <t>CENOURA KG</t>
  </si>
  <si>
    <t>CAFE SANTA CLARA 250G CLASSICO ALMOFADA</t>
  </si>
  <si>
    <t>DESODORANTE AEROSOL AXE MARINE 152ML90G</t>
  </si>
  <si>
    <t>TAXA DE ENTREGA</t>
  </si>
  <si>
    <t>MANGA ROSA KG</t>
  </si>
  <si>
    <t>REFRIGERANTE COCA-COLA 250ML PET</t>
  </si>
  <si>
    <t xml:space="preserve"> ■ HISTÓRICO COMPLETO DE REGISTRO DE COMPRAS — TERMINAL DATABASE</t>
  </si>
  <si>
    <t xml:space="preserve">   Série histórica baseada em transações mapeadas e classificadas (2022-2026)</t>
  </si>
  <si>
    <t>ID Transação</t>
  </si>
  <si>
    <t>Data da Compra</t>
  </si>
  <si>
    <t>Quantidade</t>
  </si>
  <si>
    <t>Preço Unitário</t>
  </si>
  <si>
    <t>Valor Total</t>
  </si>
  <si>
    <t>Estabelecimento</t>
  </si>
  <si>
    <t>TRX-10000</t>
  </si>
  <si>
    <t>2022-06-25</t>
  </si>
  <si>
    <t>ZE DELIVERY</t>
  </si>
  <si>
    <t>Zé Delivery</t>
  </si>
  <si>
    <t>TRX-10001</t>
  </si>
  <si>
    <t>CERV CORONA EXTRA LN 330ML</t>
  </si>
  <si>
    <t>Supermercado Litoral</t>
  </si>
  <si>
    <t>TRX-10002</t>
  </si>
  <si>
    <t>2022-01-21</t>
  </si>
  <si>
    <t>FETUCCINE DE GRANO DURO 3 P</t>
  </si>
  <si>
    <t>TRX-10003</t>
  </si>
  <si>
    <t>TRX-10004</t>
  </si>
  <si>
    <t>2022-01-07</t>
  </si>
  <si>
    <t>NEOSORO SOLUCAO NASAL ADULTO 30ML</t>
  </si>
  <si>
    <t>TRX-10005</t>
  </si>
  <si>
    <t>TRX-10006</t>
  </si>
  <si>
    <t>BENEGRIP CPD/20</t>
  </si>
  <si>
    <t>TRX-10007</t>
  </si>
  <si>
    <t>KIT CANUDO PMENOS ECO INOX C/2</t>
  </si>
  <si>
    <t>Farmácias Pague Menos</t>
  </si>
  <si>
    <t>TRX-10008</t>
  </si>
  <si>
    <t>2022-01-27</t>
  </si>
  <si>
    <t>CERVEJA HEINEKEN LATA 350ML</t>
  </si>
  <si>
    <t>TRX-10009</t>
  </si>
  <si>
    <t>BETERRABA KG</t>
  </si>
  <si>
    <t>TRX-10010</t>
  </si>
  <si>
    <t>TRX-10011</t>
  </si>
  <si>
    <t>RABANETE HSV ORGANICA UN</t>
  </si>
  <si>
    <t>TRX-10012</t>
  </si>
  <si>
    <t>LIMAO TAITI KG</t>
  </si>
  <si>
    <t>TRX-10013</t>
  </si>
  <si>
    <t>COXA CSOBRECOXA BOM TODO 1KG BDJ</t>
  </si>
  <si>
    <t>TRX-10014</t>
  </si>
  <si>
    <t>BIFE DE FIGADO KG</t>
  </si>
  <si>
    <t>TRX-10015</t>
  </si>
  <si>
    <t>TRX-10016</t>
  </si>
  <si>
    <t>PAO DE QUEIJO FORNO MINAS 400G REC CASEIRA SGLUTE</t>
  </si>
  <si>
    <t>TRX-10017</t>
  </si>
  <si>
    <t>PAO DE QUEIJO FORNO MINAS 400G TRADICIONAL</t>
  </si>
  <si>
    <t>TRX-10018</t>
  </si>
  <si>
    <t>TRX-10019</t>
  </si>
  <si>
    <t>TRX-10020</t>
  </si>
  <si>
    <t>TRX-10021</t>
  </si>
  <si>
    <t>BATATA DOCE ROSADA KG</t>
  </si>
  <si>
    <t>TRX-10022</t>
  </si>
  <si>
    <t>QJO.JUCUR.COALHO KG</t>
  </si>
  <si>
    <t>TRX-10023</t>
  </si>
  <si>
    <t>QJO.BELLA ITALIA GORGONZOLA KG</t>
  </si>
  <si>
    <t>TRX-10024</t>
  </si>
  <si>
    <t>QJO.BELLA ITALIA GOUDA KG</t>
  </si>
  <si>
    <t>TRX-10025</t>
  </si>
  <si>
    <t>MORT.PERDIGAO BOLOGNA OURO DEF.KG</t>
  </si>
  <si>
    <t>TRX-10026</t>
  </si>
  <si>
    <t>QJO.TIROLEZ GRUYERE KG</t>
  </si>
  <si>
    <t>TRX-10027</t>
  </si>
  <si>
    <t>QJO.TIROLEZ CAMEMBERT 125G CARTUCHO</t>
  </si>
  <si>
    <t>TRX-10028</t>
  </si>
  <si>
    <t>QJO.PRESIDENT 125G PETIT BRIE</t>
  </si>
  <si>
    <t>TRX-10029</t>
  </si>
  <si>
    <t>LTE.FERM.YAKULT 480G</t>
  </si>
  <si>
    <t>TRX-10030</t>
  </si>
  <si>
    <t>AZEITONA VALE FERTIL 200G PICUAL</t>
  </si>
  <si>
    <t>TRX-10031</t>
  </si>
  <si>
    <t>TRX-10032</t>
  </si>
  <si>
    <t>MOLHO DE TOMATE MASTROIANI 680G PASSATA VIDRO</t>
  </si>
  <si>
    <t>TRX-10033</t>
  </si>
  <si>
    <t>PEPINO VALE FERTIL 300G SACHE</t>
  </si>
  <si>
    <t>TRX-10034</t>
  </si>
  <si>
    <t>TRX-10035</t>
  </si>
  <si>
    <t>PAPEL HIG.NEVE NEUTRO FD LV12 PG11</t>
  </si>
  <si>
    <t>TRX-10036</t>
  </si>
  <si>
    <t>BISC.NESTLE KIT KAT 41,5G GOLD LIMITED EDITION</t>
  </si>
  <si>
    <t>TRX-10037</t>
  </si>
  <si>
    <t>BISC.NESTLE KIT KAT 41,5G DARK</t>
  </si>
  <si>
    <t>TRX-10038</t>
  </si>
  <si>
    <t>BISC.NESTLE KIT KAT 41,5G AO LEITE</t>
  </si>
  <si>
    <t>TRX-10039</t>
  </si>
  <si>
    <t>TRX-10040</t>
  </si>
  <si>
    <t>PACOQUINHA DE AMENDOIM STA.HELENA 210G</t>
  </si>
  <si>
    <t>TRX-10041</t>
  </si>
  <si>
    <t>LTE.CONDENSADO NESTLE MOCA 395G ABRE FACIL LATA</t>
  </si>
  <si>
    <t>TRX-10042</t>
  </si>
  <si>
    <t>TRX-10043</t>
  </si>
  <si>
    <t>VINAGRE MINHOTO 750ML ALCOOL</t>
  </si>
  <si>
    <t>TRX-10044</t>
  </si>
  <si>
    <t>VINAGRE MINHOTO 500ML MACA</t>
  </si>
  <si>
    <t>TRX-10045</t>
  </si>
  <si>
    <t>MOLHO AJI-NO-SHOYO 150ML</t>
  </si>
  <si>
    <t>TRX-10046</t>
  </si>
  <si>
    <t>MOLHO INGLES KENKO 150ML</t>
  </si>
  <si>
    <t>TRX-10047</t>
  </si>
  <si>
    <t>TRX-10048</t>
  </si>
  <si>
    <t>CAPSULA TRES 110G CAPUCCINO AVELA C10</t>
  </si>
  <si>
    <t>TRX-10049</t>
  </si>
  <si>
    <t>CAPSULA TRES 80G REGIOES MUNDO ETIOPIA</t>
  </si>
  <si>
    <t>TRX-10050</t>
  </si>
  <si>
    <t>CAPSULA TRES 80G CAFE ESPRESSO VIBRANTE C10</t>
  </si>
  <si>
    <t>TRX-10051</t>
  </si>
  <si>
    <t>CAPSULA TRES 80G RITUAIS CERRADO MINEIRO</t>
  </si>
  <si>
    <t>TRX-10052</t>
  </si>
  <si>
    <t>CAPSULA TRES 80G CAFE ESPRESSO ATENO C10</t>
  </si>
  <si>
    <t>TRX-10053</t>
  </si>
  <si>
    <t>TRX-10054</t>
  </si>
  <si>
    <t>SALG.FANDANGOS 45G PRESUNTO</t>
  </si>
  <si>
    <t>TRX-10055</t>
  </si>
  <si>
    <t>SALG.FANDANGOS 45G QUEIJO</t>
  </si>
  <si>
    <t>TRX-10056</t>
  </si>
  <si>
    <t>TRX-10057</t>
  </si>
  <si>
    <t>SALG.DORITOS 84G QUEIJO NACHO</t>
  </si>
  <si>
    <t>TRX-10058</t>
  </si>
  <si>
    <t>SALG.BACONZITOS 55G</t>
  </si>
  <si>
    <t>TRX-10059</t>
  </si>
  <si>
    <t>ESPONJA PBANHO BETTANIN RELAX REF 460</t>
  </si>
  <si>
    <t>TRX-10060</t>
  </si>
  <si>
    <t>ESC.DENTAL COLGATE EXTRA CLEAN LV3 PG2</t>
  </si>
  <si>
    <t>TRX-10061</t>
  </si>
  <si>
    <t>PAPEL ALUMINIO TERMICA 30CMX 7,5</t>
  </si>
  <si>
    <t>TRX-10062</t>
  </si>
  <si>
    <t>LAVA ROUPAS INVICTO PO 1KG LAVANDA</t>
  </si>
  <si>
    <t>TRX-10063</t>
  </si>
  <si>
    <t>TALCO PPES BARLA 140G</t>
  </si>
  <si>
    <t>TRX-10064</t>
  </si>
  <si>
    <t>AMAC.FOFO 1,8LT  AZUL TRADICIONAL</t>
  </si>
  <si>
    <t>TRX-10065</t>
  </si>
  <si>
    <t>DET.LIQ.BRILUX 500ML NEUTRO</t>
  </si>
  <si>
    <t>TRX-10066</t>
  </si>
  <si>
    <t>TRX-10067</t>
  </si>
  <si>
    <t>SABONETE PHEBO ODOR ROSAS AMAR. 90G</t>
  </si>
  <si>
    <t>TRX-10068</t>
  </si>
  <si>
    <t>SABONETE PHEBO AMAZONIAN VDE.ESC. 90G</t>
  </si>
  <si>
    <t>TRX-10069</t>
  </si>
  <si>
    <t>SABONETE LAFLORE 180G FLOR DE VANILA</t>
  </si>
  <si>
    <t>TRX-10070</t>
  </si>
  <si>
    <t>TRX-10071</t>
  </si>
  <si>
    <t>BOMBOM FERRERO ROCHER 37,5G T3</t>
  </si>
  <si>
    <t>TRX-10072</t>
  </si>
  <si>
    <t>SABONETE PHEBO TOQ.LAVANDA ROXO 90G</t>
  </si>
  <si>
    <t>TRX-10073</t>
  </si>
  <si>
    <t>ESPONJA CONDOR ANTIBAC MULTIUSO LV4PG3 REF1539</t>
  </si>
  <si>
    <t>TRX-10074</t>
  </si>
  <si>
    <t>AGUA SANITARIA BRILUX 5L</t>
  </si>
  <si>
    <t>TRX-10075</t>
  </si>
  <si>
    <t>SABONETE NIVEA MEN 90G 3 EM 1 SENSITIVE</t>
  </si>
  <si>
    <t>TRX-10076</t>
  </si>
  <si>
    <t>SABONETE PHEBO FRESC.DA MANHA AZ. 90G</t>
  </si>
  <si>
    <t>TRX-10077</t>
  </si>
  <si>
    <t>TRX-10078</t>
  </si>
  <si>
    <t>DESOD.AERO.AXE MARINE 152ML90G</t>
  </si>
  <si>
    <t>TRX-10079</t>
  </si>
  <si>
    <t>DESOD.AERO.NIVEA MEN SILVER PROTECT 150ML93G</t>
  </si>
  <si>
    <t>TRX-10080</t>
  </si>
  <si>
    <t>DESOD.AERO.NIVEA MEN STRESS PROTECT 150ML91G</t>
  </si>
  <si>
    <t>TRX-10081</t>
  </si>
  <si>
    <t>DESOD.AERO.AXE URBAN 152ML90G ANTI-MARKS PROT.</t>
  </si>
  <si>
    <t>TRX-10082</t>
  </si>
  <si>
    <t>REFRIG.GUARANA ANTARCTICA 200ML PET</t>
  </si>
  <si>
    <t>TRX-10083</t>
  </si>
  <si>
    <t>TRX-10084</t>
  </si>
  <si>
    <t>DESOD.ROLL ON REXONA COMPACT BAMBOOALOE VERA 30ML</t>
  </si>
  <si>
    <t>TRX-10085</t>
  </si>
  <si>
    <t>DESOD.ROLL ON REXONA MEN V8 30ML</t>
  </si>
  <si>
    <t>TRX-10086</t>
  </si>
  <si>
    <t>AGUA TONICA ANTARCTICA 269ML ZERO ACUCAR</t>
  </si>
  <si>
    <t>TRX-10087</t>
  </si>
  <si>
    <t>ALCOOL SANTA CRUZ 70INPM 1L</t>
  </si>
  <si>
    <t>TRX-10088</t>
  </si>
  <si>
    <t>TRX-10089</t>
  </si>
  <si>
    <t>REFRIG.PEPSI 200ML COLA PET</t>
  </si>
  <si>
    <t>TRX-10090</t>
  </si>
  <si>
    <t>TRX-10091</t>
  </si>
  <si>
    <t>TRX-10092</t>
  </si>
  <si>
    <t>TRX-10093</t>
  </si>
  <si>
    <t>TRX-10094</t>
  </si>
  <si>
    <t>TRX-10095</t>
  </si>
  <si>
    <t>TRX-10096</t>
  </si>
  <si>
    <t>2022-01-02</t>
  </si>
  <si>
    <t>CREPE SALGADO</t>
  </si>
  <si>
    <t>TRX-10097</t>
  </si>
  <si>
    <t>TRX-10098</t>
  </si>
  <si>
    <t>SALADAS IFOOD</t>
  </si>
  <si>
    <t>TRX-10099</t>
  </si>
  <si>
    <t>ENTREGA</t>
  </si>
  <si>
    <t>TRX-10100</t>
  </si>
  <si>
    <t>2022-01-25</t>
  </si>
  <si>
    <t>MOUSSE DE CHOCOLATE</t>
  </si>
  <si>
    <t>TRX-10101</t>
  </si>
  <si>
    <t>REFRIGERANTE 1 LITRO</t>
  </si>
  <si>
    <t>TRX-10102</t>
  </si>
  <si>
    <t>PEIXE A FIORI</t>
  </si>
  <si>
    <t>TRX-10103</t>
  </si>
  <si>
    <t>TRX-10104</t>
  </si>
  <si>
    <t>2022-01-13</t>
  </si>
  <si>
    <t>PIZZA FETTA GRANDE</t>
  </si>
  <si>
    <t>Fetta Pizza</t>
  </si>
  <si>
    <t>TRX-10105</t>
  </si>
  <si>
    <t>TAXA ENTREGA</t>
  </si>
  <si>
    <t>TRX-10106</t>
  </si>
  <si>
    <t>2022-01-19</t>
  </si>
  <si>
    <t>TRX-10107</t>
  </si>
  <si>
    <t>TRX-10108</t>
  </si>
  <si>
    <t>2022-02-23</t>
  </si>
  <si>
    <t>TUDO DE BACON</t>
  </si>
  <si>
    <t>TRX-10109</t>
  </si>
  <si>
    <t>TRX-10110</t>
  </si>
  <si>
    <t>2022-02-27</t>
  </si>
  <si>
    <t>TRX-10111</t>
  </si>
  <si>
    <t>TRX-10112</t>
  </si>
  <si>
    <t>2022-02-28</t>
  </si>
  <si>
    <t>STROGONOFF DE SHIMEJI (VEG)</t>
  </si>
  <si>
    <t>TRX-10113</t>
  </si>
  <si>
    <t>TRX-10114</t>
  </si>
  <si>
    <t>TRX-10115</t>
  </si>
  <si>
    <t>TRX-10116</t>
  </si>
  <si>
    <t>2022-02-13</t>
  </si>
  <si>
    <t>PROMOCAO FETTASTICA</t>
  </si>
  <si>
    <t>TRX-10117</t>
  </si>
  <si>
    <t>TRX-10118</t>
  </si>
  <si>
    <t>2022-03-30</t>
  </si>
  <si>
    <t>FURADEIRA 3/8" FIV595 VONDER 6001595220</t>
  </si>
  <si>
    <t>TRX-10119</t>
  </si>
  <si>
    <t>SUPORTE P/PRATEL. CANTONEIRA CZ 10X12'' 08173.004</t>
  </si>
  <si>
    <t>TRX-10120</t>
  </si>
  <si>
    <t>TRX-10121</t>
  </si>
  <si>
    <t>FITA SILVER TAPE 45MMX25MTS CINZA 3M HB004557920</t>
  </si>
  <si>
    <t>TRX-10122</t>
  </si>
  <si>
    <t>FITA FIXA FORTE EXTREME SCOTCH24MMX2M 3M HB004492250</t>
  </si>
  <si>
    <t>TRX-10123</t>
  </si>
  <si>
    <t>TRINCHA 3" CABO DE PVC MAD 395/7 ATLAS 395/7 ATLAS</t>
  </si>
  <si>
    <t>TRX-10124</t>
  </si>
  <si>
    <t>SPRAY WD-40 300ML 912069/EMB12</t>
  </si>
  <si>
    <t>TRX-10125</t>
  </si>
  <si>
    <t>LUMINARIA DE LED P/MESA PL 4W PT LLUM XHN107PT</t>
  </si>
  <si>
    <t>TRX-10126</t>
  </si>
  <si>
    <t>ARAME GALV. P/AMARRACAO N16 C/1KG VONDER 7491016000</t>
  </si>
  <si>
    <t>TRX-10127</t>
  </si>
  <si>
    <t>PREGO C/CABECA 1 X 15 18760</t>
  </si>
  <si>
    <t>TRX-10128</t>
  </si>
  <si>
    <t>KIT PRATICO UNIVERSAL 05MM BEMFIXA 3760</t>
  </si>
  <si>
    <t>TRX-10129</t>
  </si>
  <si>
    <t>TRX-10130</t>
  </si>
  <si>
    <t>PARAFUSO C/BUCHA NYLON 06MM CPA SC 3112</t>
  </si>
  <si>
    <t>TRX-10131</t>
  </si>
  <si>
    <t>ABRACADEIRA AMARELA 200X4,8 C/100 FRONTE F7023UVAM100</t>
  </si>
  <si>
    <t>TRX-10132</t>
  </si>
  <si>
    <t>ABRACADEIRA INCOLOR 151X3,65 C/100 FRONT F7015NYNA100</t>
  </si>
  <si>
    <t>TRX-10133</t>
  </si>
  <si>
    <t>SILICONE INCOLOR 50G ORBIVED 5542</t>
  </si>
  <si>
    <t>TRX-10134</t>
  </si>
  <si>
    <t>TRX-10135</t>
  </si>
  <si>
    <t>KIT PRATICO 06MM BEMFIXA 3372</t>
  </si>
  <si>
    <t>TRX-10136</t>
  </si>
  <si>
    <t>EXTENSAO TRIP 5 TOM 10MT 10A PT FORCELIN 0180200098</t>
  </si>
  <si>
    <t>TRX-10137</t>
  </si>
  <si>
    <t>LIXA MASSA/MADEIRA 180 ATLAS 10/180 ATLA</t>
  </si>
  <si>
    <t>TRX-10138</t>
  </si>
  <si>
    <t>2022-03-07</t>
  </si>
  <si>
    <t>PA DE BICO C/CABO 77459/434 TRAMONTINA 77459/434</t>
  </si>
  <si>
    <t>TRX-10139</t>
  </si>
  <si>
    <t>CABO DE ACO GALVANIZADO 4,8 3/16 6X7 3522048607</t>
  </si>
  <si>
    <t>TRX-10140</t>
  </si>
  <si>
    <t>TRX-10141</t>
  </si>
  <si>
    <t>GRAMPO GALVANIZADO P/CERCA 9X1 018671</t>
  </si>
  <si>
    <t>TRX-10142</t>
  </si>
  <si>
    <t>2022-03-08</t>
  </si>
  <si>
    <t>SALVA DE PARMAS</t>
  </si>
  <si>
    <t>TRX-10143</t>
  </si>
  <si>
    <t>REFRIGERANTE LATA</t>
  </si>
  <si>
    <t>TRX-10144</t>
  </si>
  <si>
    <t>TRX-10145</t>
  </si>
  <si>
    <t>2022-03-13</t>
  </si>
  <si>
    <t>TRX-10146</t>
  </si>
  <si>
    <t>TRX-10147</t>
  </si>
  <si>
    <t>2022-03-25</t>
  </si>
  <si>
    <t>TRX-10148</t>
  </si>
  <si>
    <t>TRX-10149</t>
  </si>
  <si>
    <t>PAUNOMITO</t>
  </si>
  <si>
    <t>TRX-10150</t>
  </si>
  <si>
    <t>TRX-10151</t>
  </si>
  <si>
    <t>2022-03-03</t>
  </si>
  <si>
    <t>FOLHETTA</t>
  </si>
  <si>
    <t>TRX-10152</t>
  </si>
  <si>
    <t>MASSA FETTA GRANDE</t>
  </si>
  <si>
    <t>TRX-10153</t>
  </si>
  <si>
    <t>TRX-10154</t>
  </si>
  <si>
    <t>2022-04-19</t>
  </si>
  <si>
    <t>POLPETINES DE ORIG MOL PELATTI</t>
  </si>
  <si>
    <t>Polpetines de Origem</t>
  </si>
  <si>
    <t>TRX-10155</t>
  </si>
  <si>
    <t>PARPADELLE AL RAGU OSSOBUCO</t>
  </si>
  <si>
    <t>TRX-10156</t>
  </si>
  <si>
    <t>COCA-COLA ZERO LT 350ML</t>
  </si>
  <si>
    <t>TRX-10157</t>
  </si>
  <si>
    <t>TRX-10158</t>
  </si>
  <si>
    <t>2022-04-26</t>
  </si>
  <si>
    <t>SPAGHETTI COM POLPETAS</t>
  </si>
  <si>
    <t>TRX-10159</t>
  </si>
  <si>
    <t>TRX-10160</t>
  </si>
  <si>
    <t>PANO CHAO ALGO BOM 78X88CM</t>
  </si>
  <si>
    <t>TRX-10161</t>
  </si>
  <si>
    <t>AROMATIZANTE AERO GLADE MANHA DO CAMPO 360ML</t>
  </si>
  <si>
    <t>TRX-10162</t>
  </si>
  <si>
    <t>DESODORANTE AER AXE BLACK 150ML/96G</t>
  </si>
  <si>
    <t>TRX-10163</t>
  </si>
  <si>
    <t>AROMATIZANTE COALA ALGAS MARINHAS 120ML</t>
  </si>
  <si>
    <t>TRX-10164</t>
  </si>
  <si>
    <t>ODORIZADOR GEL ADESIVO PATO C FLRS 6 DSC</t>
  </si>
  <si>
    <t>TRX-10165</t>
  </si>
  <si>
    <t>ODORIZADOR GEL ADESIVO PATO C FRAM 6DSC</t>
  </si>
  <si>
    <t>TRX-10166</t>
  </si>
  <si>
    <t>DESOD AER ABOVE INVISIBLE WOMEN 150ML</t>
  </si>
  <si>
    <t>TRX-10167</t>
  </si>
  <si>
    <t>INSETICIDA AERO SBP CITRONELA 300+150ML</t>
  </si>
  <si>
    <t>TRX-10168</t>
  </si>
  <si>
    <t>JERIMUM LEITE KG</t>
  </si>
  <si>
    <t>TRX-10169</t>
  </si>
  <si>
    <t>COCO SECO UND</t>
  </si>
  <si>
    <t>TRX-10170</t>
  </si>
  <si>
    <t>TRX-10171</t>
  </si>
  <si>
    <t>PAPEL HIG SUPREMO NEVE 20M LV 12 P11</t>
  </si>
  <si>
    <t>TRX-10172</t>
  </si>
  <si>
    <t>TRX-10173</t>
  </si>
  <si>
    <t>BATATA DOCE ROXA KG</t>
  </si>
  <si>
    <t>TRX-10174</t>
  </si>
  <si>
    <t>TRX-10175</t>
  </si>
  <si>
    <t>TRX-10176</t>
  </si>
  <si>
    <t>REQUEIJAO CREM POLENGHI 200G TRADNAL</t>
  </si>
  <si>
    <t>TRX-10177</t>
  </si>
  <si>
    <t>QUEIJO BRIE QUATA KG FORMA</t>
  </si>
  <si>
    <t>TRX-10178</t>
  </si>
  <si>
    <t>QUEIJO AZUL QUATA KG</t>
  </si>
  <si>
    <t>TRX-10179</t>
  </si>
  <si>
    <t>QUEIJO QUATA GOUDA KG</t>
  </si>
  <si>
    <t>TRX-10180</t>
  </si>
  <si>
    <t>REQUEIJAO CREM POLENGHI 200G CHEDDAR</t>
  </si>
  <si>
    <t>TRX-10181</t>
  </si>
  <si>
    <t>QUEIJO MUSSARELA FATIADO KG</t>
  </si>
  <si>
    <t>TRX-10182</t>
  </si>
  <si>
    <t>QUEIJO COALHO SANTO EXPEDITO PECA KG</t>
  </si>
  <si>
    <t>TRX-10183</t>
  </si>
  <si>
    <t>MANTEIGA DAVACA 200G C/SAL</t>
  </si>
  <si>
    <t>TRX-10184</t>
  </si>
  <si>
    <t>GELEIA CASA MADEIRA AMORA TRAD 240G</t>
  </si>
  <si>
    <t>TRX-10185</t>
  </si>
  <si>
    <t>IOGURTE DANONE NATURAL DESNATADO 160G</t>
  </si>
  <si>
    <t>TRX-10186</t>
  </si>
  <si>
    <t>VINHO CHI LOMA NEGRA 750ML SAUV BLANC</t>
  </si>
  <si>
    <t>TRX-10187</t>
  </si>
  <si>
    <t>VINHO CHI LOMA NEGRA 750ML VIOGNER</t>
  </si>
  <si>
    <t>TRX-10188</t>
  </si>
  <si>
    <t>COPA VITO BALDUCCI 80G</t>
  </si>
  <si>
    <t>TRX-10189</t>
  </si>
  <si>
    <t>PRESUNTO COZ SADIA 200G FAT FINAS</t>
  </si>
  <si>
    <t>TRX-10190</t>
  </si>
  <si>
    <t>MORTADELA DEF SADIA 200G FATIAS FINAS</t>
  </si>
  <si>
    <t>TRX-10191</t>
  </si>
  <si>
    <t>TRX-10192</t>
  </si>
  <si>
    <t>IOGURTE DANONE NATURAL 160G INTEGRAL</t>
  </si>
  <si>
    <t>TRX-10193</t>
  </si>
  <si>
    <t>MOLHO PASSATA HEMMER 680G</t>
  </si>
  <si>
    <t>TRX-10194</t>
  </si>
  <si>
    <t>LEITE FERM ACTIVIA 1000G AMEIXA</t>
  </si>
  <si>
    <t>TRX-10195</t>
  </si>
  <si>
    <t>SUCO ALIANCA GF 1L UVA</t>
  </si>
  <si>
    <t>TRX-10196</t>
  </si>
  <si>
    <t>TRX-10197</t>
  </si>
  <si>
    <t>BEBIDA LACT TODDYNHO TRAD 200ML</t>
  </si>
  <si>
    <t>TRX-10198</t>
  </si>
  <si>
    <t>ALCAPARRAS MARIZA 100G</t>
  </si>
  <si>
    <t>TRX-10199</t>
  </si>
  <si>
    <t>PEPINO VALE FERTIL 300G</t>
  </si>
  <si>
    <t>TRX-10200</t>
  </si>
  <si>
    <t>AZEITONA VERDE MANDO 350G S/CAROCO</t>
  </si>
  <si>
    <t>TRX-10201</t>
  </si>
  <si>
    <t>BEBIDA ISOT GATORADE PT 500ML MORAN MARAC</t>
  </si>
  <si>
    <t>TRX-10202</t>
  </si>
  <si>
    <t>REFRIGERANTE PEPSI PET 200ML</t>
  </si>
  <si>
    <t>TRX-10203</t>
  </si>
  <si>
    <t>REFRIGERANTE COCA COLA PET 250ML</t>
  </si>
  <si>
    <t>TRX-10204</t>
  </si>
  <si>
    <t>TRX-10205</t>
  </si>
  <si>
    <t>TORRADA BAUDUCCO INT 142G</t>
  </si>
  <si>
    <t>TRX-10206</t>
  </si>
  <si>
    <t>AGUA TONICA ANTARCTICA LT 350ML DIET</t>
  </si>
  <si>
    <t>TRX-10207</t>
  </si>
  <si>
    <t>PAO DE AVEIA LIGHT PAO DE MEL 350G</t>
  </si>
  <si>
    <t>TRX-10208</t>
  </si>
  <si>
    <t>TORRADA BAUDUCCO MULTIGRAOS 142G</t>
  </si>
  <si>
    <t>TRX-10209</t>
  </si>
  <si>
    <t>BISCOITO C CRACKER VITARELLA 350G AGUA SAL</t>
  </si>
  <si>
    <t>TRX-10210</t>
  </si>
  <si>
    <t>BISCOITO MAIZENA VITARELA 350G TRAD</t>
  </si>
  <si>
    <t>TRX-10211</t>
  </si>
  <si>
    <t>AGUA TONICA SCHWEPPES LT 350ML S/ACUCAR</t>
  </si>
  <si>
    <t>TRX-10212</t>
  </si>
  <si>
    <t>CHA GENGIBRE/LIMAO MARATA 20G</t>
  </si>
  <si>
    <t>TRX-10213</t>
  </si>
  <si>
    <t>CHA CIDREIRA MARATA 10G</t>
  </si>
  <si>
    <t>TRX-10214</t>
  </si>
  <si>
    <t>CHA MACA/CRA/CAN MARATA 20G</t>
  </si>
  <si>
    <t>TRX-10215</t>
  </si>
  <si>
    <t>CAFE ALMOF SANTA CLARA 250G</t>
  </si>
  <si>
    <t>TRX-10216</t>
  </si>
  <si>
    <t>CEREAL SAO BRAZ GOLD FLAKES 200G</t>
  </si>
  <si>
    <t>TRX-10217</t>
  </si>
  <si>
    <t>CHA MAGUARY TP 1L VERDE LIMAO</t>
  </si>
  <si>
    <t>TRX-10218</t>
  </si>
  <si>
    <t>LEITE UHT PIRACANJUBA DESN C/T 1L</t>
  </si>
  <si>
    <t>TRX-10219</t>
  </si>
  <si>
    <t>LEITE UHT PIRACANJUBA INTEGRAL C/T 1L</t>
  </si>
  <si>
    <t>TRX-10220</t>
  </si>
  <si>
    <t>AVEIA QUAKER FLOCOS FINOS 165G</t>
  </si>
  <si>
    <t>TRX-10221</t>
  </si>
  <si>
    <t>2022-04-05</t>
  </si>
  <si>
    <t>TRX-10222</t>
  </si>
  <si>
    <t>KOMBO 2 PIZZAS</t>
  </si>
  <si>
    <t>TRX-10223</t>
  </si>
  <si>
    <t>TRX-10224</t>
  </si>
  <si>
    <t>2022-04-25</t>
  </si>
  <si>
    <t>ISO SUPERPOCKET02500X1980X1580</t>
  </si>
  <si>
    <t>TRX-10225</t>
  </si>
  <si>
    <t>BOX BLACK 0158X198X31</t>
  </si>
  <si>
    <t>TRX-10226</t>
  </si>
  <si>
    <t>TRAV PERCAL 200 FIOS PLUS02500X0700X0500</t>
  </si>
  <si>
    <t>TRX-10227</t>
  </si>
  <si>
    <t>TRAVESSEIRO NUVEM</t>
  </si>
  <si>
    <t>TRX-10228</t>
  </si>
  <si>
    <t>2022-05-12</t>
  </si>
  <si>
    <t>TRX-10229</t>
  </si>
  <si>
    <t>TRX-10230</t>
  </si>
  <si>
    <t>2022-05-01</t>
  </si>
  <si>
    <t>TRX-10231</t>
  </si>
  <si>
    <t>TRX-10232</t>
  </si>
  <si>
    <t>2022-06-27</t>
  </si>
  <si>
    <t>PIZZA GRANDE (8 FATIAS)</t>
  </si>
  <si>
    <t>TRX-10233</t>
  </si>
  <si>
    <t>TRX-10234</t>
  </si>
  <si>
    <t>2022-06-14</t>
  </si>
  <si>
    <t>TRX-10235</t>
  </si>
  <si>
    <t>TRX-10236</t>
  </si>
  <si>
    <t>2022-06-17</t>
  </si>
  <si>
    <t>TRX-10237</t>
  </si>
  <si>
    <t>TRX-10238</t>
  </si>
  <si>
    <t>2022-06-22</t>
  </si>
  <si>
    <t>TRX-10239</t>
  </si>
  <si>
    <t>TRX-10240</t>
  </si>
  <si>
    <t>2022-06-24</t>
  </si>
  <si>
    <t>TRX-10241</t>
  </si>
  <si>
    <t>TRX-10242</t>
  </si>
  <si>
    <t>TRX-10243</t>
  </si>
  <si>
    <t>TRX-10244</t>
  </si>
  <si>
    <t>2022-07-16</t>
  </si>
  <si>
    <t>TRX-10245</t>
  </si>
  <si>
    <t>PARMEGGIANA - SEJA CHEF</t>
  </si>
  <si>
    <t>TRX-10246</t>
  </si>
  <si>
    <t>TRX-10247</t>
  </si>
  <si>
    <t>2022-07-12</t>
  </si>
  <si>
    <t>LORATADINA 10MG CPD/12 GN-CIMED</t>
  </si>
  <si>
    <t>TRX-10248</t>
  </si>
  <si>
    <t>LORATADINA 1MG XPE 100ML GN-PRATI</t>
  </si>
  <si>
    <t>TRX-10249</t>
  </si>
  <si>
    <t>NIMESULIDA 100MG CPD/12 GN-CIMED</t>
  </si>
  <si>
    <t>TRX-10250</t>
  </si>
  <si>
    <t>TRX-10251</t>
  </si>
  <si>
    <t>NEOSALDINA DGR/30 NV</t>
  </si>
  <si>
    <t>TRX-10252</t>
  </si>
  <si>
    <t>FUROATO MOMETASONA SPR120DOS GN-GLE</t>
  </si>
  <si>
    <t>TRX-10253</t>
  </si>
  <si>
    <t>VICK VAPORUB 50G NOVO</t>
  </si>
  <si>
    <t>TRX-10254</t>
  </si>
  <si>
    <t>SERV. EM DOMICILIO</t>
  </si>
  <si>
    <t>TRX-10255</t>
  </si>
  <si>
    <t>2022-07-20</t>
  </si>
  <si>
    <t>KIT COIFA CBATEDOR COFAP KSC07106SDIANTEIRO70256</t>
  </si>
  <si>
    <t>TRX-10256</t>
  </si>
  <si>
    <t>BUCHA DA BANDEJA MOBENSANI MB22222734DIANTDIANT</t>
  </si>
  <si>
    <t>TRX-10257</t>
  </si>
  <si>
    <t>FILTRO DE AR TECFIL ARL9608LX1597HLP9608FA9608</t>
  </si>
  <si>
    <t>TRX-10258</t>
  </si>
  <si>
    <t>REPARO DA CAIXA CRA 314002VISTEON</t>
  </si>
  <si>
    <t>TRX-10259</t>
  </si>
  <si>
    <t>PAST FREIO LONAFLEX P80</t>
  </si>
  <si>
    <t>TRX-10260</t>
  </si>
  <si>
    <t>MANGOTE GATES 21875 RESER AO BLOCO</t>
  </si>
  <si>
    <t>TRX-10261</t>
  </si>
  <si>
    <t>JUNTA DO CABECOTE SPAAL 11.002-SC82293</t>
  </si>
  <si>
    <t>TRX-10262</t>
  </si>
  <si>
    <t>JUNTA TPA.VALV. SABO 7502211026BO</t>
  </si>
  <si>
    <t>TRX-10263</t>
  </si>
  <si>
    <t>OLEO DE FREIO BOSCH DOT4</t>
  </si>
  <si>
    <t>TRX-10264</t>
  </si>
  <si>
    <t>CONECTOR DAGUA VALCLEI VC317BW715121S300</t>
  </si>
  <si>
    <t>TRX-10265</t>
  </si>
  <si>
    <t>ADITIVO RADIADOR RADIEX R1923</t>
  </si>
  <si>
    <t>TRX-10266</t>
  </si>
  <si>
    <t>OLEO MOTORCRAFT 15W40 SEMISSINTETICO</t>
  </si>
  <si>
    <t>TRX-10267</t>
  </si>
  <si>
    <t>FILTRO DE OLEO TECFIL PSL145WO150OC506</t>
  </si>
  <si>
    <t>TRX-10268</t>
  </si>
  <si>
    <t>FILTRO DE COMB TECFIL GI047-FI047</t>
  </si>
  <si>
    <t>TRX-10269</t>
  </si>
  <si>
    <t>ABRACADEIRA PLASTICAS</t>
  </si>
  <si>
    <t>TRX-10270</t>
  </si>
  <si>
    <t>BUJAO DO CARTER WURTH 22431422 0549LF100563224314222458</t>
  </si>
  <si>
    <t>TRX-10271</t>
  </si>
  <si>
    <t>KIT COIFA HOMOCINETICA SKF 84875213869CAMBIO</t>
  </si>
  <si>
    <t>TRX-10272</t>
  </si>
  <si>
    <t>MATERIAL DE LIMPEZA</t>
  </si>
  <si>
    <t>TRX-10273</t>
  </si>
  <si>
    <t>SELANTE TREEBOND BLACK</t>
  </si>
  <si>
    <t>TRX-10274</t>
  </si>
  <si>
    <t>ABRACADEIRA 76X9570X89</t>
  </si>
  <si>
    <t>TRX-10275</t>
  </si>
  <si>
    <t>TRIZETA VETOR TZP0208 21DX30,5ELO</t>
  </si>
  <si>
    <t>TRX-10276</t>
  </si>
  <si>
    <t>2022-07-07</t>
  </si>
  <si>
    <t>TRX-10277</t>
  </si>
  <si>
    <t>MAGIC TOAST MARILAN 150G MULTICEREAIS</t>
  </si>
  <si>
    <t>TRX-10278</t>
  </si>
  <si>
    <t>TRX-10279</t>
  </si>
  <si>
    <t>ALCAPARRAS HEMMER EM CONSERVA 100G</t>
  </si>
  <si>
    <t>TRX-10280</t>
  </si>
  <si>
    <t>TRX-10281</t>
  </si>
  <si>
    <t>TRX-10282</t>
  </si>
  <si>
    <t>CHA LEAO ICE TEA 1L LIMAO PET</t>
  </si>
  <si>
    <t>TRX-10283</t>
  </si>
  <si>
    <t>TRX-10284</t>
  </si>
  <si>
    <t>BISC.FORTALEZA CREAM CRACKER 350G INTEGRAL</t>
  </si>
  <si>
    <t>TRX-10285</t>
  </si>
  <si>
    <t>REFRIG.COCA-COLA 250ML ZERO PET</t>
  </si>
  <si>
    <t>TRX-10286</t>
  </si>
  <si>
    <t>PRES.PERDIGAO COZIDO 200G FAT.VACUO</t>
  </si>
  <si>
    <t>TRX-10287</t>
  </si>
  <si>
    <t>TRX-10288</t>
  </si>
  <si>
    <t>TRX-10289</t>
  </si>
  <si>
    <t>TRX-10290</t>
  </si>
  <si>
    <t>TRX-10291</t>
  </si>
  <si>
    <t>TRX-10292</t>
  </si>
  <si>
    <t>LTE.CONDENSADO CAMPONESA 395G INTEGRAL TP</t>
  </si>
  <si>
    <t>TRX-10293</t>
  </si>
  <si>
    <t>LTE.CONDENSADO CAMPONESA TP 395G SEMIDESNATADO</t>
  </si>
  <si>
    <t>TRX-10294</t>
  </si>
  <si>
    <t>LTE.CONDENSADO NESTLE MOCA 395G TP</t>
  </si>
  <si>
    <t>TRX-10295</t>
  </si>
  <si>
    <t>TRX-10296</t>
  </si>
  <si>
    <t>REQUEIJAO POCOS DE CALDAS 200G LIGHT</t>
  </si>
  <si>
    <t>TRX-10297</t>
  </si>
  <si>
    <t>TRX-10298</t>
  </si>
  <si>
    <t>TRX-10299</t>
  </si>
  <si>
    <t>DESOD.AERO.AXE BLACK 150ML96G.</t>
  </si>
  <si>
    <t>TRX-10300</t>
  </si>
  <si>
    <t>DESOD.AERO.REXONA ANTIBACTERIAL 150ML MEN</t>
  </si>
  <si>
    <t>TRX-10301</t>
  </si>
  <si>
    <t>AMAC.DOWNY CONC.500ML LIRIOS DO CAMPO</t>
  </si>
  <si>
    <t>TRX-10302</t>
  </si>
  <si>
    <t>TRX-10303</t>
  </si>
  <si>
    <t>CHA MATTE LEAO 100G TRADICIONAL</t>
  </si>
  <si>
    <t>TRX-10304</t>
  </si>
  <si>
    <t>TRX-10305</t>
  </si>
  <si>
    <t>TRX-10306</t>
  </si>
  <si>
    <t>AZEITONA VALE FERTIL CCAROCO 500G SACHE</t>
  </si>
  <si>
    <t>TRX-10307</t>
  </si>
  <si>
    <t>REFRIG.COCA-COLA 250ML PET</t>
  </si>
  <si>
    <t>TRX-10308</t>
  </si>
  <si>
    <t>BEB.LACTEA NESTLE NESTON 850G</t>
  </si>
  <si>
    <t>TRX-10309</t>
  </si>
  <si>
    <t>PAO DE QUEIJO LITORAL KG</t>
  </si>
  <si>
    <t>TRX-10310</t>
  </si>
  <si>
    <t>DET.PO TIXAN YPE MARCIEZ 1,6KG</t>
  </si>
  <si>
    <t>TRX-10311</t>
  </si>
  <si>
    <t>TRX-10312</t>
  </si>
  <si>
    <t>TRX-10313</t>
  </si>
  <si>
    <t>DESOD.AERO.REXONA ANITTAVAI MALANDRA 150ML91G</t>
  </si>
  <si>
    <t>TRX-10314</t>
  </si>
  <si>
    <t>ALVEJANTE VANISH 450G PODER O2</t>
  </si>
  <si>
    <t>TRX-10315</t>
  </si>
  <si>
    <t>DESOD.AERO.NIVEA INVISIBLE BW CLEAR 150ML97G</t>
  </si>
  <si>
    <t>TRX-10316</t>
  </si>
  <si>
    <t>DESINF.URCA 2L EUCALIPTO FRESH</t>
  </si>
  <si>
    <t>TRX-10317</t>
  </si>
  <si>
    <t>TESOURA TRAMONTINA DE PODA REF78300001</t>
  </si>
  <si>
    <t>TRX-10318</t>
  </si>
  <si>
    <t>TOALHA DE PAPEL SCALA BRANCO F.DUPLA C2</t>
  </si>
  <si>
    <t>TRX-10319</t>
  </si>
  <si>
    <t>DET.LIQ.LIMPOL 500ML COCO</t>
  </si>
  <si>
    <t>TRX-10320</t>
  </si>
  <si>
    <t>TRX-10321</t>
  </si>
  <si>
    <t>TRX-10322</t>
  </si>
  <si>
    <t>SABONETE LAFLORE DAVENE 150G FLOR DE VANILA</t>
  </si>
  <si>
    <t>TRX-10323</t>
  </si>
  <si>
    <t>TRX-10324</t>
  </si>
  <si>
    <t>TRX-10325</t>
  </si>
  <si>
    <t>INSET.SBP AERO LV MAIS PG MENOS 450ML ANTI AEDES</t>
  </si>
  <si>
    <t>TRX-10326</t>
  </si>
  <si>
    <t>PILHA RAYOVAC ALCALINA AAA C3 1 GRATIS</t>
  </si>
  <si>
    <t>TRX-10327</t>
  </si>
  <si>
    <t>ESPONJA STA.MARIA ESFRELUX SOFT C3UN</t>
  </si>
  <si>
    <t>TRX-10328</t>
  </si>
  <si>
    <t>TRX-10329</t>
  </si>
  <si>
    <t>TRX-10330</t>
  </si>
  <si>
    <t>TRX-10331</t>
  </si>
  <si>
    <t>BACON AURORA FATIADO 250G</t>
  </si>
  <si>
    <t>TRX-10332</t>
  </si>
  <si>
    <t>TRX-10333</t>
  </si>
  <si>
    <t>TRX-10334</t>
  </si>
  <si>
    <t>QJO.JUCUR.COALHO NATURAL KG</t>
  </si>
  <si>
    <t>TRX-10335</t>
  </si>
  <si>
    <t>BISC.FORTALEZA MARIA 350G TRADICIONAL</t>
  </si>
  <si>
    <t>TRX-10336</t>
  </si>
  <si>
    <t>QJO.TIROLEZ GORG. AZUL PED.KG</t>
  </si>
  <si>
    <t>TRX-10337</t>
  </si>
  <si>
    <t>CR.TIROLEZ DE RICOTA CREMOSO 200G</t>
  </si>
  <si>
    <t>TRX-10338</t>
  </si>
  <si>
    <t>AGUA SANITARIA IGUAL 5L</t>
  </si>
  <si>
    <t>TRX-10339</t>
  </si>
  <si>
    <t>TRX-10340</t>
  </si>
  <si>
    <t>TRX-10341</t>
  </si>
  <si>
    <t>2022-07-27</t>
  </si>
  <si>
    <t>TRX-10342</t>
  </si>
  <si>
    <t>TRX-10343</t>
  </si>
  <si>
    <t>2022-07-31</t>
  </si>
  <si>
    <t>TRX-10344</t>
  </si>
  <si>
    <t>TRX-10345</t>
  </si>
  <si>
    <t>TRX-10346</t>
  </si>
  <si>
    <t>2022-07-05</t>
  </si>
  <si>
    <t>Terca Fettastica - Pepperoni - Portuguesa - Brownie - Coca- Cola 1L</t>
  </si>
  <si>
    <t>TRX-10347</t>
  </si>
  <si>
    <t>Fit Pequena - Fit- Mozzarella - Fit- Mozzarella</t>
  </si>
  <si>
    <t>TRX-10348</t>
  </si>
  <si>
    <t>2022-07-01</t>
  </si>
  <si>
    <t>TRX-10349</t>
  </si>
  <si>
    <t>CERV STELLA ARTOIS SEM GLUTEN LN 330ML</t>
  </si>
  <si>
    <t>TRX-10350</t>
  </si>
  <si>
    <t>2022-07-26</t>
  </si>
  <si>
    <t>TRX-10351</t>
  </si>
  <si>
    <t>CERV CORONITA EXTRA LN 210ML</t>
  </si>
  <si>
    <t>TRX-10352</t>
  </si>
  <si>
    <t>TRX-10353</t>
  </si>
  <si>
    <t>TRX-10354</t>
  </si>
  <si>
    <t>2022-08-03</t>
  </si>
  <si>
    <t>TRX-10355</t>
  </si>
  <si>
    <t>GUARANA LT 350ML</t>
  </si>
  <si>
    <t>TRX-10356</t>
  </si>
  <si>
    <t>TRX-10357</t>
  </si>
  <si>
    <t>2022-08-19</t>
  </si>
  <si>
    <t>CETOC+DIP BET+S. NEO</t>
  </si>
  <si>
    <t>TRX-10358</t>
  </si>
  <si>
    <t>LORATAMED CPD/12</t>
  </si>
  <si>
    <t>TRX-10359</t>
  </si>
  <si>
    <t>NIMESULIDA 100MG CPD</t>
  </si>
  <si>
    <t>TRX-10360</t>
  </si>
  <si>
    <t>MAXIDRATE 6MG NASAL</t>
  </si>
  <si>
    <t>TRX-10361</t>
  </si>
  <si>
    <t>SAL FRUTA ENO LARANJ</t>
  </si>
  <si>
    <t>TRX-10362</t>
  </si>
  <si>
    <t>SAL FRUTA ENO GUARAN</t>
  </si>
  <si>
    <t>TRX-10363</t>
  </si>
  <si>
    <t>2022-08-14</t>
  </si>
  <si>
    <t>TRX-10364</t>
  </si>
  <si>
    <t>TRX-10365</t>
  </si>
  <si>
    <t>2022-08-23</t>
  </si>
  <si>
    <t>QUATRO QUEIJOS</t>
  </si>
  <si>
    <t>TRX-10366</t>
  </si>
  <si>
    <t>MARGHERITA VERSAO 2</t>
  </si>
  <si>
    <t>TRX-10367</t>
  </si>
  <si>
    <t>TRX-10368</t>
  </si>
  <si>
    <t>2022-08-26</t>
  </si>
  <si>
    <t>TRX-10369</t>
  </si>
  <si>
    <t>TRX-10370</t>
  </si>
  <si>
    <t>2022-08-31</t>
  </si>
  <si>
    <t>TRX-10371</t>
  </si>
  <si>
    <t>TRX-10372</t>
  </si>
  <si>
    <t>2022-08-11</t>
  </si>
  <si>
    <t>Promo Relampiou Ifood - Margheritta - Portuguesa</t>
  </si>
  <si>
    <t>TRX-10373</t>
  </si>
  <si>
    <t>Coca Cola lata</t>
  </si>
  <si>
    <t>TRX-10374</t>
  </si>
  <si>
    <t>2022-08-25</t>
  </si>
  <si>
    <t>TRX-10375</t>
  </si>
  <si>
    <t>TRX-10376</t>
  </si>
  <si>
    <t>2022-09-10</t>
  </si>
  <si>
    <t>TRX-10377</t>
  </si>
  <si>
    <t>TRX-10378</t>
  </si>
  <si>
    <t>2022-09-01</t>
  </si>
  <si>
    <t>BANANA PACOVAN KG</t>
  </si>
  <si>
    <t>TRX-10379</t>
  </si>
  <si>
    <t>MELANCIA TURMA DA MONICA KG</t>
  </si>
  <si>
    <t>TRX-10380</t>
  </si>
  <si>
    <t>LIMAO TAITY KG</t>
  </si>
  <si>
    <t>TRX-10381</t>
  </si>
  <si>
    <t>MAMAO PAPAYA KG</t>
  </si>
  <si>
    <t>TRX-10382</t>
  </si>
  <si>
    <t>MELAO JAPONES KG</t>
  </si>
  <si>
    <t>TRX-10383</t>
  </si>
  <si>
    <t>TRX-10384</t>
  </si>
  <si>
    <t>TRX-10385</t>
  </si>
  <si>
    <t>TRX-10386</t>
  </si>
  <si>
    <t>AZEITONA VERDE VALE FERTIL S/CAR VD 160G</t>
  </si>
  <si>
    <t>TRX-10387</t>
  </si>
  <si>
    <t>TRX-10388</t>
  </si>
  <si>
    <t>UVA DUVALE CLARA SELETA S/ SEMENTE 500G</t>
  </si>
  <si>
    <t>TRX-10389</t>
  </si>
  <si>
    <t>REQUEIJAO CREM NESTLE 200G TRADICIONAL</t>
  </si>
  <si>
    <t>TRX-10390</t>
  </si>
  <si>
    <t>TRX-10391</t>
  </si>
  <si>
    <t>TRX-10392</t>
  </si>
  <si>
    <t>BISCOITO CASADINHO BEM ME QUER 300G</t>
  </si>
  <si>
    <t>TRX-10393</t>
  </si>
  <si>
    <t>QUEIJO CAMEMBERT SAO VICENTE 125G</t>
  </si>
  <si>
    <t>TRX-10394</t>
  </si>
  <si>
    <t>QUEIJO PARMESAO FAIXA AZUL 195G CILINDRO</t>
  </si>
  <si>
    <t>TRX-10395</t>
  </si>
  <si>
    <t>QUEIJO COALHO ILPLA KG NATURAL</t>
  </si>
  <si>
    <t>TRX-10396</t>
  </si>
  <si>
    <t>QUEIJO MUSSAR IMPORTADO LA PAULINA KG</t>
  </si>
  <si>
    <t>TRX-10397</t>
  </si>
  <si>
    <t>QUEIJO GOUDA SAO VICENTE KG</t>
  </si>
  <si>
    <t>TRX-10398</t>
  </si>
  <si>
    <t>TRX-10399</t>
  </si>
  <si>
    <t>QUEIJO BLEU DE BRESSE SAO VICENTE CAM SPEC 125G</t>
  </si>
  <si>
    <t>TRX-10400</t>
  </si>
  <si>
    <t>TRX-10401</t>
  </si>
  <si>
    <t>TRX-10402</t>
  </si>
  <si>
    <t>MORTADELA OURO PERDIGAO KG BOLOGNA</t>
  </si>
  <si>
    <t>TRX-10403</t>
  </si>
  <si>
    <t>CS SANDUICHE NATURAL UND</t>
  </si>
  <si>
    <t>TRX-10404</t>
  </si>
  <si>
    <t>CHOCOLATE CIA DO CACAU AO LEITE 100G</t>
  </si>
  <si>
    <t>TRX-10405</t>
  </si>
  <si>
    <t>BISCOITO RECH ROLADINHO PIRAQUE GOIABA 75G</t>
  </si>
  <si>
    <t>TRX-10406</t>
  </si>
  <si>
    <t>TRX-10407</t>
  </si>
  <si>
    <t>IOGURTE PENSE BATAVO 1150G ZERO MORANGO</t>
  </si>
  <si>
    <t>TRX-10408</t>
  </si>
  <si>
    <t>TRX-10409</t>
  </si>
  <si>
    <t>TRX-10410</t>
  </si>
  <si>
    <t>BOLO DIEGOS SABORES 470G</t>
  </si>
  <si>
    <t>TRX-10411</t>
  </si>
  <si>
    <t>LEITE UHT DAMARE  INTEGRAL 1L</t>
  </si>
  <si>
    <t>TRX-10412</t>
  </si>
  <si>
    <t>TRX-10413</t>
  </si>
  <si>
    <t>SUCO INT NAT DA FAZENDA PT 1,5L LARANJA</t>
  </si>
  <si>
    <t>TRX-10414</t>
  </si>
  <si>
    <t>LEITE UHT MOLICO DESN 1L</t>
  </si>
  <si>
    <t>TRX-10415</t>
  </si>
  <si>
    <t>BISCOITO ROSQ INT JASMINE AVEIA/MEL 150G</t>
  </si>
  <si>
    <t>TRX-10416</t>
  </si>
  <si>
    <t>TORRADA VITARELLA INT 142G</t>
  </si>
  <si>
    <t>TRX-10417</t>
  </si>
  <si>
    <t>BISCOITO C CRACKER VITARELLA 350G TOSTADINHA</t>
  </si>
  <si>
    <t>TRX-10418</t>
  </si>
  <si>
    <t>BISCOITO MAIZENA VITARELA 350G INTEGRAL</t>
  </si>
  <si>
    <t>TRX-10419</t>
  </si>
  <si>
    <t>BISCOITO COOKIES INT JASMINE AM PR/COCO 150G</t>
  </si>
  <si>
    <t>TRX-10420</t>
  </si>
  <si>
    <t>SALGADINHO TORCIDA CEBOLA 70G</t>
  </si>
  <si>
    <t>TRX-10421</t>
  </si>
  <si>
    <t>TRX-10422</t>
  </si>
  <si>
    <t>SALGADINHO TORCIDA PIMENTA MEXIC 70G</t>
  </si>
  <si>
    <t>TRX-10423</t>
  </si>
  <si>
    <t>TRX-10424</t>
  </si>
  <si>
    <t>PAO CLASSE A INTEGRAL 400G</t>
  </si>
  <si>
    <t>TRX-10425</t>
  </si>
  <si>
    <t>CREME NUTELLA FERRERO AVELA CACAU 140G</t>
  </si>
  <si>
    <t>TRX-10426</t>
  </si>
  <si>
    <t>TRX-10427</t>
  </si>
  <si>
    <t>TRX-10428</t>
  </si>
  <si>
    <t>TRX-10429</t>
  </si>
  <si>
    <t>TRX-10430</t>
  </si>
  <si>
    <t>CAPSULA TRES CORACOES ESP VIBRANTE C/10</t>
  </si>
  <si>
    <t>TRX-10431</t>
  </si>
  <si>
    <t>CAPSULA TRES CORACOES ESPRESSO FORZA 8G</t>
  </si>
  <si>
    <t>TRX-10432</t>
  </si>
  <si>
    <t>CAPSULA TRES CORACOES CAPPUC AVELA C/10</t>
  </si>
  <si>
    <t>TRX-10433</t>
  </si>
  <si>
    <t>CAPSULA TRES CORACOES ESP ATENTO C/10</t>
  </si>
  <si>
    <t>TRX-10434</t>
  </si>
  <si>
    <t>ESPONJA BANHO SLOW REDE C/3UN</t>
  </si>
  <si>
    <t>TRX-10435</t>
  </si>
  <si>
    <t>CAFE ALMOF 3CORACOES TRAD 250G</t>
  </si>
  <si>
    <t>TRX-10436</t>
  </si>
  <si>
    <t>SABONETE PHEBO NATURELLE 90G</t>
  </si>
  <si>
    <t>TRX-10437</t>
  </si>
  <si>
    <t>SABONETE PHEBO RAIZ DO ORIENTE 90G</t>
  </si>
  <si>
    <t>TRX-10438</t>
  </si>
  <si>
    <t>SABONETE PHEBO ODOR DE ROSAS 90G</t>
  </si>
  <si>
    <t>TRX-10439</t>
  </si>
  <si>
    <t>SAL GROSSO LEBRE 1KG</t>
  </si>
  <si>
    <t>TRX-10440</t>
  </si>
  <si>
    <t>AROMATIZANTE GLADE TF LAV 50%DES NA SEG 12ML</t>
  </si>
  <si>
    <t>TRX-10441</t>
  </si>
  <si>
    <t>VINHO CHI LOMA NEGRA 750ML PNOIR</t>
  </si>
  <si>
    <t>TRX-10442</t>
  </si>
  <si>
    <t>AZEITE GALLO EXT VIRG VD 500ML</t>
  </si>
  <si>
    <t>TRX-10443</t>
  </si>
  <si>
    <t>2022-09-17</t>
  </si>
  <si>
    <t>ZUCCHINI</t>
  </si>
  <si>
    <t>TRX-10444</t>
  </si>
  <si>
    <t>MATRICIANA</t>
  </si>
  <si>
    <t>TRX-10445</t>
  </si>
  <si>
    <t>TRX-10446</t>
  </si>
  <si>
    <t>2022-09-11</t>
  </si>
  <si>
    <t>PEIXE EXPRESSO</t>
  </si>
  <si>
    <t>TRX-10447</t>
  </si>
  <si>
    <t>REFRI 1L</t>
  </si>
  <si>
    <t>TRX-10448</t>
  </si>
  <si>
    <t>TRX-10449</t>
  </si>
  <si>
    <t>2022-09-19</t>
  </si>
  <si>
    <t>PEIXADA P/2 A 3</t>
  </si>
  <si>
    <t>TRX-10450</t>
  </si>
  <si>
    <t>TRX-10451</t>
  </si>
  <si>
    <t>2022-09-07</t>
  </si>
  <si>
    <t>TRX-10452</t>
  </si>
  <si>
    <t>CERV STELLA ARTOIS LT 269ML</t>
  </si>
  <si>
    <t>TRX-10453</t>
  </si>
  <si>
    <t>2022-09-22</t>
  </si>
  <si>
    <t>TRX-10454</t>
  </si>
  <si>
    <t>TRX-10455</t>
  </si>
  <si>
    <t>2022-09-27</t>
  </si>
  <si>
    <t>TRX-10456</t>
  </si>
  <si>
    <t>2022-09-21</t>
  </si>
  <si>
    <t>EXPOSIS SPR EXTR 100</t>
  </si>
  <si>
    <t>TRX-10457</t>
  </si>
  <si>
    <t>NEOSALDINA 30'S</t>
  </si>
  <si>
    <t>TRX-10458</t>
  </si>
  <si>
    <t>MACH 3 SENSITIVE LMPM</t>
  </si>
  <si>
    <t>TRX-10459</t>
  </si>
  <si>
    <t>SAL ENO LARANJA 100G</t>
  </si>
  <si>
    <t>TRX-10460</t>
  </si>
  <si>
    <t>2022-10-23</t>
  </si>
  <si>
    <t>TRX-10461</t>
  </si>
  <si>
    <t>TRX-10462</t>
  </si>
  <si>
    <t>2022-10-01</t>
  </si>
  <si>
    <t>TRX-10463</t>
  </si>
  <si>
    <t>TRX-10464</t>
  </si>
  <si>
    <t>TRX-10465</t>
  </si>
  <si>
    <t>2022-10-25</t>
  </si>
  <si>
    <t>Terca Fettastica - Pepperoni - 3 queijos</t>
  </si>
  <si>
    <t>TRX-10466</t>
  </si>
  <si>
    <t>Coca Cola 1Litro</t>
  </si>
  <si>
    <t>TRX-10467</t>
  </si>
  <si>
    <t>2022-10-10</t>
  </si>
  <si>
    <t>TRX-10468</t>
  </si>
  <si>
    <t>TRX-10469</t>
  </si>
  <si>
    <t>2022-10-22</t>
  </si>
  <si>
    <t>CORONITA EXTRA N OW 210ML</t>
  </si>
  <si>
    <t>TRX-10470</t>
  </si>
  <si>
    <t>HOEGAARDEN WHITE ONE WAY 330ML CX</t>
  </si>
  <si>
    <t>TRX-10471</t>
  </si>
  <si>
    <t>2022-10-05</t>
  </si>
  <si>
    <t>HDO DELIVERY</t>
  </si>
  <si>
    <t>TRX-10472</t>
  </si>
  <si>
    <t>TRX-10473</t>
  </si>
  <si>
    <t>2022-11-03</t>
  </si>
  <si>
    <t>TRX-10474</t>
  </si>
  <si>
    <t>COCA-COLA LT 350ML</t>
  </si>
  <si>
    <t>TRX-10475</t>
  </si>
  <si>
    <t>TRX-10476</t>
  </si>
  <si>
    <t>2022-11-13</t>
  </si>
  <si>
    <t>GNOCCHI COM RAGU DE ORIGEM</t>
  </si>
  <si>
    <t>TRX-10477</t>
  </si>
  <si>
    <t>TRX-10478</t>
  </si>
  <si>
    <t>TRX-10479</t>
  </si>
  <si>
    <t>POLPETTA DE ORIGEM P2</t>
  </si>
  <si>
    <t>TRX-10480</t>
  </si>
  <si>
    <t>TRX-10481</t>
  </si>
  <si>
    <t>2022-11-20</t>
  </si>
  <si>
    <t>TRX-10482</t>
  </si>
  <si>
    <t>TRX-10483</t>
  </si>
  <si>
    <t>TRX-10484</t>
  </si>
  <si>
    <t>TRX-10485</t>
  </si>
  <si>
    <t>TRX-10486</t>
  </si>
  <si>
    <t>TRX-10487</t>
  </si>
  <si>
    <t>2022-11-25</t>
  </si>
  <si>
    <t>TRX-10488</t>
  </si>
  <si>
    <t>TRX-10489</t>
  </si>
  <si>
    <t>2022-11-08</t>
  </si>
  <si>
    <t>TRX-10490</t>
  </si>
  <si>
    <t>TRX-10491</t>
  </si>
  <si>
    <t>MEATBALLS</t>
  </si>
  <si>
    <t>TRX-10492</t>
  </si>
  <si>
    <t>TRX-10493</t>
  </si>
  <si>
    <t>Terca Fettastica - Pepperoni - Mozzarella</t>
  </si>
  <si>
    <t>TRX-10494</t>
  </si>
  <si>
    <t>TRX-10495</t>
  </si>
  <si>
    <t>2022-11-16</t>
  </si>
  <si>
    <t>Pizza Grand - Margheritta - Lombinho com Reino</t>
  </si>
  <si>
    <t>TRX-10496</t>
  </si>
  <si>
    <t>2022-11-14</t>
  </si>
  <si>
    <t>TRX-10497</t>
  </si>
  <si>
    <t>TRX-10498</t>
  </si>
  <si>
    <t>2022-12-09</t>
  </si>
  <si>
    <t>TRX-10499</t>
  </si>
  <si>
    <t>TRX-10500</t>
  </si>
  <si>
    <t>TRX-10501</t>
  </si>
  <si>
    <t>2022-12-18</t>
  </si>
  <si>
    <t>TRX-10502</t>
  </si>
  <si>
    <t>TRX-10503</t>
  </si>
  <si>
    <t>2022-12-21</t>
  </si>
  <si>
    <t>TRX-10504</t>
  </si>
  <si>
    <t>QUEIJO MUSSARELA KG</t>
  </si>
  <si>
    <t>TRX-10505</t>
  </si>
  <si>
    <t>SALAME ITALIANO SEARA 100G</t>
  </si>
  <si>
    <t>TRX-10506</t>
  </si>
  <si>
    <t>LEITE FERM YAKULT C/6UN</t>
  </si>
  <si>
    <t>TRX-10507</t>
  </si>
  <si>
    <t>REQUEIJAO CREM BETANIA 200G LIGHT</t>
  </si>
  <si>
    <t>TRX-10508</t>
  </si>
  <si>
    <t>IOGURTE GREGO DANONE 90G ABACAXI C/LIMAO</t>
  </si>
  <si>
    <t>TRX-10509</t>
  </si>
  <si>
    <t>TRX-10510</t>
  </si>
  <si>
    <t>IOGURTE GREGO DANONE 90G FRUTAS VERMELHAS</t>
  </si>
  <si>
    <t>TRX-10511</t>
  </si>
  <si>
    <t>QUEIJO PARMESAO TIROLEZ KG MONTANHES</t>
  </si>
  <si>
    <t>TRX-10512</t>
  </si>
  <si>
    <t>FIGADO BOVINO CONG KG</t>
  </si>
  <si>
    <t>TRX-10513</t>
  </si>
  <si>
    <t>PRESUNTO PARMA SADIA 100G</t>
  </si>
  <si>
    <t>TRX-10514</t>
  </si>
  <si>
    <t>TRX-10515</t>
  </si>
  <si>
    <t>MANTEIGA ITACOLOMY PT 200G C/SAL</t>
  </si>
  <si>
    <t>TRX-10516</t>
  </si>
  <si>
    <t>QUEIJO AZUL REGINA FORMA KG</t>
  </si>
  <si>
    <t>TRX-10517</t>
  </si>
  <si>
    <t>QUEIJO BRIE SAO VICENTE FORMA KG</t>
  </si>
  <si>
    <t>TRX-10518</t>
  </si>
  <si>
    <t>QUEIJO GOUDA REGINA KG</t>
  </si>
  <si>
    <t>TRX-10519</t>
  </si>
  <si>
    <t>TRX-10520</t>
  </si>
  <si>
    <t>QUEIJO DO REINO REGINA 1/4 KG</t>
  </si>
  <si>
    <t>TRX-10521</t>
  </si>
  <si>
    <t>MAMAO FORMOSA KG</t>
  </si>
  <si>
    <t>TRX-10522</t>
  </si>
  <si>
    <t>AZEITONA VERDE LA VIOLETERA RECHEADA 200G</t>
  </si>
  <si>
    <t>TRX-10523</t>
  </si>
  <si>
    <t>LEITE FERM ACTIVIA 1000G AVEIA</t>
  </si>
  <si>
    <t>TRX-10524</t>
  </si>
  <si>
    <t>PEPINOS EM RODELAS HEMMER 440G</t>
  </si>
  <si>
    <t>TRX-10525</t>
  </si>
  <si>
    <t>TRX-10526</t>
  </si>
  <si>
    <t>GELEIA CASA MADEIRA TRAD MOR 240G</t>
  </si>
  <si>
    <t>TRX-10527</t>
  </si>
  <si>
    <t>UVA SEM SEMENTE THOMPSON BDJ 500G</t>
  </si>
  <si>
    <t>TRX-10528</t>
  </si>
  <si>
    <t>KIBE DA CASA KG</t>
  </si>
  <si>
    <t>TRX-10529</t>
  </si>
  <si>
    <t>MOCOTO BOVINO KG</t>
  </si>
  <si>
    <t>TRX-10530</t>
  </si>
  <si>
    <t>PAO DE QUEIJO MINEIRO DA CASA KG</t>
  </si>
  <si>
    <t>TRX-10531</t>
  </si>
  <si>
    <t>MELAO GALIA KG</t>
  </si>
  <si>
    <t>TRX-10532</t>
  </si>
  <si>
    <t>TRX-10533</t>
  </si>
  <si>
    <t>TRX-10534</t>
  </si>
  <si>
    <t>TRX-10535</t>
  </si>
  <si>
    <t>TRX-10536</t>
  </si>
  <si>
    <t>TOMATE KG</t>
  </si>
  <si>
    <t>TRX-10537</t>
  </si>
  <si>
    <t>SUCO INT VALE COLHEITAS 1,5L UVA</t>
  </si>
  <si>
    <t>TRX-10538</t>
  </si>
  <si>
    <t>TRX-10539</t>
  </si>
  <si>
    <t>BANANA PRATA KG</t>
  </si>
  <si>
    <t>TRX-10540</t>
  </si>
  <si>
    <t>TRX-10541</t>
  </si>
  <si>
    <t>KIWI KG</t>
  </si>
  <si>
    <t>TRX-10542</t>
  </si>
  <si>
    <t>BISCOITO COOKIES INT JASMINE CAP/AVEL 150G</t>
  </si>
  <si>
    <t>TRX-10543</t>
  </si>
  <si>
    <t>PALITO P/ DENTE GINA C/100</t>
  </si>
  <si>
    <t>TRX-10544</t>
  </si>
  <si>
    <t>TRX-10545</t>
  </si>
  <si>
    <t>BISCOITO C CRACKER VITARELLA 350G TRADICIONAL</t>
  </si>
  <si>
    <t>TRX-10546</t>
  </si>
  <si>
    <t>PAO VISCONTI FORMA INTEGRAL 400G</t>
  </si>
  <si>
    <t>TRX-10547</t>
  </si>
  <si>
    <t>TORRADA BAUDUCCO 142G MULTIGRAOS</t>
  </si>
  <si>
    <t>TRX-10548</t>
  </si>
  <si>
    <t>CERVEJA CORONA LN 330ML</t>
  </si>
  <si>
    <t>TRX-10549</t>
  </si>
  <si>
    <t>CERVEJA HEINEKEN  LN 330ML</t>
  </si>
  <si>
    <t>TRX-10550</t>
  </si>
  <si>
    <t>TRX-10551</t>
  </si>
  <si>
    <t>TRX-10552</t>
  </si>
  <si>
    <t>SUCO INT NATURAL ONE PT 900ML LARANJA RESF</t>
  </si>
  <si>
    <t>TRX-10553</t>
  </si>
  <si>
    <t>DESODORANTE AER REXONA MEN ANTIBAC 150ML</t>
  </si>
  <si>
    <t>TRX-10554</t>
  </si>
  <si>
    <t>ESPONJA BANHO NYLON C/2 UND</t>
  </si>
  <si>
    <t>TRX-10555</t>
  </si>
  <si>
    <t>SACO ENXUGAO COR ALGO BOM 40X68CM</t>
  </si>
  <si>
    <t>TRX-10556</t>
  </si>
  <si>
    <t>PAPEL HIGIENICO FOFEX ECO F. DUPLA LV12PG11</t>
  </si>
  <si>
    <t>TRX-10557</t>
  </si>
  <si>
    <t>TRX-10558</t>
  </si>
  <si>
    <t>SABONETE PHEBO AMAZONIAN 90G</t>
  </si>
  <si>
    <t>TRX-10559</t>
  </si>
  <si>
    <t>CREME DENT COLGATE MPA 180G</t>
  </si>
  <si>
    <t>TRX-10560</t>
  </si>
  <si>
    <t>DESODORANTE AER REXONA MEN TORC FAN 150ML</t>
  </si>
  <si>
    <t>TRX-10561</t>
  </si>
  <si>
    <t>TRX-10562</t>
  </si>
  <si>
    <t>FIO DENTAL REACH ESSENC JUA 100M</t>
  </si>
  <si>
    <t>TRX-10563</t>
  </si>
  <si>
    <t>TOALHA PAPEL ABSOLUTO BCO C/120</t>
  </si>
  <si>
    <t>TRX-10564</t>
  </si>
  <si>
    <t>OVOS BRANCO DA GEMA C/30</t>
  </si>
  <si>
    <t>TRX-10565</t>
  </si>
  <si>
    <t>2022-12-20</t>
  </si>
  <si>
    <t>MEI QUE DONALDS</t>
  </si>
  <si>
    <t>TRX-10566</t>
  </si>
  <si>
    <t>TRX-10567</t>
  </si>
  <si>
    <t>2022-12-27</t>
  </si>
  <si>
    <t>TRX-10568</t>
  </si>
  <si>
    <t>TRX-10569</t>
  </si>
  <si>
    <t>2022-12-28</t>
  </si>
  <si>
    <t>PEPPERONI</t>
  </si>
  <si>
    <t>TRX-10570</t>
  </si>
  <si>
    <t>TRX-10571</t>
  </si>
  <si>
    <t>TRX-10572</t>
  </si>
  <si>
    <t>2022-12-01</t>
  </si>
  <si>
    <t>TRX-10573</t>
  </si>
  <si>
    <t>TRX-10574</t>
  </si>
  <si>
    <t>2022-12-04</t>
  </si>
  <si>
    <t>TRX-10575</t>
  </si>
  <si>
    <t>TRX-10576</t>
  </si>
  <si>
    <t>TRX-10577</t>
  </si>
  <si>
    <t>2022-12-05</t>
  </si>
  <si>
    <t>TRX-10578</t>
  </si>
  <si>
    <t>TRX-10579</t>
  </si>
  <si>
    <t>TRX-10580</t>
  </si>
  <si>
    <t>TRX-10581</t>
  </si>
  <si>
    <t>2022-12-19</t>
  </si>
  <si>
    <t>TRX-10582</t>
  </si>
  <si>
    <t>TRX-10583</t>
  </si>
  <si>
    <t>BOLINHO DE BACALHAU 50G</t>
  </si>
  <si>
    <t>Leroy Merlin</t>
  </si>
  <si>
    <t>TRX-10584</t>
  </si>
  <si>
    <t>TRX-10585</t>
  </si>
  <si>
    <t>TRX-10586</t>
  </si>
  <si>
    <t>TRX-10587</t>
  </si>
  <si>
    <t>SN  VENTILADOR MONDIAL TUR 7899882310061 2026 02</t>
  </si>
  <si>
    <t>TRX-10588</t>
  </si>
  <si>
    <t>2023-01-19</t>
  </si>
  <si>
    <t>TRX-10589</t>
  </si>
  <si>
    <t>TRX-10590</t>
  </si>
  <si>
    <t>BUDWEISER</t>
  </si>
  <si>
    <t>TRX-10591</t>
  </si>
  <si>
    <t>GIACONDICASA ROSSO</t>
  </si>
  <si>
    <t>TRX-10592</t>
  </si>
  <si>
    <t>TRX-10593</t>
  </si>
  <si>
    <t>2023-01-21</t>
  </si>
  <si>
    <t>TRX-10594</t>
  </si>
  <si>
    <t>ESPORAO PE TINTO</t>
  </si>
  <si>
    <t>TRX-10595</t>
  </si>
  <si>
    <t>TRX-10596</t>
  </si>
  <si>
    <t>2023-01-09</t>
  </si>
  <si>
    <t>TRX-10597</t>
  </si>
  <si>
    <t>CERV STELLA ARTOIS LN 350ML PACK 24</t>
  </si>
  <si>
    <t>TRX-10598</t>
  </si>
  <si>
    <t>2023-01-22</t>
  </si>
  <si>
    <t>TRX-10599</t>
  </si>
  <si>
    <t>CERV BOHEMIA LT 350ML PACK 24</t>
  </si>
  <si>
    <t>TRX-10600</t>
  </si>
  <si>
    <t>2023-02-15</t>
  </si>
  <si>
    <t>TRX-10601</t>
  </si>
  <si>
    <t>TRX-10602</t>
  </si>
  <si>
    <t>2023-02-17</t>
  </si>
  <si>
    <t>TRX-10603</t>
  </si>
  <si>
    <t>TRX-10604</t>
  </si>
  <si>
    <t>TRX-10605</t>
  </si>
  <si>
    <t>2023-02-22</t>
  </si>
  <si>
    <t>TRX-10606</t>
  </si>
  <si>
    <t>TRX-10607</t>
  </si>
  <si>
    <t>TRX-10608</t>
  </si>
  <si>
    <t>2023-02-26</t>
  </si>
  <si>
    <t>TRX-10609</t>
  </si>
  <si>
    <t>TRX-10610</t>
  </si>
  <si>
    <t>TRX-10611</t>
  </si>
  <si>
    <t>TRX-10612</t>
  </si>
  <si>
    <t>2023-02-05</t>
  </si>
  <si>
    <t>STELA ARTOIS 600ML</t>
  </si>
  <si>
    <t>TRX-10613</t>
  </si>
  <si>
    <t>COCA COLA 1 LITRO</t>
  </si>
  <si>
    <t>TRX-10614</t>
  </si>
  <si>
    <t>TRX-10615</t>
  </si>
  <si>
    <t>2023-02-07</t>
  </si>
  <si>
    <t>TRX-10616</t>
  </si>
  <si>
    <t>TRX-10617</t>
  </si>
  <si>
    <t>2023-02-08</t>
  </si>
  <si>
    <t>TRX-10618</t>
  </si>
  <si>
    <t>TILAPIA A DORE</t>
  </si>
  <si>
    <t>TRX-10619</t>
  </si>
  <si>
    <t>BRAHMA DUPLO MALTE 600ML</t>
  </si>
  <si>
    <t>TRX-10620</t>
  </si>
  <si>
    <t>TRX-10621</t>
  </si>
  <si>
    <t>2023-02-09</t>
  </si>
  <si>
    <t>TRX-10622</t>
  </si>
  <si>
    <t>TRX-10623</t>
  </si>
  <si>
    <t>2023-02-10</t>
  </si>
  <si>
    <t>BOLINHO DE CAMARAO 6 UNID</t>
  </si>
  <si>
    <t>TRX-10624</t>
  </si>
  <si>
    <t>TRX-10625</t>
  </si>
  <si>
    <t>TRX-10626</t>
  </si>
  <si>
    <t>2023-02-11</t>
  </si>
  <si>
    <t>TRX-10627</t>
  </si>
  <si>
    <t>TRX-10628</t>
  </si>
  <si>
    <t>TRX-10629</t>
  </si>
  <si>
    <t>2023-02-18</t>
  </si>
  <si>
    <t>TRX-10630</t>
  </si>
  <si>
    <t>TRX-10631</t>
  </si>
  <si>
    <t>2023-02-04</t>
  </si>
  <si>
    <t>PARACAS  T   M</t>
  </si>
  <si>
    <t>TRX-10632</t>
  </si>
  <si>
    <t>GUARANA ZERO ANTARCTICA LATA</t>
  </si>
  <si>
    <t>TRX-10633</t>
  </si>
  <si>
    <t>JAMBON FROMAGE</t>
  </si>
  <si>
    <t>TRX-10634</t>
  </si>
  <si>
    <t>STELLA ARTOIS</t>
  </si>
  <si>
    <t>TRX-10635</t>
  </si>
  <si>
    <t>SAINT MALO  T   M</t>
  </si>
  <si>
    <t>TRX-10636</t>
  </si>
  <si>
    <t>ARCACHON</t>
  </si>
  <si>
    <t>TRX-10637</t>
  </si>
  <si>
    <t>2023-02-21</t>
  </si>
  <si>
    <t>BITTER CAMPARI 900ML</t>
  </si>
  <si>
    <t>TRX-10638</t>
  </si>
  <si>
    <t>CAMPARI NEGRONI 500</t>
  </si>
  <si>
    <t>TRX-10639</t>
  </si>
  <si>
    <t>2023-03-07</t>
  </si>
  <si>
    <t>TRX-10640</t>
  </si>
  <si>
    <t>TRX-10641</t>
  </si>
  <si>
    <t>TRX-10642</t>
  </si>
  <si>
    <t>2023-03-30</t>
  </si>
  <si>
    <t>TRX-10643</t>
  </si>
  <si>
    <t>TRX-10644</t>
  </si>
  <si>
    <t>2023-03-17</t>
  </si>
  <si>
    <t>TRX-10645</t>
  </si>
  <si>
    <t>TRX-10646</t>
  </si>
  <si>
    <t>2023-03-19</t>
  </si>
  <si>
    <t>AGUA TONICA</t>
  </si>
  <si>
    <t>TRX-10647</t>
  </si>
  <si>
    <t>TRX-10648</t>
  </si>
  <si>
    <t>TRX-10649</t>
  </si>
  <si>
    <t>2023-03-04</t>
  </si>
  <si>
    <t>TRX-10650</t>
  </si>
  <si>
    <t>TRX-10651</t>
  </si>
  <si>
    <t>TRX-10652</t>
  </si>
  <si>
    <t>TRX-10653</t>
  </si>
  <si>
    <t>TRX-10654</t>
  </si>
  <si>
    <t>TRX-10655</t>
  </si>
  <si>
    <t>2023-03-21</t>
  </si>
  <si>
    <t>PIZZA GRANDE 8 FATIAS+REFRI 1</t>
  </si>
  <si>
    <t>TRX-10656</t>
  </si>
  <si>
    <t>TRX-10657</t>
  </si>
  <si>
    <t>2023-03-25</t>
  </si>
  <si>
    <t>TRX-10658</t>
  </si>
  <si>
    <t>TRX-10659</t>
  </si>
  <si>
    <t>TRX-10660</t>
  </si>
  <si>
    <t>TRX-10661</t>
  </si>
  <si>
    <t>2023-03-12</t>
  </si>
  <si>
    <t>TRX-10662</t>
  </si>
  <si>
    <t>TRX-10663</t>
  </si>
  <si>
    <t>2023-03-18</t>
  </si>
  <si>
    <t>GIN AMAZZONI 750 ML</t>
  </si>
  <si>
    <t>TRX-10664</t>
  </si>
  <si>
    <t>2023-04-16</t>
  </si>
  <si>
    <t>PARMEGGIANA DE FRANGO 2 P</t>
  </si>
  <si>
    <t>TRX-10665</t>
  </si>
  <si>
    <t>TRX-10666</t>
  </si>
  <si>
    <t>2023-04-22</t>
  </si>
  <si>
    <t>TRX-10667</t>
  </si>
  <si>
    <t>TRX-10668</t>
  </si>
  <si>
    <t>2023-04-09</t>
  </si>
  <si>
    <t>TRX-10669</t>
  </si>
  <si>
    <t>TRX-10670</t>
  </si>
  <si>
    <t>2023-04-18</t>
  </si>
  <si>
    <t>COCA COLA 1L DELIVERY</t>
  </si>
  <si>
    <t>TRX-10671</t>
  </si>
  <si>
    <t>TRX-10672</t>
  </si>
  <si>
    <t>TRX-10673</t>
  </si>
  <si>
    <t>2023-04-08</t>
  </si>
  <si>
    <t>TRX-10674</t>
  </si>
  <si>
    <t>LA MEXICAINE</t>
  </si>
  <si>
    <t>TRX-10675</t>
  </si>
  <si>
    <t>GC SALAME ITALIANO</t>
  </si>
  <si>
    <t>TRX-10676</t>
  </si>
  <si>
    <t>2023-04-14</t>
  </si>
  <si>
    <t>Nhoque a bolonhesa grande Coca cola lata</t>
  </si>
  <si>
    <t>TRX-10677</t>
  </si>
  <si>
    <t>Pote Penne ao molho de salmao com champignon e alho poro Grande</t>
  </si>
  <si>
    <t>TRX-10678</t>
  </si>
  <si>
    <t>Pote Fusilli ao molho sugo com bacon e almondegas Medio</t>
  </si>
  <si>
    <t>TRX-10679</t>
  </si>
  <si>
    <t>2023-04-06</t>
  </si>
  <si>
    <t>TRX-10680</t>
  </si>
  <si>
    <t>CINZANO ROSSO 1 L</t>
  </si>
  <si>
    <t>TRX-10681</t>
  </si>
  <si>
    <t>GIN TANQUERAY 750ML</t>
  </si>
  <si>
    <t>TRX-10682</t>
  </si>
  <si>
    <t>2023-05-04</t>
  </si>
  <si>
    <t>TRX-10683</t>
  </si>
  <si>
    <t>TRX-10684</t>
  </si>
  <si>
    <t>2023-05-02</t>
  </si>
  <si>
    <t>TRX-10685</t>
  </si>
  <si>
    <t>TRX-10686</t>
  </si>
  <si>
    <t>2023-05-03</t>
  </si>
  <si>
    <t>TRX-10687</t>
  </si>
  <si>
    <t>TRX-10688</t>
  </si>
  <si>
    <t>TRX-10689</t>
  </si>
  <si>
    <t>2023-05-08</t>
  </si>
  <si>
    <t>TRX-10690</t>
  </si>
  <si>
    <t>TRX-10691</t>
  </si>
  <si>
    <t>2023-05-27</t>
  </si>
  <si>
    <t>TRX-10692</t>
  </si>
  <si>
    <t>TRX-10693</t>
  </si>
  <si>
    <t>2023-05-21</t>
  </si>
  <si>
    <t>TRX-10694</t>
  </si>
  <si>
    <t>TRX-10695</t>
  </si>
  <si>
    <t>2023-05-20</t>
  </si>
  <si>
    <t>TRX-10696</t>
  </si>
  <si>
    <t>2023-06-30</t>
  </si>
  <si>
    <t>VELAS DE IGNICAO NGK TR6B10</t>
  </si>
  <si>
    <t>TRX-10697</t>
  </si>
  <si>
    <t>CABO DE VELAS NGK SCF30</t>
  </si>
  <si>
    <t>TRX-10698</t>
  </si>
  <si>
    <t>TANQUE DE COMBUSTIVEL FORD SEMINOVO</t>
  </si>
  <si>
    <t>TRX-10699</t>
  </si>
  <si>
    <t>FILTRO DE COMB WEGA FCI1695AKL420G9291GI60</t>
  </si>
  <si>
    <t>TRX-10700</t>
  </si>
  <si>
    <t>TERMINAL DE BATERIA ILG TSM112R</t>
  </si>
  <si>
    <t>TRX-10701</t>
  </si>
  <si>
    <t>CILINDRO DE RODA RCCR028805958C3472</t>
  </si>
  <si>
    <t>TRX-10702</t>
  </si>
  <si>
    <t>CABO FREIO MAO TUBA 8664107471 TRASEIRODUPLO</t>
  </si>
  <si>
    <t>TRX-10703</t>
  </si>
  <si>
    <t>SISTEMA ELETRICO FORD ABS USADO</t>
  </si>
  <si>
    <t>TRX-10704</t>
  </si>
  <si>
    <t>OLEO DE FREIO VARGA DOT4 500MLC0054</t>
  </si>
  <si>
    <t>TRX-10705</t>
  </si>
  <si>
    <t>AZEITONA VALE FERTIL SCAROCO SACHET 120G</t>
  </si>
  <si>
    <t>TRX-10706</t>
  </si>
  <si>
    <t>TRX-10707</t>
  </si>
  <si>
    <t>CERVEJA HOEGAARDEN 330ML WITBIER</t>
  </si>
  <si>
    <t>TRX-10708</t>
  </si>
  <si>
    <t>CERVEJA CORONA 330ML EXTRA LONG NECK</t>
  </si>
  <si>
    <t>TRX-10709</t>
  </si>
  <si>
    <t>TRX-10710</t>
  </si>
  <si>
    <t>CERVEJA ESTRELLA GALICIA 355ML PREMIUM LAGER LN</t>
  </si>
  <si>
    <t>TRX-10711</t>
  </si>
  <si>
    <t>TRX-10712</t>
  </si>
  <si>
    <t>TRX-10713</t>
  </si>
  <si>
    <t>CERVEJA CORONITA 210ML EXTRA LONG NECK</t>
  </si>
  <si>
    <t>TRX-10714</t>
  </si>
  <si>
    <t>BACON DALIA EXTRA LONBO FAT KG</t>
  </si>
  <si>
    <t>TRX-10715</t>
  </si>
  <si>
    <t>TRX-10716</t>
  </si>
  <si>
    <t>TRX-10717</t>
  </si>
  <si>
    <t>TRX-10718</t>
  </si>
  <si>
    <t>PRESUNTO DOR SELECAO 80G ITALIANO FATIADO</t>
  </si>
  <si>
    <t>TRX-10719</t>
  </si>
  <si>
    <t>QJO.TIROLEZ BRIE 125G CARTUCHO</t>
  </si>
  <si>
    <t>TRX-10720</t>
  </si>
  <si>
    <t>TRX-10721</t>
  </si>
  <si>
    <t>LTE.FERM.ACTIVIA 800G VITAMINA DE FRUTAS</t>
  </si>
  <si>
    <t>TRX-10722</t>
  </si>
  <si>
    <t>QJO.CATOLE MUSSARELA KG</t>
  </si>
  <si>
    <t>TRX-10723</t>
  </si>
  <si>
    <t>TRX-10724</t>
  </si>
  <si>
    <t>PAO DE QUEIJO FORNO MINAS 820G LANCHE</t>
  </si>
  <si>
    <t>TRX-10725</t>
  </si>
  <si>
    <t>MORTADELA SEARA GOURMET DEFUMADA KG</t>
  </si>
  <si>
    <t>TRX-10726</t>
  </si>
  <si>
    <t>FIGADO BOM TODO 500G BDJ</t>
  </si>
  <si>
    <t>TRX-10727</t>
  </si>
  <si>
    <t>TRX-10728</t>
  </si>
  <si>
    <t>TRX-10729</t>
  </si>
  <si>
    <t>TRX-10730</t>
  </si>
  <si>
    <t>ACHOC.LIQ.TODDYNHO 200ML TRADICIONAL</t>
  </si>
  <si>
    <t>TRX-10731</t>
  </si>
  <si>
    <t>TRX-10732</t>
  </si>
  <si>
    <t>TRX-10733</t>
  </si>
  <si>
    <t>TRX-10734</t>
  </si>
  <si>
    <t>TRX-10735</t>
  </si>
  <si>
    <t>TRX-10736</t>
  </si>
  <si>
    <t>TRX-10737</t>
  </si>
  <si>
    <t>MANGA TOMMY KG</t>
  </si>
  <si>
    <t>TRX-10738</t>
  </si>
  <si>
    <t>AIPO 2MFC UNIDADE</t>
  </si>
  <si>
    <t>TRX-10739</t>
  </si>
  <si>
    <t>ALHO A GRANEL KG</t>
  </si>
  <si>
    <t>TRX-10740</t>
  </si>
  <si>
    <t>TRX-10741</t>
  </si>
  <si>
    <t>JERIMUM JACAREZINHO KG</t>
  </si>
  <si>
    <t>TRX-10742</t>
  </si>
  <si>
    <t>REFRIG.PEPSI COLA 200ML PET</t>
  </si>
  <si>
    <t>TRX-10743</t>
  </si>
  <si>
    <t>SUCO PRATS INTEGRAL 900ML LARANJA PET</t>
  </si>
  <si>
    <t>TRX-10744</t>
  </si>
  <si>
    <t>TRX-10745</t>
  </si>
  <si>
    <t>TRX-10746</t>
  </si>
  <si>
    <t>TRX-10747</t>
  </si>
  <si>
    <t>TRX-10748</t>
  </si>
  <si>
    <t>TRX-10749</t>
  </si>
  <si>
    <t>TRX-10750</t>
  </si>
  <si>
    <t>MOLHO MASTROIANI PASSATA POMOD.680G APIMENTADO VD</t>
  </si>
  <si>
    <t>TRX-10751</t>
  </si>
  <si>
    <t>AZEITE DE OLIVA ANDORINHA 500ML EXT.VIRGEM VIDRO</t>
  </si>
  <si>
    <t>TRX-10752</t>
  </si>
  <si>
    <t>MOLHO MASTROIANI PASSATA POMOD.680G RUSTICA CMANJ</t>
  </si>
  <si>
    <t>TRX-10753</t>
  </si>
  <si>
    <t>MAGIC TOAST MARILAN 150G</t>
  </si>
  <si>
    <t>TRX-10754</t>
  </si>
  <si>
    <t>TRX-10755</t>
  </si>
  <si>
    <t>BISC.MARILAN 350G CREAM CRACKER ESPECIAL</t>
  </si>
  <si>
    <t>TRX-10756</t>
  </si>
  <si>
    <t>ALCAPARRAS LAVIOLETERA 60G</t>
  </si>
  <si>
    <t>TRX-10757</t>
  </si>
  <si>
    <t>FLOCAO DE MILHO VITAMILHO 500G</t>
  </si>
  <si>
    <t>TRX-10758</t>
  </si>
  <si>
    <t>SAL LEBRE PCHURRASCO 1KG</t>
  </si>
  <si>
    <t>TRX-10759</t>
  </si>
  <si>
    <t>ARROZ CAMIL 1KG PARBOILIZADO T.1</t>
  </si>
  <si>
    <t>TRX-10760</t>
  </si>
  <si>
    <t>TRX-10761</t>
  </si>
  <si>
    <t>TRX-10762</t>
  </si>
  <si>
    <t>TRX-10763</t>
  </si>
  <si>
    <t>CAPSULA TRES 80G CAFE ESPRESSO SUPREMO C10</t>
  </si>
  <si>
    <t>TRX-10764</t>
  </si>
  <si>
    <t>TRX-10765</t>
  </si>
  <si>
    <t>TRX-10766</t>
  </si>
  <si>
    <t>PEIXE SARDINHA CONG.LAJE 1KG</t>
  </si>
  <si>
    <t>TRX-10767</t>
  </si>
  <si>
    <t>TRX-10768</t>
  </si>
  <si>
    <t>TRX-10769</t>
  </si>
  <si>
    <t>DESOD.AERO.REXONA MEN INVISIBLE 250ML145G</t>
  </si>
  <si>
    <t>TRX-10770</t>
  </si>
  <si>
    <t>PAPEL HIG.NEVE NEUTRO LV16 PG15 COMPACTO</t>
  </si>
  <si>
    <t>TRX-10771</t>
  </si>
  <si>
    <t>TRX-10772</t>
  </si>
  <si>
    <t>TRX-10773</t>
  </si>
  <si>
    <t>TRX-10774</t>
  </si>
  <si>
    <t>TRX-10775</t>
  </si>
  <si>
    <t>DESOD.AERO.REXONA MEN V8 250ML148G</t>
  </si>
  <si>
    <t>TRX-10776</t>
  </si>
  <si>
    <t>CR.DENTAL COLGATE 180G MAX.PROT.CARIES</t>
  </si>
  <si>
    <t>TRX-10777</t>
  </si>
  <si>
    <t>TRX-10778</t>
  </si>
  <si>
    <t>VERMOUTH MARTINI 750ML ROSSO</t>
  </si>
  <si>
    <t>TRX-10779</t>
  </si>
  <si>
    <t>GIN BEEFEATER LONDON 750ML</t>
  </si>
  <si>
    <t>TRX-10780</t>
  </si>
  <si>
    <t>APERITIVO CAMPARI 900ML</t>
  </si>
  <si>
    <t>TRX-10781</t>
  </si>
  <si>
    <t>2023-06-11</t>
  </si>
  <si>
    <t>TRX-10782</t>
  </si>
  <si>
    <t>TRX-10783</t>
  </si>
  <si>
    <t>2023-06-15</t>
  </si>
  <si>
    <t>TRX-10784</t>
  </si>
  <si>
    <t>TRX-10785</t>
  </si>
  <si>
    <t>2023-06-18</t>
  </si>
  <si>
    <t>TRX-10786</t>
  </si>
  <si>
    <t>TRX-10787</t>
  </si>
  <si>
    <t>2023-07-22</t>
  </si>
  <si>
    <t>HISTAMIN 100ML</t>
  </si>
  <si>
    <t>TRX-10788</t>
  </si>
  <si>
    <t>TRX-10789</t>
  </si>
  <si>
    <t>CL AMBROXOL XPE ADT</t>
  </si>
  <si>
    <t>TRX-10790</t>
  </si>
  <si>
    <t>SORO FISIOL PMENOS 0</t>
  </si>
  <si>
    <t>TRX-10791</t>
  </si>
  <si>
    <t>TRX-10792</t>
  </si>
  <si>
    <t>2023-07-03</t>
  </si>
  <si>
    <t>BICO INJETOR IGUACU 5010127</t>
  </si>
  <si>
    <t>TRX-10793</t>
  </si>
  <si>
    <t>2023-07-09</t>
  </si>
  <si>
    <t>TRX-10794</t>
  </si>
  <si>
    <t>TRX-10795</t>
  </si>
  <si>
    <t>2023-07-19</t>
  </si>
  <si>
    <t>TRX-10796</t>
  </si>
  <si>
    <t>TRX-10797</t>
  </si>
  <si>
    <t>TRX-10798</t>
  </si>
  <si>
    <t>TRX-10799</t>
  </si>
  <si>
    <t>2023-08-08</t>
  </si>
  <si>
    <t>TRX-10800</t>
  </si>
  <si>
    <t>TRX-10801</t>
  </si>
  <si>
    <t>2023-09-15</t>
  </si>
  <si>
    <t>TRX-10802</t>
  </si>
  <si>
    <t>TRX-10803</t>
  </si>
  <si>
    <t>TRX-10804</t>
  </si>
  <si>
    <t>2023-09-30</t>
  </si>
  <si>
    <t>TRX-10805</t>
  </si>
  <si>
    <t>TRX-10806</t>
  </si>
  <si>
    <t>2023-09-03</t>
  </si>
  <si>
    <t>AZEITONA VERDE MARIZA 500G INTEIRA SHACEH</t>
  </si>
  <si>
    <t>TRX-10807</t>
  </si>
  <si>
    <t>TRX-10808</t>
  </si>
  <si>
    <t>TRX-10809</t>
  </si>
  <si>
    <t>QUEIJO NATVILLE MUSSARELA KG</t>
  </si>
  <si>
    <t>TRX-10810</t>
  </si>
  <si>
    <t>TRX-10811</t>
  </si>
  <si>
    <t>PEPINO VALE FERTIL 300G VIDRO</t>
  </si>
  <si>
    <t>TRX-10812</t>
  </si>
  <si>
    <t>COPA FATIADO SADIA 100G</t>
  </si>
  <si>
    <t>TRX-10813</t>
  </si>
  <si>
    <t>SALAME AURORA 100G FATIADO</t>
  </si>
  <si>
    <t>TRX-10814</t>
  </si>
  <si>
    <t>TRX-10815</t>
  </si>
  <si>
    <t>BACON SADIA FATIADO BAF 250G</t>
  </si>
  <si>
    <t>TRX-10816</t>
  </si>
  <si>
    <t>SOBRECOXA BOM TODO CONG. 1KG BDJ</t>
  </si>
  <si>
    <t>TRX-10817</t>
  </si>
  <si>
    <t>TRX-10818</t>
  </si>
  <si>
    <t>TAFF MAN-EX 110ML UND</t>
  </si>
  <si>
    <t>TRX-10819</t>
  </si>
  <si>
    <t>TRX-10820</t>
  </si>
  <si>
    <t>TRX-10821</t>
  </si>
  <si>
    <t>TRX-10822</t>
  </si>
  <si>
    <t>TRX-10823</t>
  </si>
  <si>
    <t>TRX-10824</t>
  </si>
  <si>
    <t>TRX-10825</t>
  </si>
  <si>
    <t>TRX-10826</t>
  </si>
  <si>
    <t>TRX-10827</t>
  </si>
  <si>
    <t>PASSATA DI POMOD.LA PASTINA 680G VD</t>
  </si>
  <si>
    <t>TRX-10828</t>
  </si>
  <si>
    <t>MOLHO MASTROIANI PASSATA 420G</t>
  </si>
  <si>
    <t>TRX-10829</t>
  </si>
  <si>
    <t>TRX-10830</t>
  </si>
  <si>
    <t>BISCOITO MARILAN 350G CREAM CRACKER ESPECIAL</t>
  </si>
  <si>
    <t>TRX-10831</t>
  </si>
  <si>
    <t>TRX-10832</t>
  </si>
  <si>
    <t>MAGIC TOAST MARILAN 144G LIGHT</t>
  </si>
  <si>
    <t>TRX-10833</t>
  </si>
  <si>
    <t>TRX-10834</t>
  </si>
  <si>
    <t>TRX-10835</t>
  </si>
  <si>
    <t>AVEIA QUAKER 450G FLOCOS FINOS CX</t>
  </si>
  <si>
    <t>TRX-10836</t>
  </si>
  <si>
    <t>ARROZ MEU BIJU 1KG PARBOLIZADO</t>
  </si>
  <si>
    <t>TRX-10837</t>
  </si>
  <si>
    <t>TRX-10838</t>
  </si>
  <si>
    <t>XEREM VITAMILHO 500GR</t>
  </si>
  <si>
    <t>TRX-10839</t>
  </si>
  <si>
    <t>TRX-10840</t>
  </si>
  <si>
    <t>MILHO PPIPOCA REI DE OURO 500G</t>
  </si>
  <si>
    <t>TRX-10841</t>
  </si>
  <si>
    <t>FARINHA DE ARROZ URBANO 500G FLOCADA SGLUTEN</t>
  </si>
  <si>
    <t>TRX-10842</t>
  </si>
  <si>
    <t>FARINHA DE MILHO NORDESTINO 500G PRE COZIDO</t>
  </si>
  <si>
    <t>TRX-10843</t>
  </si>
  <si>
    <t>TRX-10844</t>
  </si>
  <si>
    <t>TRX-10845</t>
  </si>
  <si>
    <t>GATORADE 500ML MORANGOMARACUJA</t>
  </si>
  <si>
    <t>TRX-10846</t>
  </si>
  <si>
    <t>GATORADE 500ML MARACUJA</t>
  </si>
  <si>
    <t>TRX-10847</t>
  </si>
  <si>
    <t>VINAGRE MONTES VERDES ORG. 530ML MACA</t>
  </si>
  <si>
    <t>TRX-10848</t>
  </si>
  <si>
    <t>GELEIA CASA MADEIRA 220G SUGAR ZERO FRUTAS VERMELH</t>
  </si>
  <si>
    <t>TRX-10849</t>
  </si>
  <si>
    <t>MOLHO DE PIMENTA TABASCO 60ML RED PEPPER SAUCE OR</t>
  </si>
  <si>
    <t>TRX-10850</t>
  </si>
  <si>
    <t>TRX-10851</t>
  </si>
  <si>
    <t>REFRIGERANTE PEPSI COLA 200ML PET</t>
  </si>
  <si>
    <t>TRX-10852</t>
  </si>
  <si>
    <t>TRX-10853</t>
  </si>
  <si>
    <t>TRX-10854</t>
  </si>
  <si>
    <t>TRX-10855</t>
  </si>
  <si>
    <t>TRX-10856</t>
  </si>
  <si>
    <t>ACHOCOLATADO LIQ.TODDYNHO 200ML TRADICIONAL</t>
  </si>
  <si>
    <t>TRX-10857</t>
  </si>
  <si>
    <t>TRX-10858</t>
  </si>
  <si>
    <t>CERVEJA HEINEKEN 269ML LATA</t>
  </si>
  <si>
    <t>TRX-10859</t>
  </si>
  <si>
    <t>TRX-10860</t>
  </si>
  <si>
    <t>INSETICIDA SBP AERO MULTI INSETICIDA ECON. 380ML E</t>
  </si>
  <si>
    <t>TRX-10861</t>
  </si>
  <si>
    <t>REPELENTE REPELEX LOCAO FAMILY 200ML 25DESC</t>
  </si>
  <si>
    <t>TRX-10862</t>
  </si>
  <si>
    <t>INSPIRA GEL ADESIVO CITRUS 42GR</t>
  </si>
  <si>
    <t>TRX-10863</t>
  </si>
  <si>
    <t>2023-09-29</t>
  </si>
  <si>
    <t>VH CH T TR MD CAB750</t>
  </si>
  <si>
    <t>TRX-10864</t>
  </si>
  <si>
    <t>BADEN PILS CRIST 600</t>
  </si>
  <si>
    <t>TRX-10865</t>
  </si>
  <si>
    <t>CERV HEINEKEN 350ML</t>
  </si>
  <si>
    <t>TRX-10866</t>
  </si>
  <si>
    <t>2023-10-03</t>
  </si>
  <si>
    <t>SARDINHA LAGE HG IQF 1KG</t>
  </si>
  <si>
    <t>TRX-10867</t>
  </si>
  <si>
    <t>SARDINHA INT MB PCT 800G</t>
  </si>
  <si>
    <t>TRX-10868</t>
  </si>
  <si>
    <t>BACON FATIADO FLESTE CG KG</t>
  </si>
  <si>
    <t>TRX-10869</t>
  </si>
  <si>
    <t>MAMINHA IMP TACUAREMBO CG KG</t>
  </si>
  <si>
    <t>TRX-10870</t>
  </si>
  <si>
    <t>LOMBO SUINO IN FLESTE CG KG</t>
  </si>
  <si>
    <t>TRX-10871</t>
  </si>
  <si>
    <t>MAMINHA MB CG KG</t>
  </si>
  <si>
    <t>TRX-10872</t>
  </si>
  <si>
    <t>FIGADO BOV PORC MB</t>
  </si>
  <si>
    <t>TRX-10873</t>
  </si>
  <si>
    <t>TRX-10874</t>
  </si>
  <si>
    <t>TRX-10875</t>
  </si>
  <si>
    <t>COSTELA BOV TIRA VAC MBLACK CG K</t>
  </si>
  <si>
    <t>TRX-10876</t>
  </si>
  <si>
    <t>BARRIGA SUINO  PANC  CG FRIMESA</t>
  </si>
  <si>
    <t>TRX-10877</t>
  </si>
  <si>
    <t>TRX-10878</t>
  </si>
  <si>
    <t>CASTANHA HG 7 10 MB 800G</t>
  </si>
  <si>
    <t>TRX-10879</t>
  </si>
  <si>
    <t>TRX-10880</t>
  </si>
  <si>
    <t>TRX-10881</t>
  </si>
  <si>
    <t>FILE SUI IN SADIA CG KG</t>
  </si>
  <si>
    <t>TRX-10882</t>
  </si>
  <si>
    <t>TRX-10883</t>
  </si>
  <si>
    <t>TRX-10884</t>
  </si>
  <si>
    <t>LINGUICA BOV CG MBLACK 300G</t>
  </si>
  <si>
    <t>TRX-10885</t>
  </si>
  <si>
    <t>TRX-10886</t>
  </si>
  <si>
    <t>PICANHA IMP AR NC LANONIM AL CG</t>
  </si>
  <si>
    <t>TRX-10887</t>
  </si>
  <si>
    <t>PALMITO PUPUNHA INT NATUPALM 300</t>
  </si>
  <si>
    <t>TRX-10888</t>
  </si>
  <si>
    <t>COCA COLA PET 250 ML</t>
  </si>
  <si>
    <t>TRX-10889</t>
  </si>
  <si>
    <t>HAMBURGUER BOV MBLACK 360G</t>
  </si>
  <si>
    <t>TRX-10890</t>
  </si>
  <si>
    <t>ALCAPARRA VALE FERTIL 60G</t>
  </si>
  <si>
    <t>TRX-10891</t>
  </si>
  <si>
    <t>CARNE SOL COXAO MOLE MANT MB PB</t>
  </si>
  <si>
    <t>TRX-10892</t>
  </si>
  <si>
    <t>FILE SUI IN ECOFRIGO CG KG</t>
  </si>
  <si>
    <t>TRX-10893</t>
  </si>
  <si>
    <t>LOMBO BAC IMP BPORTO CG 1KG</t>
  </si>
  <si>
    <t>TRX-10894</t>
  </si>
  <si>
    <t>TRX-10895</t>
  </si>
  <si>
    <t>TRX-10896</t>
  </si>
  <si>
    <t>LEITE COND CAMPONESA 395G</t>
  </si>
  <si>
    <t>TRX-10897</t>
  </si>
  <si>
    <t>CERV HEINEKEN L NECK 330ML</t>
  </si>
  <si>
    <t>TRX-10898</t>
  </si>
  <si>
    <t>TRX-10899</t>
  </si>
  <si>
    <t>TRX-10900</t>
  </si>
  <si>
    <t>2023-10-13</t>
  </si>
  <si>
    <t>SENSOR DE TEMPERATURA MTE 4067D32011IG815</t>
  </si>
  <si>
    <t>TRX-10901</t>
  </si>
  <si>
    <t>MANGOTE DO RADIADOR DAYCO 73275218735N158B274AC SUPERIOR</t>
  </si>
  <si>
    <t>TRX-10902</t>
  </si>
  <si>
    <t>ABRACADEIRA 25x38</t>
  </si>
  <si>
    <t>TRX-10903</t>
  </si>
  <si>
    <t>TRX-10904</t>
  </si>
  <si>
    <t>2023-10-15</t>
  </si>
  <si>
    <t>#1700900#18069000#TRU LC GIANDU 12,5</t>
  </si>
  <si>
    <t>TRX-10905</t>
  </si>
  <si>
    <t>#1700900#18069000#TRU LC LEIT 13,5</t>
  </si>
  <si>
    <t>TRX-10906</t>
  </si>
  <si>
    <t>2023-11-11</t>
  </si>
  <si>
    <t>TRX-10907</t>
  </si>
  <si>
    <t>TRX-10908</t>
  </si>
  <si>
    <t>2024-01-03</t>
  </si>
  <si>
    <t>TRX-10909</t>
  </si>
  <si>
    <t>H2O LIMAO 500ML</t>
  </si>
  <si>
    <t>TRX-10910</t>
  </si>
  <si>
    <t>TRX-10911</t>
  </si>
  <si>
    <t>TRX-10912</t>
  </si>
  <si>
    <t>2024-01-16</t>
  </si>
  <si>
    <t>TRX-10913</t>
  </si>
  <si>
    <t>2024-02-08</t>
  </si>
  <si>
    <t>TRX-10914</t>
  </si>
  <si>
    <t>TRX-10915</t>
  </si>
  <si>
    <t>TRX-10916</t>
  </si>
  <si>
    <t>2024-02-06</t>
  </si>
  <si>
    <t>TRX-10917</t>
  </si>
  <si>
    <t>TRX-10918</t>
  </si>
  <si>
    <t>2024-02-14</t>
  </si>
  <si>
    <t>TRX-10919</t>
  </si>
  <si>
    <t>2024-03-05</t>
  </si>
  <si>
    <t>TRX-10920</t>
  </si>
  <si>
    <t>SALG PIPPO S PC 30G QUEIJO</t>
  </si>
  <si>
    <t>TRX-10921</t>
  </si>
  <si>
    <t>TRX-10922</t>
  </si>
  <si>
    <t>TRX-10923</t>
  </si>
  <si>
    <t>TRX-10924</t>
  </si>
  <si>
    <t>TRX-10925</t>
  </si>
  <si>
    <t>TRX-10926</t>
  </si>
  <si>
    <t>MAMINHA MBLACK CG KG</t>
  </si>
  <si>
    <t>TRX-10927</t>
  </si>
  <si>
    <t>CONTRA FILE PORC MBLACK S O CG</t>
  </si>
  <si>
    <t>TRX-10928</t>
  </si>
  <si>
    <t>MAMINHA MB RF KG</t>
  </si>
  <si>
    <t>TRX-10929</t>
  </si>
  <si>
    <t>TRX-10930</t>
  </si>
  <si>
    <t>TRX-10931</t>
  </si>
  <si>
    <t>TRX-10932</t>
  </si>
  <si>
    <t>TRX-10933</t>
  </si>
  <si>
    <t>TRX-10934</t>
  </si>
  <si>
    <t>TRX-10935</t>
  </si>
  <si>
    <t>COSTELA SUINA IN SADIA CG KG</t>
  </si>
  <si>
    <t>TRX-10936</t>
  </si>
  <si>
    <t>TRX-10937</t>
  </si>
  <si>
    <t>TRX-10938</t>
  </si>
  <si>
    <t>TRX-10939</t>
  </si>
  <si>
    <t>TRX-10940</t>
  </si>
  <si>
    <t>PICANHA SUI IN FRIM CG KG</t>
  </si>
  <si>
    <t>TRX-10941</t>
  </si>
  <si>
    <t>TRX-10942</t>
  </si>
  <si>
    <t>TRX-10943</t>
  </si>
  <si>
    <t>TRX-10944</t>
  </si>
  <si>
    <t>TRX-10945</t>
  </si>
  <si>
    <t>TRX-10946</t>
  </si>
  <si>
    <t>PEPINO CONSERVA VALE FERTIL VIDR</t>
  </si>
  <si>
    <t>TRX-10947</t>
  </si>
  <si>
    <t>FLOCAO DE MILHO SAO BRAZ 500G</t>
  </si>
  <si>
    <t>TRX-10948</t>
  </si>
  <si>
    <t>FILE SALMAO PEDAA O KD 500 1000G</t>
  </si>
  <si>
    <t>TRX-10949</t>
  </si>
  <si>
    <t>TRX-10950</t>
  </si>
  <si>
    <t>TRX-10951</t>
  </si>
  <si>
    <t>TRX-10952</t>
  </si>
  <si>
    <t>TRX-10953</t>
  </si>
  <si>
    <t>CAVALINHA INT 3 4 P FISH 1KG</t>
  </si>
  <si>
    <t>TRX-10954</t>
  </si>
  <si>
    <t>TRX-10955</t>
  </si>
  <si>
    <t>TRX-10956</t>
  </si>
  <si>
    <t>2024-03-25</t>
  </si>
  <si>
    <t>PEPINOS HEMMER EM CONSERVA EM RODELA 800G 440G DR</t>
  </si>
  <si>
    <t>TRX-10957</t>
  </si>
  <si>
    <t>OVOS AVINE EXTRA C30 BRANCO</t>
  </si>
  <si>
    <t>TRX-10958</t>
  </si>
  <si>
    <t>LEITE FERMENTADO YAKULT 480G</t>
  </si>
  <si>
    <t>TRX-10959</t>
  </si>
  <si>
    <t>TRX-10960</t>
  </si>
  <si>
    <t>TRX-10961</t>
  </si>
  <si>
    <t>ARROZ COMETA 1KG PARBOILIZADO  TIPO 1</t>
  </si>
  <si>
    <t>TRX-10962</t>
  </si>
  <si>
    <t>TRX-10963</t>
  </si>
  <si>
    <t>LARANJA MIMO KG</t>
  </si>
  <si>
    <t>TRX-10964</t>
  </si>
  <si>
    <t>TRX-10965</t>
  </si>
  <si>
    <t>APERITIVO CAMPARI 998ML MILANO</t>
  </si>
  <si>
    <t>TRX-10966</t>
  </si>
  <si>
    <t>TRX-10967</t>
  </si>
  <si>
    <t>TRX-10968</t>
  </si>
  <si>
    <t>GLADE AERO. FRUTAS E FLORES VIBRANTES 360ML305G</t>
  </si>
  <si>
    <t>TRX-10969</t>
  </si>
  <si>
    <t>TRX-10970</t>
  </si>
  <si>
    <t>FIO DENTAL COLGATE ENCERADO 50M</t>
  </si>
  <si>
    <t>TRX-10971</t>
  </si>
  <si>
    <t>PRENDEDOR MADEIRA C12 AGUIA BRANCA P</t>
  </si>
  <si>
    <t>TRX-10972</t>
  </si>
  <si>
    <t>TRX-10973</t>
  </si>
  <si>
    <t>CREME DENTAL COLGATE 180G TRIPLA ACAO</t>
  </si>
  <si>
    <t>TRX-10974</t>
  </si>
  <si>
    <t>DESODORANTE AEROSOL REXONA MEN ANTIBACINVISIBLE 1</t>
  </si>
  <si>
    <t>TRX-10975</t>
  </si>
  <si>
    <t>DESODORANTE AEROSOL AXE DARK TEMPTATION 150ML96G</t>
  </si>
  <si>
    <t>TRX-10976</t>
  </si>
  <si>
    <t>GLADE AERO. FRESCOR DE AGUAS FLORAIS 360ML305G</t>
  </si>
  <si>
    <t>TRX-10977</t>
  </si>
  <si>
    <t>DESODORANTE AEROSOL AXE BLACK 150ML96G.</t>
  </si>
  <si>
    <t>TRX-10978</t>
  </si>
  <si>
    <t>DESODORANTE AEROSOL AXE URBAN 152ML90G ANTI-MARKS</t>
  </si>
  <si>
    <t>TRX-10979</t>
  </si>
  <si>
    <t>TRX-10980</t>
  </si>
  <si>
    <t>TRX-10981</t>
  </si>
  <si>
    <t>SABONETE PHEBO NATURELLE ROSA 90G</t>
  </si>
  <si>
    <t>TRX-10982</t>
  </si>
  <si>
    <t>TRX-10983</t>
  </si>
  <si>
    <t>TRX-10984</t>
  </si>
  <si>
    <t>AMENDOIM ELMA CHIPS 145G JAPONES</t>
  </si>
  <si>
    <t>TRX-10985</t>
  </si>
  <si>
    <t>SABAO YPE BARRA NEUTRO ORIGINAL 5X180G 10DESC.</t>
  </si>
  <si>
    <t>TRX-10986</t>
  </si>
  <si>
    <t>ESPONJA SANTA MARIA ESFRELUX MULTIUSO LEVE4 PAGUE</t>
  </si>
  <si>
    <t>TRX-10987</t>
  </si>
  <si>
    <t>TRX-10988</t>
  </si>
  <si>
    <t>RED BULL 355ML ENERGY DRINK</t>
  </si>
  <si>
    <t>TRX-10989</t>
  </si>
  <si>
    <t>TRX-10990</t>
  </si>
  <si>
    <t>TRX-10991</t>
  </si>
  <si>
    <t>DET.LIQ.LIMPOL 500ML NEUTRO</t>
  </si>
  <si>
    <t>TRX-10992</t>
  </si>
  <si>
    <t>TRX-10993</t>
  </si>
  <si>
    <t>FOSFORO FIAT LUX OLHO C400 C10 CAIXAS</t>
  </si>
  <si>
    <t>TRX-10994</t>
  </si>
  <si>
    <t>DESODORANTE AEROSOL REXONA INVISIBLE 145G250ML</t>
  </si>
  <si>
    <t>TRX-10995</t>
  </si>
  <si>
    <t>INSET.DETEFON ESPIRAL C10</t>
  </si>
  <si>
    <t>TRX-10996</t>
  </si>
  <si>
    <t>DESINFETANTE URCA 2L FLOR DE LAVANDA</t>
  </si>
  <si>
    <t>TRX-10997</t>
  </si>
  <si>
    <t>DESINFETANTE YPE BAK LAVANDA LV2L PF1,8L</t>
  </si>
  <si>
    <t>TRX-10998</t>
  </si>
  <si>
    <t>TOALHA DE PAPEL ABSOLUTO C2</t>
  </si>
  <si>
    <t>TRX-10999</t>
  </si>
  <si>
    <t>TRX-11000</t>
  </si>
  <si>
    <t>2024-04-16</t>
  </si>
  <si>
    <t>PNEU 19565-15 GT CHAMPIRO</t>
  </si>
  <si>
    <t>TRX-11001</t>
  </si>
  <si>
    <t>2024-04-17</t>
  </si>
  <si>
    <t>TRX-11002</t>
  </si>
  <si>
    <t>TRX-11003</t>
  </si>
  <si>
    <t>POLPETAS NO MOLHO ALFREDO</t>
  </si>
  <si>
    <t>TRX-11004</t>
  </si>
  <si>
    <t>TRX-11005</t>
  </si>
  <si>
    <t>2024-04-05</t>
  </si>
  <si>
    <t>1/2 Mucarela + 1/2 Calabresa (Gigante)</t>
  </si>
  <si>
    <t>TRX-11006</t>
  </si>
  <si>
    <t>Coca-Cola Original 2l</t>
  </si>
  <si>
    <t>TRX-11007</t>
  </si>
  <si>
    <t>2024-05-14</t>
  </si>
  <si>
    <t>COXA S COXA CG IN NAT CANCAO KG</t>
  </si>
  <si>
    <t>TRX-11008</t>
  </si>
  <si>
    <t>TRX-11009</t>
  </si>
  <si>
    <t>SARDINHA INT EMB 1KG</t>
  </si>
  <si>
    <t>TRX-11010</t>
  </si>
  <si>
    <t>PAPEL TOALHA CAPRICE 12x2 C 100</t>
  </si>
  <si>
    <t>TRX-11011</t>
  </si>
  <si>
    <t>ALHO TRIT T MAIS SABOR 1KG</t>
  </si>
  <si>
    <t>TRX-11012</t>
  </si>
  <si>
    <t>2024-05-02</t>
  </si>
  <si>
    <t>FILE PEITO FGO CONG</t>
  </si>
  <si>
    <t>TRX-11013</t>
  </si>
  <si>
    <t>QJ AZUL FRAC REG KG</t>
  </si>
  <si>
    <t>TRX-11014</t>
  </si>
  <si>
    <t>ARROZ IN T JOAO 500G</t>
  </si>
  <si>
    <t>TRX-11015</t>
  </si>
  <si>
    <t>REFR COC COL 250 ML</t>
  </si>
  <si>
    <t>TRX-11016</t>
  </si>
  <si>
    <t>QJ CAMEM TIRO 125G</t>
  </si>
  <si>
    <t>TRX-11017</t>
  </si>
  <si>
    <t>QJ EMMENTAL VIG 145G</t>
  </si>
  <si>
    <t>TRX-11018</t>
  </si>
  <si>
    <t>SALAME ESPANHOL HACI</t>
  </si>
  <si>
    <t>TRX-11019</t>
  </si>
  <si>
    <t>SALAME TIPO HAMBURGU</t>
  </si>
  <si>
    <t>TRX-11020</t>
  </si>
  <si>
    <t>QA PRES PARM FAT100G</t>
  </si>
  <si>
    <t>TRX-11021</t>
  </si>
  <si>
    <t>2024-08-06</t>
  </si>
  <si>
    <t>TRX-11022</t>
  </si>
  <si>
    <t>TRX-11023</t>
  </si>
  <si>
    <t>TRX-11024</t>
  </si>
  <si>
    <t>TRX-11025</t>
  </si>
  <si>
    <t>2024-08-17</t>
  </si>
  <si>
    <t>TRX-11026</t>
  </si>
  <si>
    <t>TRX-11027</t>
  </si>
  <si>
    <t>TRX-11028</t>
  </si>
  <si>
    <t>TRX-11029</t>
  </si>
  <si>
    <t>2024-08-29</t>
  </si>
  <si>
    <t>OXAL ESCITALOPRAM 20</t>
  </si>
  <si>
    <t>TRX-11030</t>
  </si>
  <si>
    <t>TRX-11031</t>
  </si>
  <si>
    <t>ENX BUCAL PERIOGARD</t>
  </si>
  <si>
    <t>TRX-11032</t>
  </si>
  <si>
    <t>ABS INTIMUS GEL NOT</t>
  </si>
  <si>
    <t>TRX-11033</t>
  </si>
  <si>
    <t>ROUPA INC TENA PANTS</t>
  </si>
  <si>
    <t>TRX-11034</t>
  </si>
  <si>
    <t>TRX-11035</t>
  </si>
  <si>
    <t>2024-08-30</t>
  </si>
  <si>
    <t>ROUP INC TENA PANTS</t>
  </si>
  <si>
    <t>TRX-11036</t>
  </si>
  <si>
    <t>NEOSALDINA ENV DRG/4</t>
  </si>
  <si>
    <t>TRX-11037</t>
  </si>
  <si>
    <t>2024-08-13</t>
  </si>
  <si>
    <t>QUEIJO JUCUR.COALHO NATURAL KG</t>
  </si>
  <si>
    <t>TRX-11038</t>
  </si>
  <si>
    <t>TRX-11039</t>
  </si>
  <si>
    <t>QUEIJO PRESIDENT PROVOLONE CURADO KG</t>
  </si>
  <si>
    <t>TRX-11040</t>
  </si>
  <si>
    <t>CARPACCIO CARAPRETA BOVINO 200G</t>
  </si>
  <si>
    <t>TRX-11041</t>
  </si>
  <si>
    <t>TRX-11042</t>
  </si>
  <si>
    <t>MORT.PERDIGAO OURO 200G CAZEITONA</t>
  </si>
  <si>
    <t>TRX-11043</t>
  </si>
  <si>
    <t>BACON SEARA GOURMET 250G FATIADO</t>
  </si>
  <si>
    <t>TRX-11044</t>
  </si>
  <si>
    <t>QUEIJO BRIE DOR SELECAO 125G FRAC.</t>
  </si>
  <si>
    <t>TRX-11045</t>
  </si>
  <si>
    <t>REQUEIJAO CATUPIRY 180G AZEITONAS PRETAS</t>
  </si>
  <si>
    <t>TRX-11046</t>
  </si>
  <si>
    <t>QUEIJO PRESIDENT PARMESAO 180G</t>
  </si>
  <si>
    <t>TRX-11047</t>
  </si>
  <si>
    <t>REQUEIJAO ITACOLOMY CREMOSO PT 180G</t>
  </si>
  <si>
    <t>TRX-11048</t>
  </si>
  <si>
    <t>SALAME SERRANO 100G ESP. CASA BASCA</t>
  </si>
  <si>
    <t>TRX-11049</t>
  </si>
  <si>
    <t>PRESUNTO CRU RAR 80G INTERFOLHADO</t>
  </si>
  <si>
    <t>TRX-11050</t>
  </si>
  <si>
    <t>TRX-11051</t>
  </si>
  <si>
    <t>LEITE FERMENTADO CHAMYTO BIG 720G</t>
  </si>
  <si>
    <t>TRX-11052</t>
  </si>
  <si>
    <t>ALCAPARRAS VALE FERTIL 60GR</t>
  </si>
  <si>
    <t>TRX-11053</t>
  </si>
  <si>
    <t>LEITE FERMENTADO ACTIVIA 800G AVEIA</t>
  </si>
  <si>
    <t>TRX-11054</t>
  </si>
  <si>
    <t>TRX-11055</t>
  </si>
  <si>
    <t>TRX-11056</t>
  </si>
  <si>
    <t>MOSTARDA HEMMER AMARELA BG.200G</t>
  </si>
  <si>
    <t>TRX-11057</t>
  </si>
  <si>
    <t>MAMAO PAPAYA GOLDEN 1,5KG BOX</t>
  </si>
  <si>
    <t>TRX-11058</t>
  </si>
  <si>
    <t>TRX-11059</t>
  </si>
  <si>
    <t>CARNE MAMINHA ESTANCIA 92 CONG.KG</t>
  </si>
  <si>
    <t>TRX-11060</t>
  </si>
  <si>
    <t>TRX-11061</t>
  </si>
  <si>
    <t>COXINHA DA ASA SEARA IQF ALM 1KG</t>
  </si>
  <si>
    <t>TRX-11062</t>
  </si>
  <si>
    <t>CARNE CAPRINO TRASEIRO KG</t>
  </si>
  <si>
    <t>TRX-11063</t>
  </si>
  <si>
    <t>PEIXE SARDINHA CONG.LAJE 800G DUMAR</t>
  </si>
  <si>
    <t>TRX-11064</t>
  </si>
  <si>
    <t>TRX-11065</t>
  </si>
  <si>
    <t>TRX-11066</t>
  </si>
  <si>
    <t>TRX-11067</t>
  </si>
  <si>
    <t>TRX-11068</t>
  </si>
  <si>
    <t>TRX-11069</t>
  </si>
  <si>
    <t>TRX-11070</t>
  </si>
  <si>
    <t>TRX-11071</t>
  </si>
  <si>
    <t>LEITE BETANIA 1L INTEGRAL TAMPA ROSCA</t>
  </si>
  <si>
    <t>TRX-11072</t>
  </si>
  <si>
    <t>TRX-11073</t>
  </si>
  <si>
    <t>AGUA TONICA ANTARCTICA 350ML</t>
  </si>
  <si>
    <t>TRX-11074</t>
  </si>
  <si>
    <t>TRX-11075</t>
  </si>
  <si>
    <t>TRX-11076</t>
  </si>
  <si>
    <t>TRX-11077</t>
  </si>
  <si>
    <t>TRX-11078</t>
  </si>
  <si>
    <t>TRX-11079</t>
  </si>
  <si>
    <t>TRX-11080</t>
  </si>
  <si>
    <t>H2O 500ML LIMAO</t>
  </si>
  <si>
    <t>TRX-11081</t>
  </si>
  <si>
    <t>TRX-11082</t>
  </si>
  <si>
    <t>TEMPERO SAZON 60G CARNES,LEGUMES E ARROZ VERMELHO</t>
  </si>
  <si>
    <t>TRX-11083</t>
  </si>
  <si>
    <t>ERVILHA E MILHO QUERO 170G SACHET</t>
  </si>
  <si>
    <t>TRX-11084</t>
  </si>
  <si>
    <t>TEMPERO SAZON 60G LEGUMES,VERDURAS E ARROZ AMAREL</t>
  </si>
  <si>
    <t>TRX-11085</t>
  </si>
  <si>
    <t>TRX-11086</t>
  </si>
  <si>
    <t>LEITE CONDENSADO CAMPONESA 395G INTEGRAL TP</t>
  </si>
  <si>
    <t>TRX-11087</t>
  </si>
  <si>
    <t>MOLHO PRONTO QUERO 300G BOLONHESA SACHET</t>
  </si>
  <si>
    <t>TRX-11088</t>
  </si>
  <si>
    <t>BISCOITO PIRAQUE ROLADINHO 75G GOIABINHA</t>
  </si>
  <si>
    <t>TRX-11089</t>
  </si>
  <si>
    <t>ARROZ ARRETADO 1KG BRANCO POLIDO</t>
  </si>
  <si>
    <t>TRX-11090</t>
  </si>
  <si>
    <t>TRX-11091</t>
  </si>
  <si>
    <t>MILHO PPIPOCA YOKI PREMIUM 400G</t>
  </si>
  <si>
    <t>TRX-11092</t>
  </si>
  <si>
    <t>TRX-11093</t>
  </si>
  <si>
    <t>TRX-11094</t>
  </si>
  <si>
    <t>BISCOITO NESTLE KIT KAT 41,5G AO LEITE</t>
  </si>
  <si>
    <t>TRX-11095</t>
  </si>
  <si>
    <t>TRX-11096</t>
  </si>
  <si>
    <t>TRX-11097</t>
  </si>
  <si>
    <t>TRX-11098</t>
  </si>
  <si>
    <t>SAL DE PARRILLA CANTAGALLO 250G SALSA CRIOLLA</t>
  </si>
  <si>
    <t>TRX-11099</t>
  </si>
  <si>
    <t>DET.LIQ.YPE 500ML NEUTRO</t>
  </si>
  <si>
    <t>TRX-11100</t>
  </si>
  <si>
    <t>MACARRAO VITAMASSA 400G ESPAGUETE</t>
  </si>
  <si>
    <t>TRX-11101</t>
  </si>
  <si>
    <t>FOLHA DE LOURO SECA KITANO 4G</t>
  </si>
  <si>
    <t>TRX-11102</t>
  </si>
  <si>
    <t>ESPONJA BOMBRIL MULTIUSO LV4 PG3</t>
  </si>
  <si>
    <t>TRX-11103</t>
  </si>
  <si>
    <t>TRX-11104</t>
  </si>
  <si>
    <t>SAL MIRAMAR 1KG REFINADO IODADO</t>
  </si>
  <si>
    <t>TRX-11105</t>
  </si>
  <si>
    <t>ACUCAR ESTRELA 1KG REF.ESPECIAL</t>
  </si>
  <si>
    <t>TRX-11106</t>
  </si>
  <si>
    <t>ARROZ URBANO 1KG PARBOILIZADO</t>
  </si>
  <si>
    <t>TRX-11107</t>
  </si>
  <si>
    <t>PAO PLUS VITA ARTESANO 500G INTEGRAL</t>
  </si>
  <si>
    <t>TRX-11108</t>
  </si>
  <si>
    <t>CHARQUE MASTERBOI JERKED BEEF DT 500G</t>
  </si>
  <si>
    <t>TRX-11109</t>
  </si>
  <si>
    <t>LIMPA ALUMINIO LIMPOL 500ML</t>
  </si>
  <si>
    <t>TRX-11110</t>
  </si>
  <si>
    <t>BOM AR AIR WICK AROMA SENSE ROMANCE 250ML175G</t>
  </si>
  <si>
    <t>TRX-11111</t>
  </si>
  <si>
    <t>DESODORANTE AEROSOL DOVE ORIG.150ML87G</t>
  </si>
  <si>
    <t>TRX-11112</t>
  </si>
  <si>
    <t>BISCOITO LACTA BIS 100,8G CHOC.AO LEITE</t>
  </si>
  <si>
    <t>TRX-11113</t>
  </si>
  <si>
    <t>ACAFRAO GOMES 10G</t>
  </si>
  <si>
    <t>TRX-11114</t>
  </si>
  <si>
    <t>TRX-11115</t>
  </si>
  <si>
    <t>ESPONJA DE ACO BOMBRIL C8 DESC.ESPECIAL</t>
  </si>
  <si>
    <t>TRX-11116</t>
  </si>
  <si>
    <t>DET.PO OMO 800G LAVAGEM PERFEITA BAG</t>
  </si>
  <si>
    <t>TRX-11117</t>
  </si>
  <si>
    <t>LUVA LATEX TALGE CPO TAM.G</t>
  </si>
  <si>
    <t>TRX-11118</t>
  </si>
  <si>
    <t>LIMPADOR CIF VIDROS 450ML U.RAPIDO REFIL</t>
  </si>
  <si>
    <t>TRX-11119</t>
  </si>
  <si>
    <t>APARELHO PBARBEAR GILLETTE LEVE4 PAGUE3 PRESTO.3</t>
  </si>
  <si>
    <t>TRX-11120</t>
  </si>
  <si>
    <t>ALCOOL TUBARAO 1L</t>
  </si>
  <si>
    <t>TRX-11121</t>
  </si>
  <si>
    <t>TRX-11122</t>
  </si>
  <si>
    <t>PAPEL HIG.NEVE NEUTRO C12 30MT LV12 PG11 NEUTRO</t>
  </si>
  <si>
    <t>TRX-11123</t>
  </si>
  <si>
    <t>TRX-11124</t>
  </si>
  <si>
    <t>DESODORANTE ROLL ON REXONA MEN TUNING V8 50ML</t>
  </si>
  <si>
    <t>TRX-11125</t>
  </si>
  <si>
    <t>TRX-11126</t>
  </si>
  <si>
    <t>SUCO AURORA 1L INTEGRAL UVA TINTO</t>
  </si>
  <si>
    <t>TRX-11127</t>
  </si>
  <si>
    <t>SALGADO PINGO D OURO 160G BACON</t>
  </si>
  <si>
    <t>TRX-11128</t>
  </si>
  <si>
    <t>2024-08-28</t>
  </si>
  <si>
    <t>TAFFMAN EX YAKULT 110ML</t>
  </si>
  <si>
    <t>TRX-11129</t>
  </si>
  <si>
    <t>BATATA PALHA SCRUSCH 80G TRAD</t>
  </si>
  <si>
    <t>TRX-11130</t>
  </si>
  <si>
    <t>CAFE 3CORACOES 250G ALMOF TRAD</t>
  </si>
  <si>
    <t>TRX-11131</t>
  </si>
  <si>
    <t>CATUPIRI CASA PINGO DE OURO kg</t>
  </si>
  <si>
    <t>TRX-11132</t>
  </si>
  <si>
    <t>AGUA MIN CRYSTAL PT 500ML C GAS</t>
  </si>
  <si>
    <t>TRX-11133</t>
  </si>
  <si>
    <t>PAO FRANCES kg</t>
  </si>
  <si>
    <t>TRX-11134</t>
  </si>
  <si>
    <t>QUEIJO GOUDA QUATA kg</t>
  </si>
  <si>
    <t>TRX-11135</t>
  </si>
  <si>
    <t>QUEIJO AZUL TIROLEZ kg FRACAO</t>
  </si>
  <si>
    <t>TRX-11136</t>
  </si>
  <si>
    <t>REQUEIJAO CREM CATUPIRY 200G TRAD</t>
  </si>
  <si>
    <t>TRX-11137</t>
  </si>
  <si>
    <t>SALAME MILANO VITO BALDUCCI 100G</t>
  </si>
  <si>
    <t>TRX-11138</t>
  </si>
  <si>
    <t>PRESUNTO CRU ITALIANO D OR 80G</t>
  </si>
  <si>
    <t>TRX-11139</t>
  </si>
  <si>
    <t>PEITO PERU SADIA kg DEFUMADO</t>
  </si>
  <si>
    <t>TRX-11140</t>
  </si>
  <si>
    <t>PEPINO RODELAS HEMMER 440G</t>
  </si>
  <si>
    <t>TRX-11141</t>
  </si>
  <si>
    <t>AZEITONA VERDE V FERT SCH 120G S C</t>
  </si>
  <si>
    <t>TRX-11142</t>
  </si>
  <si>
    <t>LEITE CONDENS CAMPONESA TP 395G INTEGRAL</t>
  </si>
  <si>
    <t>TRX-11143</t>
  </si>
  <si>
    <t>PATE DA CASA kg ERVAS FINAS</t>
  </si>
  <si>
    <t>TRX-11144</t>
  </si>
  <si>
    <t>QUEIJO REINO REGINA kg</t>
  </si>
  <si>
    <t>TRX-11145</t>
  </si>
  <si>
    <t>QUEIJO MUSSARELA NATVILLE kg</t>
  </si>
  <si>
    <t>TRX-11146</t>
  </si>
  <si>
    <t>GELEIA F VERM TRAD CS MADEIRA 250G</t>
  </si>
  <si>
    <t>TRX-11147</t>
  </si>
  <si>
    <t>QUEIJO GOUDA HOL SAO VICENTE kg C ERVAS</t>
  </si>
  <si>
    <t>TRX-11148</t>
  </si>
  <si>
    <t>TRX-11149</t>
  </si>
  <si>
    <t>LEITE FERM CHAMYTO 720G</t>
  </si>
  <si>
    <t>TRX-11150</t>
  </si>
  <si>
    <t>TRX-11151</t>
  </si>
  <si>
    <t>SALSA LISA HIDROP ISAB CHAV UND</t>
  </si>
  <si>
    <t>TRX-11152</t>
  </si>
  <si>
    <t>CEBOLINHA NV UND</t>
  </si>
  <si>
    <t>TRX-11153</t>
  </si>
  <si>
    <t>TRX-11154</t>
  </si>
  <si>
    <t>CEBOLA ROXA kg</t>
  </si>
  <si>
    <t>TRX-11155</t>
  </si>
  <si>
    <t>GALETO ASSADO CASA UND</t>
  </si>
  <si>
    <t>TRX-11156</t>
  </si>
  <si>
    <t>CENOURA kg</t>
  </si>
  <si>
    <t>TRX-11157</t>
  </si>
  <si>
    <t>TRX-11158</t>
  </si>
  <si>
    <t>GENGIBRE kg</t>
  </si>
  <si>
    <t>TRX-11159</t>
  </si>
  <si>
    <t>TRX-11160</t>
  </si>
  <si>
    <t>PATE DA CASA kg CEBOLINHA VERDE</t>
  </si>
  <si>
    <t>TRX-11161</t>
  </si>
  <si>
    <t>FLOCAO MILHO VITAMILHO 500G</t>
  </si>
  <si>
    <t>TRX-11162</t>
  </si>
  <si>
    <t>FEIJAO CARIOCA KICALDO 1kg</t>
  </si>
  <si>
    <t>TRX-11163</t>
  </si>
  <si>
    <t>GRAO BICO HIKARI 500G</t>
  </si>
  <si>
    <t>TRX-11164</t>
  </si>
  <si>
    <t>GRAO BICO YOKI 400G</t>
  </si>
  <si>
    <t>TRX-11165</t>
  </si>
  <si>
    <t>MILHO TORRADO SB MOST E MEL kg</t>
  </si>
  <si>
    <t>TRX-11166</t>
  </si>
  <si>
    <t>CHOC CIA CACAU 100G AO LEITE</t>
  </si>
  <si>
    <t>TRX-11167</t>
  </si>
  <si>
    <t>CAFE CAPS D GUSTO C 10 ESP INTENSO</t>
  </si>
  <si>
    <t>TRX-11168</t>
  </si>
  <si>
    <t>COXA C SOBRECOXA FRANGO kg</t>
  </si>
  <si>
    <t>TRX-11169</t>
  </si>
  <si>
    <t>FIGADO FGO MAURICEA BD 1kg</t>
  </si>
  <si>
    <t>TRX-11170</t>
  </si>
  <si>
    <t>FIGADO BOV CONG kg</t>
  </si>
  <si>
    <t>TRX-11171</t>
  </si>
  <si>
    <t>TRX-11172</t>
  </si>
  <si>
    <t>MOCOTO BOV kg</t>
  </si>
  <si>
    <t>TRX-11173</t>
  </si>
  <si>
    <t>TRX-11174</t>
  </si>
  <si>
    <t>CHOC MILKA 100G ALPINE</t>
  </si>
  <si>
    <t>TRX-11175</t>
  </si>
  <si>
    <t>CS CHOC MMS 45G CHOC AO LEITE</t>
  </si>
  <si>
    <t>TRX-11176</t>
  </si>
  <si>
    <t>CHOC KIT KAT NESTLE 41,5G</t>
  </si>
  <si>
    <t>TRX-11177</t>
  </si>
  <si>
    <t>TRX-11178</t>
  </si>
  <si>
    <t>CHA MATTE LEAO 100G TRAD</t>
  </si>
  <si>
    <t>TRX-11179</t>
  </si>
  <si>
    <t>CHA LEAO VITAMINICO 10G MEL GENG CURCUM</t>
  </si>
  <si>
    <t>TRX-11180</t>
  </si>
  <si>
    <t>CHA LEAO PREMIUM 10G MACA CANELA</t>
  </si>
  <si>
    <t>TRX-11181</t>
  </si>
  <si>
    <t>PAO FORMA BAUDUCCO 390G TRAD</t>
  </si>
  <si>
    <t>TRX-11182</t>
  </si>
  <si>
    <t>OVOS BRANCO ENAVIS GD C 30</t>
  </si>
  <si>
    <t>TRX-11183</t>
  </si>
  <si>
    <t>VERMOUTH MARTINI GF 750ML ROSSO</t>
  </si>
  <si>
    <t>TRX-11184</t>
  </si>
  <si>
    <t>ESPUMANTE ESP CODORNIU 750ML BRUT</t>
  </si>
  <si>
    <t>TRX-11185</t>
  </si>
  <si>
    <t>SUCO INT AURORA VD 1,5L UVA</t>
  </si>
  <si>
    <t>TRX-11186</t>
  </si>
  <si>
    <t>GOMA MANDIOCA TRADINE PCT 1kg</t>
  </si>
  <si>
    <t>TRX-11187</t>
  </si>
  <si>
    <t>BISC C CRACKER VITARELLA 350G CROCK TRAD</t>
  </si>
  <si>
    <t>TRX-11188</t>
  </si>
  <si>
    <t>TRX-11189</t>
  </si>
  <si>
    <t>LEITE UHT BETANIA 1L C TAMP INT</t>
  </si>
  <si>
    <t>TRX-11190</t>
  </si>
  <si>
    <t>ARROZ PARB KIKA 1kg</t>
  </si>
  <si>
    <t>TRX-11191</t>
  </si>
  <si>
    <t>TORRADA M TOAST MARILAN 110G INTEGRAL</t>
  </si>
  <si>
    <t>TRX-11192</t>
  </si>
  <si>
    <t>TRX-11193</t>
  </si>
  <si>
    <t>VASSOURA C CB BRILHUS RUA</t>
  </si>
  <si>
    <t>TRX-11194</t>
  </si>
  <si>
    <t>TRX-11195</t>
  </si>
  <si>
    <t>LAVA ROUP PO YPE 800G MACIEZ CART</t>
  </si>
  <si>
    <t>TRX-11196</t>
  </si>
  <si>
    <t>SABONETE BARRA LA FLORE DAVENE 150 ERVA DOCE</t>
  </si>
  <si>
    <t>TRX-11197</t>
  </si>
  <si>
    <t>SABONETE BARRA PHEBO 90G RAIZ ORIENTE</t>
  </si>
  <si>
    <t>TRX-11198</t>
  </si>
  <si>
    <t>TRX-11199</t>
  </si>
  <si>
    <t>SABONETE BARRA LA FLORE DAVENE 150 LAVANDA</t>
  </si>
  <si>
    <t>TRX-11200</t>
  </si>
  <si>
    <t>DESOD ROLL REXONA 50ML ACTIVE</t>
  </si>
  <si>
    <t>TRX-11201</t>
  </si>
  <si>
    <t>#1700900#18069000#TRU LC LEIT 12,5</t>
  </si>
  <si>
    <t>TRX-11202</t>
  </si>
  <si>
    <t>TRX-11203</t>
  </si>
  <si>
    <t>#1700300#18063210#TAB CS MENTA 5</t>
  </si>
  <si>
    <t>TRX-11204</t>
  </si>
  <si>
    <t>2024-09-03</t>
  </si>
  <si>
    <t>GELEIA CS MADEIRA 240G CAB SAUV</t>
  </si>
  <si>
    <t>TRX-11205</t>
  </si>
  <si>
    <t>GELEIA GOURM PIM CS MADEIRA 240G</t>
  </si>
  <si>
    <t>TRX-11206</t>
  </si>
  <si>
    <t>TRX-11207</t>
  </si>
  <si>
    <t>TRX-11208</t>
  </si>
  <si>
    <t>TRX-11209</t>
  </si>
  <si>
    <t>TRX-11210</t>
  </si>
  <si>
    <t>LARANJA PERA kg</t>
  </si>
  <si>
    <t>TRX-11211</t>
  </si>
  <si>
    <t>QUEIJO MINAS FRESCAL CATOLE kg</t>
  </si>
  <si>
    <t>TRX-11212</t>
  </si>
  <si>
    <t>TRX-11213</t>
  </si>
  <si>
    <t>LEITE CONDENS BETANIA TP 395G</t>
  </si>
  <si>
    <t>TRX-11214</t>
  </si>
  <si>
    <t>TRX-11215</t>
  </si>
  <si>
    <t>PRESUNTO SUINO SADIA kg</t>
  </si>
  <si>
    <t>TRX-11216</t>
  </si>
  <si>
    <t>OVOS BRANCO AVINE EXT C 30</t>
  </si>
  <si>
    <t>TRX-11217</t>
  </si>
  <si>
    <t>BANANA PRATA kg</t>
  </si>
  <si>
    <t>TRX-11218</t>
  </si>
  <si>
    <t>MANGA ROSA kg</t>
  </si>
  <si>
    <t>TRX-11219</t>
  </si>
  <si>
    <t>TRX-11220</t>
  </si>
  <si>
    <t>BETERRABA kg</t>
  </si>
  <si>
    <t>TRX-11221</t>
  </si>
  <si>
    <t>CAFE BLEND 53 250G ALMOF TRAD</t>
  </si>
  <si>
    <t>TRX-11222</t>
  </si>
  <si>
    <t>CHA DR OETKER 10G CAMOMILA</t>
  </si>
  <si>
    <t>TRX-11223</t>
  </si>
  <si>
    <t>CHA DR OETKER 10G MACA E CANELA</t>
  </si>
  <si>
    <t>TRX-11224</t>
  </si>
  <si>
    <t>BISC C CRACKER VITARELLA 350G TRAD</t>
  </si>
  <si>
    <t>TRX-11225</t>
  </si>
  <si>
    <t>GOMA MANDIOCA AGRO MASSAS PCT 1kg</t>
  </si>
  <si>
    <t>TRX-11226</t>
  </si>
  <si>
    <t>CAFE STA CLARA 250G EXT FORT ALMOF</t>
  </si>
  <si>
    <t>TRX-11227</t>
  </si>
  <si>
    <t>TRX-11228</t>
  </si>
  <si>
    <t>VODKA SMIRNOFF GF 600ML</t>
  </si>
  <si>
    <t>TRX-11229</t>
  </si>
  <si>
    <t>AGUA MIN INDAIA PET 330ML C/GAS</t>
  </si>
  <si>
    <t>TRX-11230</t>
  </si>
  <si>
    <t>TRX-11231</t>
  </si>
  <si>
    <t>TRX-11232</t>
  </si>
  <si>
    <t>TRX-11233</t>
  </si>
  <si>
    <t>SUCO INT ALIANCA VD 1,5L TTO UVA</t>
  </si>
  <si>
    <t>TRX-11234</t>
  </si>
  <si>
    <t>SUPLEMENTO NUTREN 740G SENIOR S S</t>
  </si>
  <si>
    <t>TRX-11235</t>
  </si>
  <si>
    <t>INSET AER SBP 300 150ML EUCALIPTO</t>
  </si>
  <si>
    <t>TRX-11236</t>
  </si>
  <si>
    <t>LOCAO REPEL FMLY CAR REPELEX 200ML 25 DESC</t>
  </si>
  <si>
    <t>TRX-11237</t>
  </si>
  <si>
    <t>PAPEL HIG NEVE FD LV12PG11 30M</t>
  </si>
  <si>
    <t>TRX-11238</t>
  </si>
  <si>
    <t>PAPEL TOALHA SCALA C2 200 FOLHAS</t>
  </si>
  <si>
    <t>TRX-11239</t>
  </si>
  <si>
    <t>TRX-11240</t>
  </si>
  <si>
    <t>2024-09-17</t>
  </si>
  <si>
    <t>COXA C SOBREC FGO BOM TODO BD 1kg</t>
  </si>
  <si>
    <t>TRX-11241</t>
  </si>
  <si>
    <t>AMENDOIM JAPONES ELMA CHIPS 45G</t>
  </si>
  <si>
    <t>TRX-11242</t>
  </si>
  <si>
    <t>TRX-11243</t>
  </si>
  <si>
    <t>PEIXE CAVALIN NOBRES kg INT</t>
  </si>
  <si>
    <t>TRX-11244</t>
  </si>
  <si>
    <t>TRX-11245</t>
  </si>
  <si>
    <t>TRX-11246</t>
  </si>
  <si>
    <t>TRX-11247</t>
  </si>
  <si>
    <t>QUEIJO COALHO Q.VALLE kg ARTESANAL</t>
  </si>
  <si>
    <t>TRX-11248</t>
  </si>
  <si>
    <t>TRX-11249</t>
  </si>
  <si>
    <t>RUCULA HIDROP ISAB CHAV UND</t>
  </si>
  <si>
    <t>TRX-11250</t>
  </si>
  <si>
    <t>TRX-11251</t>
  </si>
  <si>
    <t>COUVE MANTEIGA NV UND</t>
  </si>
  <si>
    <t>TRX-11252</t>
  </si>
  <si>
    <t>TRX-11253</t>
  </si>
  <si>
    <t>BROCOLIS SOLAR PREMIUM 250G</t>
  </si>
  <si>
    <t>TRX-11254</t>
  </si>
  <si>
    <t>KIWI SUNGOLD ZESPRI 440G</t>
  </si>
  <si>
    <t>TRX-11255</t>
  </si>
  <si>
    <t>OSSO PATINHO kg</t>
  </si>
  <si>
    <t>TRX-11256</t>
  </si>
  <si>
    <t>KIT GALETO ASSADO C BATATAS DA CASA</t>
  </si>
  <si>
    <t>TRX-11257</t>
  </si>
  <si>
    <t>QUEIJO MUSSARELA kg</t>
  </si>
  <si>
    <t>TRX-11258</t>
  </si>
  <si>
    <t>CS CARGA GILLETTE 4UN MACH3</t>
  </si>
  <si>
    <t>TRX-11259</t>
  </si>
  <si>
    <t>ALFACE AMER HORTI SOLAR 250G</t>
  </si>
  <si>
    <t>TRX-11260</t>
  </si>
  <si>
    <t>TRX-11261</t>
  </si>
  <si>
    <t>TRX-11262</t>
  </si>
  <si>
    <t>TRX-11263</t>
  </si>
  <si>
    <t>TRX-11264</t>
  </si>
  <si>
    <t>IOGURTE BATAVO 1150G CEREAL CEREAL</t>
  </si>
  <si>
    <t>TRX-11265</t>
  </si>
  <si>
    <t>TRX-11266</t>
  </si>
  <si>
    <t>GOMA MANDIOCA DA TERRA PCT 1kg</t>
  </si>
  <si>
    <t>TRX-11267</t>
  </si>
  <si>
    <t>ARROZ PARB RAMPINELLI 1kg</t>
  </si>
  <si>
    <t>TRX-11268</t>
  </si>
  <si>
    <t>LENTILHA SECA KICALDO 500G</t>
  </si>
  <si>
    <t>TRX-11269</t>
  </si>
  <si>
    <t>GRAO BICO KICALDO 500G</t>
  </si>
  <si>
    <t>TRX-11270</t>
  </si>
  <si>
    <t>VASSOURA C CB ORIG NOVICA</t>
  </si>
  <si>
    <t>TRX-11271</t>
  </si>
  <si>
    <t>BISC C CRACKER VITARELLA 350G TOST</t>
  </si>
  <si>
    <t>TRX-11272</t>
  </si>
  <si>
    <t>AVEIA FLOCOS TRADINE CX 170G</t>
  </si>
  <si>
    <t>TRX-11273</t>
  </si>
  <si>
    <t>TRX-11274</t>
  </si>
  <si>
    <t>TRX-11275</t>
  </si>
  <si>
    <t>TORRESMO SERTAO PRONT 60G</t>
  </si>
  <si>
    <t>TRX-11276</t>
  </si>
  <si>
    <t>TRX-11277</t>
  </si>
  <si>
    <t>TRX-11278</t>
  </si>
  <si>
    <t>LEITE UHT LEITISSIMO 1L T A INT</t>
  </si>
  <si>
    <t>TRX-11279</t>
  </si>
  <si>
    <t>TRX-11280</t>
  </si>
  <si>
    <t>TRX-11281</t>
  </si>
  <si>
    <t>LEITE CONDENS SEMIDESNAT MOCA 395G</t>
  </si>
  <si>
    <t>TRX-11282</t>
  </si>
  <si>
    <t>AZEITE EXT VIRG BORGES VD 500ML</t>
  </si>
  <si>
    <t>TRX-11283</t>
  </si>
  <si>
    <t>PAO FORMA BAUDUCCO 390G INTEGRAL</t>
  </si>
  <si>
    <t>TRX-11284</t>
  </si>
  <si>
    <t>VINAGRE MACA MINHOTO 500ML</t>
  </si>
  <si>
    <t>TRX-11285</t>
  </si>
  <si>
    <t>TRX-11286</t>
  </si>
  <si>
    <t>TRX-11287</t>
  </si>
  <si>
    <t>TRX-11288</t>
  </si>
  <si>
    <t>TRX-11289</t>
  </si>
  <si>
    <t>TRX-11290</t>
  </si>
  <si>
    <t>AZEITONA VERDE V FERT SCH 150G LIGH</t>
  </si>
  <si>
    <t>TRX-11291</t>
  </si>
  <si>
    <t>ALCAPARRAS V FERT SCH 100G</t>
  </si>
  <si>
    <t>TRX-11292</t>
  </si>
  <si>
    <t>TRX-11293</t>
  </si>
  <si>
    <t>TRX-11294</t>
  </si>
  <si>
    <t>TALCO ANTISSEP BARLA 80G</t>
  </si>
  <si>
    <t>TRX-11295</t>
  </si>
  <si>
    <t>ALVEJ LIQ BRILUX 2L FLORAL</t>
  </si>
  <si>
    <t>TRX-11296</t>
  </si>
  <si>
    <t>DESENG COZ AJAX 500ML</t>
  </si>
  <si>
    <t>TRX-11297</t>
  </si>
  <si>
    <t>LAVA LOUCAS INVICTO 500ML NEUTRO</t>
  </si>
  <si>
    <t>TRX-11298</t>
  </si>
  <si>
    <t>DESINFET PINHO SOL 500ML LIMAO</t>
  </si>
  <si>
    <t>TRX-11299</t>
  </si>
  <si>
    <t>DESOD ROLL REXONA 50ML MEN ANTIB INVIS</t>
  </si>
  <si>
    <t>TRX-11300</t>
  </si>
  <si>
    <t>PAPEL TOALHA SCALA C2 120 FOLHAS</t>
  </si>
  <si>
    <t>TRX-11301</t>
  </si>
  <si>
    <t>LAVA ROUP PO TIXAN SC 1,6kg MACIEZ</t>
  </si>
  <si>
    <t>TRX-11302</t>
  </si>
  <si>
    <t>2024-09-13</t>
  </si>
  <si>
    <t>D1 PIZZA GRANDE</t>
  </si>
  <si>
    <t>TRX-11303</t>
  </si>
  <si>
    <t>TRX-11304</t>
  </si>
  <si>
    <t>2024-09-11</t>
  </si>
  <si>
    <t>CARVAO VEGETAL NOVA CONSCIENCIA PCT 2,5KG</t>
  </si>
  <si>
    <t>TRX-11305</t>
  </si>
  <si>
    <t>2024-10-13</t>
  </si>
  <si>
    <t>MYRBETRIC TAB 50MG 3X10</t>
  </si>
  <si>
    <t>TRX-11306</t>
  </si>
  <si>
    <t>ANSITEC 10MG 60CPR</t>
  </si>
  <si>
    <t>TRX-11307</t>
  </si>
  <si>
    <t>OPTIVE SOL OFT 15ML</t>
  </si>
  <si>
    <t>TRX-11308</t>
  </si>
  <si>
    <t>COCA COLA MINI PET 250ML</t>
  </si>
  <si>
    <t>TRX-11309</t>
  </si>
  <si>
    <t>2024-10-01</t>
  </si>
  <si>
    <t>HISTAMIN 2MG CPD/20</t>
  </si>
  <si>
    <t>TRX-11310</t>
  </si>
  <si>
    <t>TRX-11311</t>
  </si>
  <si>
    <t>TRX-11312</t>
  </si>
  <si>
    <t>NUTREN SENIOR 740G</t>
  </si>
  <si>
    <t>TRX-11313</t>
  </si>
  <si>
    <t>Ind Peixe no Envelope</t>
  </si>
  <si>
    <t>TRX-11314</t>
  </si>
  <si>
    <t>Ind Peixe Flor de Maracuja</t>
  </si>
  <si>
    <t>TRX-11315</t>
  </si>
  <si>
    <t>2024-10-24</t>
  </si>
  <si>
    <t>TRX-11316</t>
  </si>
  <si>
    <t>TRX-11317</t>
  </si>
  <si>
    <t>TRX-11318</t>
  </si>
  <si>
    <t>QUEIJO FAIXA AZUL PARMESAO CILINDRO 195G</t>
  </si>
  <si>
    <t>TRX-11319</t>
  </si>
  <si>
    <t>TRX-11320</t>
  </si>
  <si>
    <t>REQUEIJAO VIGOR CREMOSO 200GR</t>
  </si>
  <si>
    <t>TRX-11321</t>
  </si>
  <si>
    <t>QUEIJO TIROLEZ MUSSARELA KG</t>
  </si>
  <si>
    <t>TRX-11322</t>
  </si>
  <si>
    <t>TRX-11323</t>
  </si>
  <si>
    <t>IOGURTE NESTLE 1,25KG VITAMINA DE FRUTAS</t>
  </si>
  <si>
    <t>TRX-11324</t>
  </si>
  <si>
    <t>CASTANHA DE CAJU TORRADO CSAL KG</t>
  </si>
  <si>
    <t>TRX-11325</t>
  </si>
  <si>
    <t>MOLHO DE PIMENTA TABASCO 60ML GREEN PEPPER SAUCE</t>
  </si>
  <si>
    <t>TRX-11326</t>
  </si>
  <si>
    <t>MOLHO INGLES CEPERA 150ML</t>
  </si>
  <si>
    <t>TRX-11327</t>
  </si>
  <si>
    <t>PAO PLUS VITA 480G INTEGRAL</t>
  </si>
  <si>
    <t>TRX-11328</t>
  </si>
  <si>
    <t>MAGIC TOAST MARILAN 110G ORIGINAL</t>
  </si>
  <si>
    <t>TRX-11329</t>
  </si>
  <si>
    <t>BISCOITO MARILAN CREAM CRACKER 350G MANTEIGA</t>
  </si>
  <si>
    <t>TRX-11330</t>
  </si>
  <si>
    <t>CHOCOLATE TOBLERONE 100G MILK</t>
  </si>
  <si>
    <t>TRX-11331</t>
  </si>
  <si>
    <t>CHOCOLATE CIA DO CACAU 85G 70 CACAU</t>
  </si>
  <si>
    <t>TRX-11332</t>
  </si>
  <si>
    <t>LEITE PIRACANJUBA 1L INTEGRAL TP</t>
  </si>
  <si>
    <t>TRX-11333</t>
  </si>
  <si>
    <t>MAGIC TOAST MARILAN 110G INTEGRAL</t>
  </si>
  <si>
    <t>TRX-11334</t>
  </si>
  <si>
    <t>TRX-11335</t>
  </si>
  <si>
    <t>TRX-11336</t>
  </si>
  <si>
    <t>TRX-11337</t>
  </si>
  <si>
    <t>MANTEIGA DA TERRA CAICO 500G</t>
  </si>
  <si>
    <t>TRX-11338</t>
  </si>
  <si>
    <t>TRX-11339</t>
  </si>
  <si>
    <t>INSETICIDA SBP AERO LV MAIS PG MENOS 450ML ANTI AE</t>
  </si>
  <si>
    <t>TRX-11340</t>
  </si>
  <si>
    <t>TOALHA DE PAPEL MILI C2.</t>
  </si>
  <si>
    <t>TRX-11341</t>
  </si>
  <si>
    <t>DET.LIQ.BRILUX 500ML DUPLACAO CVINAGRE</t>
  </si>
  <si>
    <t>TRX-11342</t>
  </si>
  <si>
    <t>TRX-11343</t>
  </si>
  <si>
    <t>FIO DENTAL JOHNSONS REACH MENTA 100M</t>
  </si>
  <si>
    <t>TRX-11344</t>
  </si>
  <si>
    <t>TRX-11345</t>
  </si>
  <si>
    <t>CERVEJA HEINEKEN 250ML SHOT LONG NECK</t>
  </si>
  <si>
    <t>TRX-11346</t>
  </si>
  <si>
    <t>TRX-11347</t>
  </si>
  <si>
    <t>TRX-11348</t>
  </si>
  <si>
    <t>TRX-11349</t>
  </si>
  <si>
    <t>TRX-11350</t>
  </si>
  <si>
    <t>2024-10-17</t>
  </si>
  <si>
    <t>QUEIJO PRATO LA PAULINA kg</t>
  </si>
  <si>
    <t>TRX-11351</t>
  </si>
  <si>
    <t>TRX-11352</t>
  </si>
  <si>
    <t>SALAME SERRANO CASA BASCA 100G</t>
  </si>
  <si>
    <t>TRX-11353</t>
  </si>
  <si>
    <t>QUEIJO PARMESAO TIROLEZ kg RESERVA ESPECIAL</t>
  </si>
  <si>
    <t>TRX-11354</t>
  </si>
  <si>
    <t>QUEIJO GOUDA REGINA kg</t>
  </si>
  <si>
    <t>TRX-11355</t>
  </si>
  <si>
    <t>QUEIJO MINAS PADRAO DAVACA kg</t>
  </si>
  <si>
    <t>TRX-11356</t>
  </si>
  <si>
    <t>REQUEIJAO CREM VIGOR 200G TRAD</t>
  </si>
  <si>
    <t>TRX-11357</t>
  </si>
  <si>
    <t>TRX-11358</t>
  </si>
  <si>
    <t>TRX-11359</t>
  </si>
  <si>
    <t>AZEITONA PRETA V FERTIL SCH 120G S CAROCO</t>
  </si>
  <si>
    <t>TRX-11360</t>
  </si>
  <si>
    <t>TRX-11361</t>
  </si>
  <si>
    <t>TRX-11362</t>
  </si>
  <si>
    <t>GELEIA F VERM TRAD CS MADEIRA 240G</t>
  </si>
  <si>
    <t>TRX-11363</t>
  </si>
  <si>
    <t>TRX-11364</t>
  </si>
  <si>
    <t>UVA PASSA S SEMENTE kg</t>
  </si>
  <si>
    <t>TRX-11365</t>
  </si>
  <si>
    <t>TRX-11366</t>
  </si>
  <si>
    <t>TRX-11367</t>
  </si>
  <si>
    <t>DAMASCO SECO kg</t>
  </si>
  <si>
    <t>TRX-11368</t>
  </si>
  <si>
    <t>IOGURTE LIQ DANONE 1250G VITAMINA FRUTAS</t>
  </si>
  <si>
    <t>TRX-11369</t>
  </si>
  <si>
    <t>ACUCAR UNIAO 1kg REFINADO</t>
  </si>
  <si>
    <t>TRX-11370</t>
  </si>
  <si>
    <t>COXA FGO SADIA PCT 1kg</t>
  </si>
  <si>
    <t>TRX-11371</t>
  </si>
  <si>
    <t>LEITE FERM CHAMYTO 450G</t>
  </si>
  <si>
    <t>TRX-11372</t>
  </si>
  <si>
    <t>SUCO INT TRADINE PET 1,35L UVA</t>
  </si>
  <si>
    <t>TRX-11373</t>
  </si>
  <si>
    <t>MACAXEIRA C CASCA kg</t>
  </si>
  <si>
    <t>TRX-11374</t>
  </si>
  <si>
    <t>ARROZ BRANCO TIO JOAO 1kg</t>
  </si>
  <si>
    <t>TRX-11375</t>
  </si>
  <si>
    <t>PALMITO GOLDEN 270G INT</t>
  </si>
  <si>
    <t>TRX-11376</t>
  </si>
  <si>
    <t>TRX-11377</t>
  </si>
  <si>
    <t>TRX-11378</t>
  </si>
  <si>
    <t>FLOCAO MILHO NOVOMILHO 500G</t>
  </si>
  <si>
    <t>TRX-11379</t>
  </si>
  <si>
    <t>FLOCAO MILHO N TRAN DONA CLARA 500G</t>
  </si>
  <si>
    <t>TRX-11380</t>
  </si>
  <si>
    <t>TRX-11381</t>
  </si>
  <si>
    <t>PAO 12 GR 53P INTEG PLUS VITA 450G</t>
  </si>
  <si>
    <t>TRX-11382</t>
  </si>
  <si>
    <t>LEITE UHT ELEGE 1L INT</t>
  </si>
  <si>
    <t>TRX-11383</t>
  </si>
  <si>
    <t>BISC RECH ROLAD PIRAQUE 75G GOIABA</t>
  </si>
  <si>
    <t>TRX-11384</t>
  </si>
  <si>
    <t>CS CHOC MMS 148G CHOC AO LEITE</t>
  </si>
  <si>
    <t>TRX-11385</t>
  </si>
  <si>
    <t>TRX-11386</t>
  </si>
  <si>
    <t>TRX-11387</t>
  </si>
  <si>
    <t>DESOD AER REXONA 150ML IMPACTO</t>
  </si>
  <si>
    <t>TRX-11388</t>
  </si>
  <si>
    <t>DESOD ROLL REXONA 50ML S PERFUME</t>
  </si>
  <si>
    <t>TRX-11389</t>
  </si>
  <si>
    <t>LIMPADOR PERF COALA 120ML CITRONELA</t>
  </si>
  <si>
    <t>TRX-11390</t>
  </si>
  <si>
    <t>SABAO BARRA YPE 5X180G ALOE VERA</t>
  </si>
  <si>
    <t>TRX-11391</t>
  </si>
  <si>
    <t>LAVA ROUP PO YPE 800G PRIMAV CART</t>
  </si>
  <si>
    <t>TRX-11392</t>
  </si>
  <si>
    <t>LAVA LOUCAS LIQ LIMPOL 500ML NEUTRO</t>
  </si>
  <si>
    <t>TRX-11393</t>
  </si>
  <si>
    <t>TRX-11394</t>
  </si>
  <si>
    <t>TRX-11395</t>
  </si>
  <si>
    <t>ESPUMANTE NAC CHANDON 375ML BABY BRUT RES</t>
  </si>
  <si>
    <t>TRX-11396</t>
  </si>
  <si>
    <t>AGUA SANIT BRILUX 5L</t>
  </si>
  <si>
    <t>TRX-11397</t>
  </si>
  <si>
    <t>TRX-11398</t>
  </si>
  <si>
    <t>VASSOURA C CB MULT BRILHUS</t>
  </si>
  <si>
    <t>TRX-11399</t>
  </si>
  <si>
    <t>2024-10-25</t>
  </si>
  <si>
    <t>TECIDO CORTTEX - VOIL FLAME 3,00 M CINZA - 03 (COD: 2819)</t>
  </si>
  <si>
    <t>TRX-11400</t>
  </si>
  <si>
    <t>2024-10-26</t>
  </si>
  <si>
    <t>TRX-11401</t>
  </si>
  <si>
    <t>TRX-11402</t>
  </si>
  <si>
    <t>2024-11-22</t>
  </si>
  <si>
    <t>REG ESF VS 50MM TIGRE</t>
  </si>
  <si>
    <t>TRX-11403</t>
  </si>
  <si>
    <t>ADESIVO PLAST BISN PL 75G AMANCO</t>
  </si>
  <si>
    <t>TRX-11404</t>
  </si>
  <si>
    <t>MASSA ACRILICA BD 25KG IQUINE</t>
  </si>
  <si>
    <t>TRX-11405</t>
  </si>
  <si>
    <t>2024-11-21</t>
  </si>
  <si>
    <t>NISTATINA+OXIDO ZINC</t>
  </si>
  <si>
    <t>TRX-11406</t>
  </si>
  <si>
    <t>SALG PIRAQUE FILE AP</t>
  </si>
  <si>
    <t>TRX-11407</t>
  </si>
  <si>
    <t>TRX-11408</t>
  </si>
  <si>
    <t>CARGA MACH3 SENSITIV</t>
  </si>
  <si>
    <t>TRX-11409</t>
  </si>
  <si>
    <t>AP BARB MACH3 SENSIT</t>
  </si>
  <si>
    <t>TRX-11410</t>
  </si>
  <si>
    <t>COOKIES NUTRABIX CAC</t>
  </si>
  <si>
    <t>TRX-11411</t>
  </si>
  <si>
    <t>2024-11-16</t>
  </si>
  <si>
    <t>TRX-11412</t>
  </si>
  <si>
    <t>POLPETINI DE ORIGEM</t>
  </si>
  <si>
    <t>TRX-11413</t>
  </si>
  <si>
    <t>TRX-11414</t>
  </si>
  <si>
    <t>TRX-11415</t>
  </si>
  <si>
    <t>2024-11-30</t>
  </si>
  <si>
    <t>TRX-11416</t>
  </si>
  <si>
    <t>TRX-11417</t>
  </si>
  <si>
    <t>TRX-11418</t>
  </si>
  <si>
    <t>TRX-11419</t>
  </si>
  <si>
    <t>2024-11-17</t>
  </si>
  <si>
    <t>TRX-11420</t>
  </si>
  <si>
    <t>TRX-11421</t>
  </si>
  <si>
    <t>TRX-11422</t>
  </si>
  <si>
    <t>TRX-11423</t>
  </si>
  <si>
    <t>MACA ARGENTINA RED IMP.KG</t>
  </si>
  <si>
    <t>TRX-11424</t>
  </si>
  <si>
    <t>IOGURTE ISIS 900G BANANA CMACA</t>
  </si>
  <si>
    <t>TRX-11425</t>
  </si>
  <si>
    <t>LEITE CONDENSADO CEMIL 395G INTEGRAL TP</t>
  </si>
  <si>
    <t>TRX-11426</t>
  </si>
  <si>
    <t>TRX-11427</t>
  </si>
  <si>
    <t>TRX-11428</t>
  </si>
  <si>
    <t>AVEIA QUAKER 165G FLOCOS FINOS CAIXA</t>
  </si>
  <si>
    <t>TRX-11429</t>
  </si>
  <si>
    <t>BISCOITO PIRAQUE CREAM CRACKER 184G</t>
  </si>
  <si>
    <t>TRX-11430</t>
  </si>
  <si>
    <t>TRX-11431</t>
  </si>
  <si>
    <t>REQUEIJAO CATUPIRY COPOCREAM 200G</t>
  </si>
  <si>
    <t>TRX-11432</t>
  </si>
  <si>
    <t>SUCO NATURAL ONE 300ML LARANJA</t>
  </si>
  <si>
    <t>TRX-11433</t>
  </si>
  <si>
    <t>TRX-11434</t>
  </si>
  <si>
    <t>MORT.PERDIGAO OURO 200G CERVAS FINAS</t>
  </si>
  <si>
    <t>TRX-11435</t>
  </si>
  <si>
    <t>QUEIJO ILPLA COALHO NATURAL KG</t>
  </si>
  <si>
    <t>TRX-11436</t>
  </si>
  <si>
    <t>TRX-11437</t>
  </si>
  <si>
    <t>TRX-11438</t>
  </si>
  <si>
    <t>PAO BAUDUCO 390G FORMA INTEGRAL</t>
  </si>
  <si>
    <t>TRX-11439</t>
  </si>
  <si>
    <t>BOLO LITORAL MACAXEIRA KG</t>
  </si>
  <si>
    <t>TRX-11440</t>
  </si>
  <si>
    <t>SUCO DE UVA GARIBALDI 1,5L INTEGRAL BRANCO</t>
  </si>
  <si>
    <t>TRX-11441</t>
  </si>
  <si>
    <t>MOLHO DE TOMATE HEMMER 680G PASSATA</t>
  </si>
  <si>
    <t>TRX-11442</t>
  </si>
  <si>
    <t>AGUA MINERAL INDAIA 500ML CGAS</t>
  </si>
  <si>
    <t>TRX-11443</t>
  </si>
  <si>
    <t>TOALHA UMED.HUGGIES MAX CLEAN C48UN</t>
  </si>
  <si>
    <t>TRX-11444</t>
  </si>
  <si>
    <t>PANO PERFEX ANTIBAC.AZUL LV5 PG4</t>
  </si>
  <si>
    <t>TRX-11445</t>
  </si>
  <si>
    <t>DET.PO TIXAN YPE LV.1,6KG PG.1,52KG MACIEZ</t>
  </si>
  <si>
    <t>TRX-11446</t>
  </si>
  <si>
    <t>TRX-11447</t>
  </si>
  <si>
    <t>TRX-11448</t>
  </si>
  <si>
    <t>TRX-11449</t>
  </si>
  <si>
    <t>GLADE AERO.AURA FRESH 360ML EUCALIPTOMADEIRA TROP</t>
  </si>
  <si>
    <t>TRX-11450</t>
  </si>
  <si>
    <t>TRX-11451</t>
  </si>
  <si>
    <t>INSETICIDA SBP AERO LV MAIS PG MENOS 450ML MULTIIN</t>
  </si>
  <si>
    <t>TRX-11452</t>
  </si>
  <si>
    <t>SABONETE LIQUIDO REXONA ANTIBAC.1L ERVA DOCE</t>
  </si>
  <si>
    <t>TRX-11453</t>
  </si>
  <si>
    <t>DESINFETANTE PINHO BRIL SILVESTRE LV1L PG900ML</t>
  </si>
  <si>
    <t>TRX-11454</t>
  </si>
  <si>
    <t>TRX-11455</t>
  </si>
  <si>
    <t>CREME DENTAL COLGATE 180G MAX.PROT.CARIES</t>
  </si>
  <si>
    <t>TRX-11456</t>
  </si>
  <si>
    <t>DESINFETANTE VEJA POWER FUSION 500ML BICARBONATOL</t>
  </si>
  <si>
    <t>TRX-11457</t>
  </si>
  <si>
    <t>CREME DENTAL COLGATE 120G MAX.PROT.ANTICARIES</t>
  </si>
  <si>
    <t>TRX-11458</t>
  </si>
  <si>
    <t>ESC.GREEN INTERDENTAL 0.6MM</t>
  </si>
  <si>
    <t>TRX-11459</t>
  </si>
  <si>
    <t>OLEO KING DE CEDRO 200ML</t>
  </si>
  <si>
    <t>TRX-11460</t>
  </si>
  <si>
    <t>LIMPADOR CASAPERFUME 500ML AMABLE</t>
  </si>
  <si>
    <t>TRX-11461</t>
  </si>
  <si>
    <t>LAVA ROUPAS LIQ.MON BIJOU 1L COCO</t>
  </si>
  <si>
    <t>TRX-11462</t>
  </si>
  <si>
    <t>ENXAGUANTE BUCAL COLGATE      -12 500ML CARVAO</t>
  </si>
  <si>
    <t>TRX-11463</t>
  </si>
  <si>
    <t>ALCOOL SANTA CRUZ 54L 1L</t>
  </si>
  <si>
    <t>TRX-11464</t>
  </si>
  <si>
    <t>GEL ADESIVO PATO APARELHO GRATIS C6 DISCOS MARINE</t>
  </si>
  <si>
    <t>TRX-11465</t>
  </si>
  <si>
    <t>PATO PASTILHA ADESIVA FLORAL C3UNI OFERTA ESP.</t>
  </si>
  <si>
    <t>TRX-11466</t>
  </si>
  <si>
    <t>TRX-11467</t>
  </si>
  <si>
    <t>NAFTALINA IGUAL 40GR</t>
  </si>
  <si>
    <t>TRX-11468</t>
  </si>
  <si>
    <t>TRX-11469</t>
  </si>
  <si>
    <t>SAND.RIDER R1 SPEED AD AZULVERMELHA REF20698</t>
  </si>
  <si>
    <t>TRX-11470</t>
  </si>
  <si>
    <t>TRX-11471</t>
  </si>
  <si>
    <t>MOP STA.MARIA PVA ABSORVENTE REFIL</t>
  </si>
  <si>
    <t>TRX-11472</t>
  </si>
  <si>
    <t>ESFREGAO STA.MARIA ABSORVENTE POP MOP</t>
  </si>
  <si>
    <t>TRX-11473</t>
  </si>
  <si>
    <t>RODO STA.MARIA 60CM REF 353</t>
  </si>
  <si>
    <t>TRX-11474</t>
  </si>
  <si>
    <t>2024-11-01</t>
  </si>
  <si>
    <t>TRX-11475</t>
  </si>
  <si>
    <t>TRX-11476</t>
  </si>
  <si>
    <t>AMENDOAS SCASCA DOCEMEL RES.GOURMET 150G</t>
  </si>
  <si>
    <t>TRX-11477</t>
  </si>
  <si>
    <t>BANANA MACA KG</t>
  </si>
  <si>
    <t>TRX-11478</t>
  </si>
  <si>
    <t>MAMAO PAPAYA GOLDEN KG</t>
  </si>
  <si>
    <t>TRX-11479</t>
  </si>
  <si>
    <t>ABACATE KG</t>
  </si>
  <si>
    <t>TRX-11480</t>
  </si>
  <si>
    <t>TRX-11481</t>
  </si>
  <si>
    <t>UVA DOCE MEL LEVISSA 500G THOMPSON</t>
  </si>
  <si>
    <t>TRX-11482</t>
  </si>
  <si>
    <t>SALGADO EQLIBRI PANETINI 105G QUEIJO SUAVE</t>
  </si>
  <si>
    <t>TRX-11483</t>
  </si>
  <si>
    <t>ALFACE AMERICANA 2MFC EM BOLA UNIDADE</t>
  </si>
  <si>
    <t>TRX-11484</t>
  </si>
  <si>
    <t>TRX-11485</t>
  </si>
  <si>
    <t>COCO SECO UN</t>
  </si>
  <si>
    <t>TRX-11486</t>
  </si>
  <si>
    <t>LARANJA PERA KG</t>
  </si>
  <si>
    <t>TRX-11487</t>
  </si>
  <si>
    <t>SNACK EQLIBRI PANETINI 40G PRESUNTO DEFUMADO</t>
  </si>
  <si>
    <t>TRX-11488</t>
  </si>
  <si>
    <t>TRX-11489</t>
  </si>
  <si>
    <t>CANJICA DE MILHO OKOSHI CSAL 40G</t>
  </si>
  <si>
    <t>TRX-11490</t>
  </si>
  <si>
    <t>ARROZ TIO JOAO 1KG POLIDO</t>
  </si>
  <si>
    <t>TRX-11491</t>
  </si>
  <si>
    <t>GOMA DE MANDIOCA DATERRA 1KG</t>
  </si>
  <si>
    <t>TRX-11492</t>
  </si>
  <si>
    <t>TRX-11493</t>
  </si>
  <si>
    <t>TRX-11494</t>
  </si>
  <si>
    <t>TRX-11495</t>
  </si>
  <si>
    <t>LEITE CONDENSADO NESTLE MOCA 395G SEMIDESNATADO T</t>
  </si>
  <si>
    <t>TRX-11496</t>
  </si>
  <si>
    <t>BISCOITO NESTLE KIT KAT 41,5G DARK</t>
  </si>
  <si>
    <t>TRX-11497</t>
  </si>
  <si>
    <t>TRX-11498</t>
  </si>
  <si>
    <t>CHOCOLATE MILKA 100G GANZE HASELNUSSE</t>
  </si>
  <si>
    <t>TRX-11499</t>
  </si>
  <si>
    <t>QUEIJO ITAIPI RICOTA KG</t>
  </si>
  <si>
    <t>TRX-11500</t>
  </si>
  <si>
    <t>QUEIJO ITAIPI MINAS FRESCAL KG</t>
  </si>
  <si>
    <t>TRX-11501</t>
  </si>
  <si>
    <t>SALAME PERDIGAO 100G DEFUMADO</t>
  </si>
  <si>
    <t>TRX-11502</t>
  </si>
  <si>
    <t>TRX-11503</t>
  </si>
  <si>
    <t>COPA FAT. VITO BALDUCCI 80G SUINA</t>
  </si>
  <si>
    <t>TRX-11504</t>
  </si>
  <si>
    <t>TRX-11505</t>
  </si>
  <si>
    <t>IOGURTE DANONE 1,25KG VITAMINA DE FRUTAS BANMACA</t>
  </si>
  <si>
    <t>TRX-11506</t>
  </si>
  <si>
    <t>TRX-11507</t>
  </si>
  <si>
    <t>TRX-11508</t>
  </si>
  <si>
    <t>TRX-11509</t>
  </si>
  <si>
    <t>TRX-11510</t>
  </si>
  <si>
    <t>TRX-11511</t>
  </si>
  <si>
    <t>DESINFETANTE KALIPTO 5L EUCALIPTO</t>
  </si>
  <si>
    <t>TRX-11512</t>
  </si>
  <si>
    <t>ESPONJA YPE MULTIUSO LV4 PG3</t>
  </si>
  <si>
    <t>TRX-11513</t>
  </si>
  <si>
    <t>DET.PO BRILHANTE LIMPEZA TOTAL. 4K BAG</t>
  </si>
  <si>
    <t>TRX-11514</t>
  </si>
  <si>
    <t>ESPUMANTE JAUME SERRA 750ML BRUT</t>
  </si>
  <si>
    <t>TRX-11515</t>
  </si>
  <si>
    <t>TRX-11516</t>
  </si>
  <si>
    <t>2024-11-23</t>
  </si>
  <si>
    <t>D1 COCA LITRO</t>
  </si>
  <si>
    <t>TRX-11517</t>
  </si>
  <si>
    <t>TRX-11518</t>
  </si>
  <si>
    <t>TRX-11519</t>
  </si>
  <si>
    <t>2024-12-15</t>
  </si>
  <si>
    <t>GALETO SIMPLES</t>
  </si>
  <si>
    <t>TRX-11520</t>
  </si>
  <si>
    <t>TRX-11521</t>
  </si>
  <si>
    <t>2024-12-16</t>
  </si>
  <si>
    <t>CAMARAO A PARMEGIANA</t>
  </si>
  <si>
    <t>TRX-11522</t>
  </si>
  <si>
    <t>TRX-11523</t>
  </si>
  <si>
    <t>2024-12-02</t>
  </si>
  <si>
    <t>VENT MAL COL CH 220</t>
  </si>
  <si>
    <t>TRX-11524</t>
  </si>
  <si>
    <t>2024-12-14</t>
  </si>
  <si>
    <t>TRX-11525</t>
  </si>
  <si>
    <t>TRX-11526</t>
  </si>
  <si>
    <t>TRX-11527</t>
  </si>
  <si>
    <t>2024-12-28</t>
  </si>
  <si>
    <t>TRX-11528</t>
  </si>
  <si>
    <t>TRX-11529</t>
  </si>
  <si>
    <t>TRX-11530</t>
  </si>
  <si>
    <t>2024-12-08</t>
  </si>
  <si>
    <t>TRX-11531</t>
  </si>
  <si>
    <t>TRX-11532</t>
  </si>
  <si>
    <t>TRX-11533</t>
  </si>
  <si>
    <t>TRX-11534</t>
  </si>
  <si>
    <t>TRX-11535</t>
  </si>
  <si>
    <t>LEITE FERM.DANONE ACTIVIA 450G</t>
  </si>
  <si>
    <t>TRX-11536</t>
  </si>
  <si>
    <t>TRX-11537</t>
  </si>
  <si>
    <t>TRX-11538</t>
  </si>
  <si>
    <t>QUEIJO PRESIDENT 160G MAASDAM</t>
  </si>
  <si>
    <t>TRX-11539</t>
  </si>
  <si>
    <t>TRX-11540</t>
  </si>
  <si>
    <t>TRX-11541</t>
  </si>
  <si>
    <t>TRX-11542</t>
  </si>
  <si>
    <t>CEBOLINHA HSV ORGANICA UN</t>
  </si>
  <si>
    <t>TRX-11543</t>
  </si>
  <si>
    <t>VAGEM KG</t>
  </si>
  <si>
    <t>TRX-11544</t>
  </si>
  <si>
    <t>COENTRO 2MFC UNIDADE</t>
  </si>
  <si>
    <t>TRX-11545</t>
  </si>
  <si>
    <t>TOMATE GRAPE FRISON 180G BANDEJA</t>
  </si>
  <si>
    <t>TRX-11546</t>
  </si>
  <si>
    <t>RUCULA 2MFC UNIDADE</t>
  </si>
  <si>
    <t>TRX-11547</t>
  </si>
  <si>
    <t>COUVE FOLHA 2MFC UNIDADE</t>
  </si>
  <si>
    <t>TRX-11548</t>
  </si>
  <si>
    <t>REPOLHO ROXO KG</t>
  </si>
  <si>
    <t>TRX-11549</t>
  </si>
  <si>
    <t>TRX-11550</t>
  </si>
  <si>
    <t>MACAXEIRA KG</t>
  </si>
  <si>
    <t>TRX-11551</t>
  </si>
  <si>
    <t>CEBOLA BRANCA KG</t>
  </si>
  <si>
    <t>TRX-11552</t>
  </si>
  <si>
    <t>TRX-11553</t>
  </si>
  <si>
    <t>PAO BAUDUCO 390G FORMA TRADICIONAL</t>
  </si>
  <si>
    <t>TRX-11554</t>
  </si>
  <si>
    <t>SALGADO PINGO D OURO 30G BACON</t>
  </si>
  <si>
    <t>TRX-11555</t>
  </si>
  <si>
    <t>BISCOITO VITARELLA C.CRACKER 367,5G INTEGRAL</t>
  </si>
  <si>
    <t>TRX-11556</t>
  </si>
  <si>
    <t>PAO LITORAL AUSTRALIANO KG</t>
  </si>
  <si>
    <t>TRX-11557</t>
  </si>
  <si>
    <t>TRX-11558</t>
  </si>
  <si>
    <t>MAGIC TOAST MARILAN 110G MULTICEREAIS</t>
  </si>
  <si>
    <t>TRX-11559</t>
  </si>
  <si>
    <t>TRX-11560</t>
  </si>
  <si>
    <t>TRX-11561</t>
  </si>
  <si>
    <t>CARA SAO TOME KG</t>
  </si>
  <si>
    <t>TRX-11562</t>
  </si>
  <si>
    <t>TRX-11563</t>
  </si>
  <si>
    <t>TRX-11564</t>
  </si>
  <si>
    <t>BOLO LITORAL CHOCOLATE KG</t>
  </si>
  <si>
    <t>TRX-11565</t>
  </si>
  <si>
    <t>AZEITE DE OLIVA EA L.CARTUXA 500ML EXT.VIRGEM VID</t>
  </si>
  <si>
    <t>TRX-11566</t>
  </si>
  <si>
    <t>INSETICIDA SBP AERO LV MAIS PG MENOS 450ML EUCALIP</t>
  </si>
  <si>
    <t>TRX-11567</t>
  </si>
  <si>
    <t>REPELENTE OFF FAMILY SPRAY 170ML</t>
  </si>
  <si>
    <t>TRX-11568</t>
  </si>
  <si>
    <t>TRX-11569</t>
  </si>
  <si>
    <t>TRX-11570</t>
  </si>
  <si>
    <t>TRX-11571</t>
  </si>
  <si>
    <t>TRX-11572</t>
  </si>
  <si>
    <t>TRX-11573</t>
  </si>
  <si>
    <t>DESINFETANTE INSPIRA 500ML MULTI ANTIMOFO</t>
  </si>
  <si>
    <t>TRX-11574</t>
  </si>
  <si>
    <t>TRX-11575</t>
  </si>
  <si>
    <t>TRX-11576</t>
  </si>
  <si>
    <t>TOALHA DE PAPEL SCALA BRANCO C3</t>
  </si>
  <si>
    <t>TRX-11577</t>
  </si>
  <si>
    <t>TRX-11578</t>
  </si>
  <si>
    <t>2024-12-27</t>
  </si>
  <si>
    <t>TRX-11579</t>
  </si>
  <si>
    <t>TRX-11580</t>
  </si>
  <si>
    <t>2024-12-07</t>
  </si>
  <si>
    <t>TRX-11581</t>
  </si>
  <si>
    <t>TRX-11582</t>
  </si>
  <si>
    <t>TRX-11583</t>
  </si>
  <si>
    <t>2024-12-13</t>
  </si>
  <si>
    <t>TRX-11584</t>
  </si>
  <si>
    <t>TRX-11585</t>
  </si>
  <si>
    <t>2025-01-03</t>
  </si>
  <si>
    <t>TRX-11586</t>
  </si>
  <si>
    <t>TAGLIATELLE AL RAG DE LINGUICA</t>
  </si>
  <si>
    <t>TRX-11587</t>
  </si>
  <si>
    <t>TRX-11588</t>
  </si>
  <si>
    <t>2025-01-17</t>
  </si>
  <si>
    <t>TRX-11589</t>
  </si>
  <si>
    <t>TRX-11590</t>
  </si>
  <si>
    <t>TRX-11591</t>
  </si>
  <si>
    <t>2025-01-20</t>
  </si>
  <si>
    <t>TRX-11592</t>
  </si>
  <si>
    <t>TRX-11593</t>
  </si>
  <si>
    <t>TRX-11594</t>
  </si>
  <si>
    <t>2025-01-15</t>
  </si>
  <si>
    <t>SUCO CAMPO LARGO 1,35L MACA</t>
  </si>
  <si>
    <t>TRX-11595</t>
  </si>
  <si>
    <t>SUCO DE UVA ALIANCA 1,5L TINTO</t>
  </si>
  <si>
    <t>TRX-11596</t>
  </si>
  <si>
    <t>SALGADOS FRITOS LITORAL KG</t>
  </si>
  <si>
    <t>TRX-11597</t>
  </si>
  <si>
    <t>TRX-11598</t>
  </si>
  <si>
    <t>TRX-11599</t>
  </si>
  <si>
    <t>TRX-11600</t>
  </si>
  <si>
    <t>TRX-11601</t>
  </si>
  <si>
    <t>BATATA INGLESA KG</t>
  </si>
  <si>
    <t>TRX-11602</t>
  </si>
  <si>
    <t>TRX-11603</t>
  </si>
  <si>
    <t>TRX-11604</t>
  </si>
  <si>
    <t>TRX-11605</t>
  </si>
  <si>
    <t>TRX-11606</t>
  </si>
  <si>
    <t>TRX-11607</t>
  </si>
  <si>
    <t>TRX-11608</t>
  </si>
  <si>
    <t>PEIXE SARDINHA INT. DUMAR CONG.800G</t>
  </si>
  <si>
    <t>TRX-11609</t>
  </si>
  <si>
    <t>ALGODAO DISCO MILI BEAUTY C100</t>
  </si>
  <si>
    <t>TRX-11610</t>
  </si>
  <si>
    <t>GEL ADESIVO PATO REFIL 38G CITRUS</t>
  </si>
  <si>
    <t>TRX-11611</t>
  </si>
  <si>
    <t>PINCA MERHEJE BASIC C2 UN</t>
  </si>
  <si>
    <t>TRX-11612</t>
  </si>
  <si>
    <t>AMPOLA PANTENE 15ML HIDROCAUT.C3UN</t>
  </si>
  <si>
    <t>TRX-11613</t>
  </si>
  <si>
    <t>MASCARA NUTRITIVA PANTENE 600ML BAMBU</t>
  </si>
  <si>
    <t>TRX-11614</t>
  </si>
  <si>
    <t>TRX-11615</t>
  </si>
  <si>
    <t>TRX-11616</t>
  </si>
  <si>
    <t>TRX-11617</t>
  </si>
  <si>
    <t>TRX-11618</t>
  </si>
  <si>
    <t>TRX-11619</t>
  </si>
  <si>
    <t>LAVA ROUPAS EM PO ALA 1,6KG CUIDADO DO COCO</t>
  </si>
  <si>
    <t>TRX-11620</t>
  </si>
  <si>
    <t>LIXA PPES LANDHS EVA REF89</t>
  </si>
  <si>
    <t>TRX-11621</t>
  </si>
  <si>
    <t>MASCARA P DORMIR LU BELLE TAM - UNICO</t>
  </si>
  <si>
    <t>TRX-11622</t>
  </si>
  <si>
    <t>TRX-11623</t>
  </si>
  <si>
    <t>TRX-11624</t>
  </si>
  <si>
    <t>TRX-11625</t>
  </si>
  <si>
    <t>FEIJAO KICALDO 1KG CARIOCA</t>
  </si>
  <si>
    <t>TRX-11626</t>
  </si>
  <si>
    <t>MILHO PPIPOCA HIKARI 500G PREMIUM</t>
  </si>
  <si>
    <t>TRX-11627</t>
  </si>
  <si>
    <t>PULVERIZADOR IGUAL REF 5785</t>
  </si>
  <si>
    <t>TRX-11628</t>
  </si>
  <si>
    <t>REPELENTE NUTRIPLAN PPLANTAS FUMO 500ML</t>
  </si>
  <si>
    <t>TRX-11629</t>
  </si>
  <si>
    <t>BEBIDA LACTEA ISIS 900G GRAVIOLA</t>
  </si>
  <si>
    <t>TRX-11630</t>
  </si>
  <si>
    <t>BEBIDA LACTEA ISIS 900G AMEIXA</t>
  </si>
  <si>
    <t>TRX-11631</t>
  </si>
  <si>
    <t>TRX-11632</t>
  </si>
  <si>
    <t>TRX-11633</t>
  </si>
  <si>
    <t>TRX-11634</t>
  </si>
  <si>
    <t>TRX-11635</t>
  </si>
  <si>
    <t>TRX-11636</t>
  </si>
  <si>
    <t>TRX-11637</t>
  </si>
  <si>
    <t>LEITE CONDENSADO NESTLE MOCA 395G INTEGRAL LATA A</t>
  </si>
  <si>
    <t>TRX-11638</t>
  </si>
  <si>
    <t>TRX-11639</t>
  </si>
  <si>
    <t>BROA LITORAL KG</t>
  </si>
  <si>
    <t>TRX-11640</t>
  </si>
  <si>
    <t>AVEIA NATUQUALY 250G EM FLOCOS GROSSOS SACHE</t>
  </si>
  <si>
    <t>TRX-11641</t>
  </si>
  <si>
    <t>TRX-11642</t>
  </si>
  <si>
    <t>TRX-11643</t>
  </si>
  <si>
    <t>TRX-11644</t>
  </si>
  <si>
    <t>TRX-11645</t>
  </si>
  <si>
    <t>BOLO LITORAL AMEIXA KG</t>
  </si>
  <si>
    <t>TRX-11646</t>
  </si>
  <si>
    <t>PAO SERTANEJA 400G FORMA</t>
  </si>
  <si>
    <t>TRX-11647</t>
  </si>
  <si>
    <t>TRX-11648</t>
  </si>
  <si>
    <t>TRX-11649</t>
  </si>
  <si>
    <t>GOMA DE TAPIOCA 1KG DOCE MEL</t>
  </si>
  <si>
    <t>TRX-11650</t>
  </si>
  <si>
    <t>BISCOITO VITARELLA AGUA E SAL 350G TRADICIONAL</t>
  </si>
  <si>
    <t>TRX-11651</t>
  </si>
  <si>
    <t>BISCOITO CREAM CRACKER CAPRICHE CAPRISHOW 301,5G</t>
  </si>
  <si>
    <t>TRX-11652</t>
  </si>
  <si>
    <t>AVEIA NATUQUALY 250G EM FLOCOS FINOS SACHE</t>
  </si>
  <si>
    <t>TRX-11653</t>
  </si>
  <si>
    <t>TRX-11654</t>
  </si>
  <si>
    <t>TRX-11655</t>
  </si>
  <si>
    <t>TRX-11656</t>
  </si>
  <si>
    <t>TRX-11657</t>
  </si>
  <si>
    <t>APERITIVO CAMPARI 748ML MILANO</t>
  </si>
  <si>
    <t>TRX-11658</t>
  </si>
  <si>
    <t>TRX-11659</t>
  </si>
  <si>
    <t>2025-01-02</t>
  </si>
  <si>
    <t>TRX-11660</t>
  </si>
  <si>
    <t>TRX-11661</t>
  </si>
  <si>
    <t>MAGIC TOAST MARILAN 110G CACAU</t>
  </si>
  <si>
    <t>TRX-11662</t>
  </si>
  <si>
    <t>TRX-11663</t>
  </si>
  <si>
    <t>AVEIA NATUQUALY 170G EM FLOCOS GROSSOS</t>
  </si>
  <si>
    <t>TRX-11664</t>
  </si>
  <si>
    <t>TRX-11665</t>
  </si>
  <si>
    <t>PAO BAUDUCO 390G FORMA MULTIGRAOS</t>
  </si>
  <si>
    <t>TRX-11666</t>
  </si>
  <si>
    <t>QUEIJO TIROLEZ REINO KG LATA BOLA 4</t>
  </si>
  <si>
    <t>TRX-11667</t>
  </si>
  <si>
    <t>AMEIXA SECA DOCE MEL RES.GOURMET 150G SCAROCO</t>
  </si>
  <si>
    <t>TRX-11668</t>
  </si>
  <si>
    <t>CASTANHA DE CAJU NATURAL CASEIRA KG</t>
  </si>
  <si>
    <t>TRX-11669</t>
  </si>
  <si>
    <t>TRX-11670</t>
  </si>
  <si>
    <t>REQUEIJAO CATUPIRY 180G ERVAS FINAS</t>
  </si>
  <si>
    <t>TRX-11671</t>
  </si>
  <si>
    <t>LEITE FERMENTADO ACTIVIA ZERO 800G AMEIXA</t>
  </si>
  <si>
    <t>TRX-11672</t>
  </si>
  <si>
    <t>TRX-11673</t>
  </si>
  <si>
    <t>QUEENSBERRY DIET 280G FRAMBOESA</t>
  </si>
  <si>
    <t>TRX-11674</t>
  </si>
  <si>
    <t>TRX-11675</t>
  </si>
  <si>
    <t>TRX-11676</t>
  </si>
  <si>
    <t>TRX-11677</t>
  </si>
  <si>
    <t>GRAO DE BICO KICALDO 500GR</t>
  </si>
  <si>
    <t>TRX-11678</t>
  </si>
  <si>
    <t>TRX-11679</t>
  </si>
  <si>
    <t>TRX-11680</t>
  </si>
  <si>
    <t>TRX-11681</t>
  </si>
  <si>
    <t>TRX-11682</t>
  </si>
  <si>
    <t>FUBA CORINGA 500G NATURAL</t>
  </si>
  <si>
    <t>TRX-11683</t>
  </si>
  <si>
    <t>TRX-11684</t>
  </si>
  <si>
    <t>TRX-11685</t>
  </si>
  <si>
    <t>AZEITE DE OLIVA BORGES 500ML EXT.VIRGEM VIDRO</t>
  </si>
  <si>
    <t>TRX-11686</t>
  </si>
  <si>
    <t>VINHO CASAL GARCIA 750ML BRANCO VERDE</t>
  </si>
  <si>
    <t>TRX-11687</t>
  </si>
  <si>
    <t>GATORADE 500ML MORANGO E MELANCIA</t>
  </si>
  <si>
    <t>TRX-11688</t>
  </si>
  <si>
    <t>TRX-11689</t>
  </si>
  <si>
    <t>TRX-11690</t>
  </si>
  <si>
    <t>TOALHA PBANHO BOUTON IMPERIA 3294 DUSTY ROSE REF</t>
  </si>
  <si>
    <t>TRX-11691</t>
  </si>
  <si>
    <t>TOALHA B.CASA PBANHO YASMIM 70CM CARVALHO</t>
  </si>
  <si>
    <t>TRX-11692</t>
  </si>
  <si>
    <t>TOALHA DE PAPEL ABSOLUTO DECOR C2</t>
  </si>
  <si>
    <t>TRX-11693</t>
  </si>
  <si>
    <t>TRX-11694</t>
  </si>
  <si>
    <t>ESPONJA DE ACO BOMBRIL ECO 60G C8UN</t>
  </si>
  <si>
    <t>TRX-11695</t>
  </si>
  <si>
    <t>LAVA ROUPAS INVICTO PO 1,6KG LAVANDA SACHE</t>
  </si>
  <si>
    <t>TRX-11696</t>
  </si>
  <si>
    <t>TRX-11697</t>
  </si>
  <si>
    <t>INSETICIDA SBP AERO LV MAIS PG MENOS 450ML CITRONE</t>
  </si>
  <si>
    <t>TRX-11698</t>
  </si>
  <si>
    <t>GRAXA BRANCA 300ML ORBI GRAX</t>
  </si>
  <si>
    <t>TRX-11699</t>
  </si>
  <si>
    <t>TRX-11700</t>
  </si>
  <si>
    <t>DESODORANTE AEROSOL AXE APOLLO 150ML96G</t>
  </si>
  <si>
    <t>TRX-11701</t>
  </si>
  <si>
    <t>DESODORANTE AEROSOL REXONA MEN TUNING V8 89G150ML</t>
  </si>
  <si>
    <t>TRX-11702</t>
  </si>
  <si>
    <t>INSET.SBP REF 45 NOITES 35ML</t>
  </si>
  <si>
    <t>TRX-11703</t>
  </si>
  <si>
    <t>RATICIDA KELLMAT C4 BLOCOS</t>
  </si>
  <si>
    <t>TRX-11704</t>
  </si>
  <si>
    <t>TRX-11705</t>
  </si>
  <si>
    <t>CERVEJA HEINEKEN 330ML LONG NECK</t>
  </si>
  <si>
    <t>TRX-11706</t>
  </si>
  <si>
    <t>TRX-11707</t>
  </si>
  <si>
    <t>CONFEITOS MMS 45G CHOC.AO LEITE</t>
  </si>
  <si>
    <t>TRX-11708</t>
  </si>
  <si>
    <t>TRX-11709</t>
  </si>
  <si>
    <t>2025-01-27</t>
  </si>
  <si>
    <t>TRX-11710</t>
  </si>
  <si>
    <t>TRX-11711</t>
  </si>
  <si>
    <t>TRX-11712</t>
  </si>
  <si>
    <t>COENTRO HSV ORGANICO UN</t>
  </si>
  <si>
    <t>TRX-11713</t>
  </si>
  <si>
    <t>CHEIRO VERDE 2MFC UNIDADE</t>
  </si>
  <si>
    <t>TRX-11714</t>
  </si>
  <si>
    <t>TRX-11715</t>
  </si>
  <si>
    <t>QUEIJO ILPLA COALHO KG</t>
  </si>
  <si>
    <t>TRX-11716</t>
  </si>
  <si>
    <t>BEBIDA LACTEA ISIS 900G MORANGO</t>
  </si>
  <si>
    <t>TRX-11717</t>
  </si>
  <si>
    <t>TRX-11718</t>
  </si>
  <si>
    <t>MORTADELA SEARA GOURMET DEFUMADA 180G</t>
  </si>
  <si>
    <t>TRX-11719</t>
  </si>
  <si>
    <t>TRX-11720</t>
  </si>
  <si>
    <t>TRX-11721</t>
  </si>
  <si>
    <t>TRX-11722</t>
  </si>
  <si>
    <t>REQUEIJAO NESTLE 200G CREMOSO</t>
  </si>
  <si>
    <t>TRX-11723</t>
  </si>
  <si>
    <t>TRX-11724</t>
  </si>
  <si>
    <t>AZEITONA LA VIOLETERA 130G CPIM.JALAPENO VD</t>
  </si>
  <si>
    <t>TRX-11725</t>
  </si>
  <si>
    <t>MACA NACIONAL KG</t>
  </si>
  <si>
    <t>TRX-11726</t>
  </si>
  <si>
    <t>AZEITONA LA VIOLETERA RECH.130G SALMAO</t>
  </si>
  <si>
    <t>TRX-11727</t>
  </si>
  <si>
    <t>MANTEIGA ITACOLOMY 200G LATA</t>
  </si>
  <si>
    <t>TRX-11728</t>
  </si>
  <si>
    <t>PALMITO GOLDEN 270G EXTRA MACIO</t>
  </si>
  <si>
    <t>TRX-11729</t>
  </si>
  <si>
    <t>TRX-11730</t>
  </si>
  <si>
    <t>SALGADO CROCANTISSIMO 40G SALAMINHO CLIMAO</t>
  </si>
  <si>
    <t>TRX-11731</t>
  </si>
  <si>
    <t>SALGADO CROCANTISSIMO 40G PEITO PERU CREQUEIJAO</t>
  </si>
  <si>
    <t>TRX-11732</t>
  </si>
  <si>
    <t>TRX-11733</t>
  </si>
  <si>
    <t>TRX-11734</t>
  </si>
  <si>
    <t>TRX-11735</t>
  </si>
  <si>
    <t>TRX-11736</t>
  </si>
  <si>
    <t>TRX-11737</t>
  </si>
  <si>
    <t>TRX-11738</t>
  </si>
  <si>
    <t>TRX-11739</t>
  </si>
  <si>
    <t>GRAO DE BICO YOKI 400G</t>
  </si>
  <si>
    <t>TRX-11740</t>
  </si>
  <si>
    <t>TRX-11741</t>
  </si>
  <si>
    <t>TRX-11742</t>
  </si>
  <si>
    <t>TRX-11743</t>
  </si>
  <si>
    <t>TRX-11744</t>
  </si>
  <si>
    <t>TRX-11745</t>
  </si>
  <si>
    <t>TRX-11746</t>
  </si>
  <si>
    <t>TRX-11747</t>
  </si>
  <si>
    <t>TRX-11748</t>
  </si>
  <si>
    <t>TRX-11749</t>
  </si>
  <si>
    <t>NUTREN SENIOR NESTLE 370G SEM SABOR</t>
  </si>
  <si>
    <t>TRX-11750</t>
  </si>
  <si>
    <t>TRX-11751</t>
  </si>
  <si>
    <t>TRX-11752</t>
  </si>
  <si>
    <t>TRX-11753</t>
  </si>
  <si>
    <t>TRX-11754</t>
  </si>
  <si>
    <t>INHAME KG</t>
  </si>
  <si>
    <t>TRX-11755</t>
  </si>
  <si>
    <t>TRX-11756</t>
  </si>
  <si>
    <t>TRX-11757</t>
  </si>
  <si>
    <t>TRX-11758</t>
  </si>
  <si>
    <t>TRX-11759</t>
  </si>
  <si>
    <t>TRX-11760</t>
  </si>
  <si>
    <t>TOALHA B.CASA PBANHO YASMIM 70CM ROSEWOOD</t>
  </si>
  <si>
    <t>TRX-11761</t>
  </si>
  <si>
    <t>LAVA ROUPAS EM PO BRILHANTE LIMP.TOTAL.LV1.6 PG1.4</t>
  </si>
  <si>
    <t>TRX-11762</t>
  </si>
  <si>
    <t>COTONETES TOPZ CX C75UN</t>
  </si>
  <si>
    <t>TRX-11763</t>
  </si>
  <si>
    <t>TRX-11764</t>
  </si>
  <si>
    <t>SABAO YPE BARRA CCOCO E TOQ.AVEIA 5X180G</t>
  </si>
  <si>
    <t>TRX-11765</t>
  </si>
  <si>
    <t>TRX-11766</t>
  </si>
  <si>
    <t>DET.LIQ.INVICTO 1,8L NEUTRO</t>
  </si>
  <si>
    <t>TRX-11767</t>
  </si>
  <si>
    <t>TRX-11768</t>
  </si>
  <si>
    <t>2025-01-21</t>
  </si>
  <si>
    <t>Uva Cx200 DL</t>
  </si>
  <si>
    <t>TRX-11769</t>
  </si>
  <si>
    <t>McL Feliz HB Pr</t>
  </si>
  <si>
    <t>McDonald's</t>
  </si>
  <si>
    <t>TRX-11770</t>
  </si>
  <si>
    <t>Batata Kids Pr</t>
  </si>
  <si>
    <t>TRX-11771</t>
  </si>
  <si>
    <t>PetitSuPr MLF</t>
  </si>
  <si>
    <t>TRX-11772</t>
  </si>
  <si>
    <t>BR Surp PrDLV</t>
  </si>
  <si>
    <t>TRX-11773</t>
  </si>
  <si>
    <t>TRX-11774</t>
  </si>
  <si>
    <t>TRX-11775</t>
  </si>
  <si>
    <t>TRX-11776</t>
  </si>
  <si>
    <t>TRX-11777</t>
  </si>
  <si>
    <t>McL Feliz Nug 4 Pr</t>
  </si>
  <si>
    <t>TRX-11778</t>
  </si>
  <si>
    <t>Cheesebur ALC</t>
  </si>
  <si>
    <t>TRX-11779</t>
  </si>
  <si>
    <t>Big Mac M Pr</t>
  </si>
  <si>
    <t>TRX-11780</t>
  </si>
  <si>
    <t>Batata M Pr</t>
  </si>
  <si>
    <t>TRX-11781</t>
  </si>
  <si>
    <t>Suc Lar M Pr</t>
  </si>
  <si>
    <t>TRX-11782</t>
  </si>
  <si>
    <t>TRX-11783</t>
  </si>
  <si>
    <t>TRX-11784</t>
  </si>
  <si>
    <t>Coca M DLV</t>
  </si>
  <si>
    <t>TRX-11785</t>
  </si>
  <si>
    <t>TRX-11786</t>
  </si>
  <si>
    <t>TRX-11787</t>
  </si>
  <si>
    <t>CocaS Ac M DL</t>
  </si>
  <si>
    <t>TRX-11788</t>
  </si>
  <si>
    <t>REPOFLOR 200MG 6 CAP</t>
  </si>
  <si>
    <t>TRX-11789</t>
  </si>
  <si>
    <t>2025-02-09</t>
  </si>
  <si>
    <t>TRX-11790</t>
  </si>
  <si>
    <t>Coca Cola 1L</t>
  </si>
  <si>
    <t>TRX-11791</t>
  </si>
  <si>
    <t>Ind Peixe Genovesa</t>
  </si>
  <si>
    <t>TRX-11792</t>
  </si>
  <si>
    <t>2025-02-16</t>
  </si>
  <si>
    <t>TRX-11793</t>
  </si>
  <si>
    <t>TRX-11794</t>
  </si>
  <si>
    <t>TRX-11795</t>
  </si>
  <si>
    <t>2025-02-23</t>
  </si>
  <si>
    <t>TRX-11796</t>
  </si>
  <si>
    <t>TRX-11797</t>
  </si>
  <si>
    <t>TRX-11798</t>
  </si>
  <si>
    <t>2025-02-11</t>
  </si>
  <si>
    <t>AMENDOIM ELMA CHIPS 45G JAPONES</t>
  </si>
  <si>
    <t>TRX-11799</t>
  </si>
  <si>
    <t>TRX-11800</t>
  </si>
  <si>
    <t>TRX-11801</t>
  </si>
  <si>
    <t>TRX-11802</t>
  </si>
  <si>
    <t>TRX-11803</t>
  </si>
  <si>
    <t>TRX-11804</t>
  </si>
  <si>
    <t>HORTELA 2MFC UNIDADE</t>
  </si>
  <si>
    <t>TRX-11805</t>
  </si>
  <si>
    <t>SALSA 2MFC UNIDADE</t>
  </si>
  <si>
    <t>TRX-11806</t>
  </si>
  <si>
    <t>TRX-11807</t>
  </si>
  <si>
    <t>TRX-11808</t>
  </si>
  <si>
    <t>TRX-11809</t>
  </si>
  <si>
    <t>CANJICA DE MILHO OKOSHI 40G AZEITE DE OLIVA</t>
  </si>
  <si>
    <t>TRX-11810</t>
  </si>
  <si>
    <t>TRX-11811</t>
  </si>
  <si>
    <t>SALGADO CROCANTISSIMO 40G QUEIJO E CEBOLA</t>
  </si>
  <si>
    <t>TRX-11812</t>
  </si>
  <si>
    <t>TORRADA PANVEIGA 120G CEBOLA</t>
  </si>
  <si>
    <t>TRX-11813</t>
  </si>
  <si>
    <t>TORRADA PANVEIGA 120G ALHO</t>
  </si>
  <si>
    <t>TRX-11814</t>
  </si>
  <si>
    <t>TRX-11815</t>
  </si>
  <si>
    <t>TRX-11816</t>
  </si>
  <si>
    <t>TRX-11817</t>
  </si>
  <si>
    <t>TRX-11818</t>
  </si>
  <si>
    <t>MACARRAO GALO 500G CSEMOLA ESPAGUETE 8</t>
  </si>
  <si>
    <t>TRX-11819</t>
  </si>
  <si>
    <t>TRX-11820</t>
  </si>
  <si>
    <t>TRX-11821</t>
  </si>
  <si>
    <t>TRX-11822</t>
  </si>
  <si>
    <t>TRX-11823</t>
  </si>
  <si>
    <t>QUEIJO RALADO VIGOR 50G</t>
  </si>
  <si>
    <t>TRX-11824</t>
  </si>
  <si>
    <t>BISCOITO MARILAN CREAM CRACKER 350G GERGELIM</t>
  </si>
  <si>
    <t>TRX-11825</t>
  </si>
  <si>
    <t>BISCOITO MARILAN C.CRACKER F.NATURAL 335G INTEGRAL</t>
  </si>
  <si>
    <t>TRX-11826</t>
  </si>
  <si>
    <t>TRX-11827</t>
  </si>
  <si>
    <t>TRX-11828</t>
  </si>
  <si>
    <t>AZEITONA VERDE MARIZA 150G RECHEADA POUCHE</t>
  </si>
  <si>
    <t>TRX-11829</t>
  </si>
  <si>
    <t>TRX-11830</t>
  </si>
  <si>
    <t>AZEITONA LA VIOLETERA 130G VDE CANCHOVA</t>
  </si>
  <si>
    <t>TRX-11831</t>
  </si>
  <si>
    <t>TRX-11832</t>
  </si>
  <si>
    <t>TRX-11833</t>
  </si>
  <si>
    <t>TRX-11834</t>
  </si>
  <si>
    <t>TRX-11835</t>
  </si>
  <si>
    <t>TRX-11836</t>
  </si>
  <si>
    <t>QUEIJO CATOLE MUSSARELA KG</t>
  </si>
  <si>
    <t>TRX-11837</t>
  </si>
  <si>
    <t>TRX-11838</t>
  </si>
  <si>
    <t>TRX-11839</t>
  </si>
  <si>
    <t>TRX-11840</t>
  </si>
  <si>
    <t>VINAGRE MINHOTO 500ML ALCOOL</t>
  </si>
  <si>
    <t>TRX-11841</t>
  </si>
  <si>
    <t>TRX-11842</t>
  </si>
  <si>
    <t>SUCO DE UVA GARIBALDI 1,5L INTEGRAL TINTO</t>
  </si>
  <si>
    <t>TRX-11843</t>
  </si>
  <si>
    <t>PAPEL  ALUMINIO TERMICA 4MX30CM</t>
  </si>
  <si>
    <t>TRX-11844</t>
  </si>
  <si>
    <t>TRX-11845</t>
  </si>
  <si>
    <t>TRX-11846</t>
  </si>
  <si>
    <t>EXTENSAO DANEVA 3MTS PRETO</t>
  </si>
  <si>
    <t>TRX-11847</t>
  </si>
  <si>
    <t>TRX-11848</t>
  </si>
  <si>
    <t>AMACIANTE AMACITEL LUXO 2L ALEGRES ENCANTOS</t>
  </si>
  <si>
    <t>TRX-11849</t>
  </si>
  <si>
    <t>AMACIANTE AMACITEL LUXO 2L TOQUE DE POESIA</t>
  </si>
  <si>
    <t>TRX-11850</t>
  </si>
  <si>
    <t>AGUA SANITARIA TUBARAO 5L</t>
  </si>
  <si>
    <t>TRX-11851</t>
  </si>
  <si>
    <t>TRX-11852</t>
  </si>
  <si>
    <t>PANO DE CHAO ITATEX 45X75CM TIPO M FLANELADO</t>
  </si>
  <si>
    <t>TRX-11853</t>
  </si>
  <si>
    <t>PAPEL HIG.NEVE NEUTRO FD LV18 PG16 TOQUE DE SEDA</t>
  </si>
  <si>
    <t>TRX-11854</t>
  </si>
  <si>
    <t>LAVA ROUPAS INVICTO PO 4KG LAVANDA SACHE</t>
  </si>
  <si>
    <t>TRX-11855</t>
  </si>
  <si>
    <t>OVOS DA GEMA C30 VERMELHOS</t>
  </si>
  <si>
    <t>TRX-11856</t>
  </si>
  <si>
    <t>TRX-11857</t>
  </si>
  <si>
    <t>2025-02-25</t>
  </si>
  <si>
    <t>TRX-11858</t>
  </si>
  <si>
    <t>PEIXE SARDINHA CONG.ESPALMADA 800G DUMAR</t>
  </si>
  <si>
    <t>TRX-11859</t>
  </si>
  <si>
    <t>TRX-11860</t>
  </si>
  <si>
    <t>TRX-11861</t>
  </si>
  <si>
    <t>TRX-11862</t>
  </si>
  <si>
    <t>TRX-11863</t>
  </si>
  <si>
    <t>FIGADO FRANGO PERDIGAO CONG. 1KG</t>
  </si>
  <si>
    <t>TRX-11864</t>
  </si>
  <si>
    <t>TRX-11865</t>
  </si>
  <si>
    <t>TRX-11866</t>
  </si>
  <si>
    <t>TRX-11867</t>
  </si>
  <si>
    <t>TRX-11868</t>
  </si>
  <si>
    <t>TRX-11869</t>
  </si>
  <si>
    <t>BEBIDA LACTEA ISIS 900G BANANA COM MACA</t>
  </si>
  <si>
    <t>TRX-11870</t>
  </si>
  <si>
    <t>TRX-11871</t>
  </si>
  <si>
    <t>TRX-11872</t>
  </si>
  <si>
    <t>TRX-11873</t>
  </si>
  <si>
    <t>TRX-11874</t>
  </si>
  <si>
    <t>COUVE FOLHA HSV ORGANICA UN</t>
  </si>
  <si>
    <t>TRX-11875</t>
  </si>
  <si>
    <t>TRX-11876</t>
  </si>
  <si>
    <t>CEBOLINHA 2MFC UNIDADE</t>
  </si>
  <si>
    <t>TRX-11877</t>
  </si>
  <si>
    <t>TRX-11878</t>
  </si>
  <si>
    <t>TRX-11879</t>
  </si>
  <si>
    <t>TRX-11880</t>
  </si>
  <si>
    <t>TRX-11881</t>
  </si>
  <si>
    <t>TRX-11882</t>
  </si>
  <si>
    <t>TRX-11883</t>
  </si>
  <si>
    <t>TRX-11884</t>
  </si>
  <si>
    <t>ABOBORA MORANGA KG</t>
  </si>
  <si>
    <t>TRX-11885</t>
  </si>
  <si>
    <t>TRX-11886</t>
  </si>
  <si>
    <t>TRX-11887</t>
  </si>
  <si>
    <t>TRX-11888</t>
  </si>
  <si>
    <t>TRX-11889</t>
  </si>
  <si>
    <t>TRX-11890</t>
  </si>
  <si>
    <t>TRX-11891</t>
  </si>
  <si>
    <t>TRX-11892</t>
  </si>
  <si>
    <t>TRX-11893</t>
  </si>
  <si>
    <t>PA PLIXO BETTANIN COLETORA REF.BT141</t>
  </si>
  <si>
    <t>TRX-11894</t>
  </si>
  <si>
    <t>VASSOURA PLANETA LEQUE EXPORT N.04</t>
  </si>
  <si>
    <t>TRX-11895</t>
  </si>
  <si>
    <t>BISCOITO VITARELLA C.CRACKER TOSTADINHA 350G</t>
  </si>
  <si>
    <t>TRX-11896</t>
  </si>
  <si>
    <t>WAFER REC NUTELLA B-READY 22G</t>
  </si>
  <si>
    <t>TRX-11897</t>
  </si>
  <si>
    <t>TRX-11898</t>
  </si>
  <si>
    <t>TRX-11899</t>
  </si>
  <si>
    <t>TRX-11900</t>
  </si>
  <si>
    <t>TRX-11901</t>
  </si>
  <si>
    <t>TRX-11902</t>
  </si>
  <si>
    <t>TRX-11903</t>
  </si>
  <si>
    <t>TRX-11904</t>
  </si>
  <si>
    <t>TRX-11905</t>
  </si>
  <si>
    <t>TRX-11906</t>
  </si>
  <si>
    <t>KIT SAMARA CORDA PVARAL TORCIDA C2</t>
  </si>
  <si>
    <t>TRX-11907</t>
  </si>
  <si>
    <t>CORDA PVARAL VITORIA DE ACO 10MTS</t>
  </si>
  <si>
    <t>TRX-11908</t>
  </si>
  <si>
    <t>TRX-11909</t>
  </si>
  <si>
    <t>SABONETE LIQUIDO HARROP 1L PITANGA REFIL</t>
  </si>
  <si>
    <t>TRX-11910</t>
  </si>
  <si>
    <t>TRX-11911</t>
  </si>
  <si>
    <t>TRX-11912</t>
  </si>
  <si>
    <t>TRX-11913</t>
  </si>
  <si>
    <t>TRX-11914</t>
  </si>
  <si>
    <t>CARGA GILLETTE MACH 3 C2</t>
  </si>
  <si>
    <t>TRX-11915</t>
  </si>
  <si>
    <t>2025-02-15</t>
  </si>
  <si>
    <t>Monte Seu Poke P (350ml)</t>
  </si>
  <si>
    <t>TRX-11916</t>
  </si>
  <si>
    <t>Poke Do Chefe</t>
  </si>
  <si>
    <t>TRX-11917</t>
  </si>
  <si>
    <t>2025-03-15</t>
  </si>
  <si>
    <t>DL POLPETINI DE ORIGEM</t>
  </si>
  <si>
    <t>TRX-11918</t>
  </si>
  <si>
    <t>DL POLPETAS NO MOLHO ALFREDO</t>
  </si>
  <si>
    <t>TRX-11919</t>
  </si>
  <si>
    <t>TRX-11920</t>
  </si>
  <si>
    <t>2025-03-16</t>
  </si>
  <si>
    <t>DEXILANT 60MG CAPS/3</t>
  </si>
  <si>
    <t>TRX-11921</t>
  </si>
  <si>
    <t>NEOSALDINA DGR/10</t>
  </si>
  <si>
    <t>TRX-11922</t>
  </si>
  <si>
    <t>CL NARATRIPTANA 2,5M</t>
  </si>
  <si>
    <t>TRX-11923</t>
  </si>
  <si>
    <t>CHOC MMS VERMELHO 80</t>
  </si>
  <si>
    <t>TRX-11924</t>
  </si>
  <si>
    <t>2025-03-02</t>
  </si>
  <si>
    <t>TRX-11925</t>
  </si>
  <si>
    <t>TRX-11926</t>
  </si>
  <si>
    <t>2025-03-09</t>
  </si>
  <si>
    <t>TRX-11927</t>
  </si>
  <si>
    <t>TRX-11928</t>
  </si>
  <si>
    <t>Ind F de Frango a Parmegiana c Arroz</t>
  </si>
  <si>
    <t>TRX-11929</t>
  </si>
  <si>
    <t>TRX-11930</t>
  </si>
  <si>
    <t>2025-03-23</t>
  </si>
  <si>
    <t>TRX-11931</t>
  </si>
  <si>
    <t>TRX-11932</t>
  </si>
  <si>
    <t>TRX-11933</t>
  </si>
  <si>
    <t>2025-03-30</t>
  </si>
  <si>
    <t>TRX-11934</t>
  </si>
  <si>
    <t>TRX-11935</t>
  </si>
  <si>
    <t>2025-03-06</t>
  </si>
  <si>
    <t>VODKA SMIRNOFF 600ML</t>
  </si>
  <si>
    <t>TRX-11936</t>
  </si>
  <si>
    <t>TRX-11937</t>
  </si>
  <si>
    <t>TRX-11938</t>
  </si>
  <si>
    <t>TRX-11939</t>
  </si>
  <si>
    <t>QUEIJO TIROLEZ REINO CRY FATPED KG</t>
  </si>
  <si>
    <t>TRX-11940</t>
  </si>
  <si>
    <t>TRX-11941</t>
  </si>
  <si>
    <t>TRX-11942</t>
  </si>
  <si>
    <t>TRX-11943</t>
  </si>
  <si>
    <t>TRX-11944</t>
  </si>
  <si>
    <t>UVA PASSA DOCE MEL RES.GOURMET 150G ESCURA</t>
  </si>
  <si>
    <t>TRX-11945</t>
  </si>
  <si>
    <t>TRX-11946</t>
  </si>
  <si>
    <t>MAC.VITARELLA 400G ESPAGUETE FINO</t>
  </si>
  <si>
    <t>TRX-11947</t>
  </si>
  <si>
    <t>MAGIC TOAST MARILAN 110G LIGHT</t>
  </si>
  <si>
    <t>TRX-11948</t>
  </si>
  <si>
    <t>TRX-11949</t>
  </si>
  <si>
    <t>TRX-11950</t>
  </si>
  <si>
    <t>TRX-11951</t>
  </si>
  <si>
    <t>TRX-11952</t>
  </si>
  <si>
    <t>TRX-11953</t>
  </si>
  <si>
    <t>TRX-11954</t>
  </si>
  <si>
    <t>TRX-11955</t>
  </si>
  <si>
    <t>TRX-11956</t>
  </si>
  <si>
    <t>TRX-11957</t>
  </si>
  <si>
    <t>COXA SADIA CONG.FRAGO 1KG IQF</t>
  </si>
  <si>
    <t>TRX-11958</t>
  </si>
  <si>
    <t>TRX-11959</t>
  </si>
  <si>
    <t>REQUEIJAO CATUPIRY 420G TRADICIONAL</t>
  </si>
  <si>
    <t>TRX-11960</t>
  </si>
  <si>
    <t>TRX-11961</t>
  </si>
  <si>
    <t>TRX-11962</t>
  </si>
  <si>
    <t>BACON DALIA EXTRA LOMBO FAT KG</t>
  </si>
  <si>
    <t>TRX-11963</t>
  </si>
  <si>
    <t>TRX-11964</t>
  </si>
  <si>
    <t>REQUEIJAO CATUPIRY 250G</t>
  </si>
  <si>
    <t>TRX-11965</t>
  </si>
  <si>
    <t>TRX-11966</t>
  </si>
  <si>
    <t>TRX-11967</t>
  </si>
  <si>
    <t>TRX-11968</t>
  </si>
  <si>
    <t>TRX-11969</t>
  </si>
  <si>
    <t>TRX-11970</t>
  </si>
  <si>
    <t>TRX-11971</t>
  </si>
  <si>
    <t>BISCOITO VITARELLA C.CRACKER 350G TRAD.FERM.NATURA</t>
  </si>
  <si>
    <t>TRX-11972</t>
  </si>
  <si>
    <t>TRX-11973</t>
  </si>
  <si>
    <t>TRX-11974</t>
  </si>
  <si>
    <t>TRX-11975</t>
  </si>
  <si>
    <t>TRX-11976</t>
  </si>
  <si>
    <t>TRX-11977</t>
  </si>
  <si>
    <t>PEPINO LA VIOLETERA 180G CORNICHON CPIMENTA</t>
  </si>
  <si>
    <t>TRX-11978</t>
  </si>
  <si>
    <t>TRX-11979</t>
  </si>
  <si>
    <t>TRX-11980</t>
  </si>
  <si>
    <t>TRX-11981</t>
  </si>
  <si>
    <t>TRX-11982</t>
  </si>
  <si>
    <t>TRX-11983</t>
  </si>
  <si>
    <t>PEPINO LA VIOLETERA 360G AGRIDOCE FATIADO</t>
  </si>
  <si>
    <t>TRX-11984</t>
  </si>
  <si>
    <t>DUREPOXI 50GR</t>
  </si>
  <si>
    <t>TRX-11985</t>
  </si>
  <si>
    <t>FITA ADESIVA NORTON SILVER TAPE 5M X 48MM</t>
  </si>
  <si>
    <t>TRX-11986</t>
  </si>
  <si>
    <t>TRX-11987</t>
  </si>
  <si>
    <t>TRX-11988</t>
  </si>
  <si>
    <t>TRX-11989</t>
  </si>
  <si>
    <t>TRX-11990</t>
  </si>
  <si>
    <t>TRX-11991</t>
  </si>
  <si>
    <t>TRX-11992</t>
  </si>
  <si>
    <t>TRX-11993</t>
  </si>
  <si>
    <t>TRX-11994</t>
  </si>
  <si>
    <t>TALCO PPES BARUEL TENYS PE 100G ORIGINAL</t>
  </si>
  <si>
    <t>TRX-11995</t>
  </si>
  <si>
    <t>TRX-11996</t>
  </si>
  <si>
    <t>TRX-11997</t>
  </si>
  <si>
    <t>POMADA MASSAGEADORA BELL CORPUS 150G CANELA DE VEL</t>
  </si>
  <si>
    <t>TRX-11998</t>
  </si>
  <si>
    <t>TRX-11999</t>
  </si>
  <si>
    <t>TRX-12000</t>
  </si>
  <si>
    <t>TRX-12001</t>
  </si>
  <si>
    <t>DESINFETANTE PINHO BRIL 1,75L CAMPOS DE LAVANDA</t>
  </si>
  <si>
    <t>TRX-12002</t>
  </si>
  <si>
    <t>TRX-12003</t>
  </si>
  <si>
    <t>DESODORANTE PPES CHEVEUX KERO PE 70G</t>
  </si>
  <si>
    <t>TRX-12004</t>
  </si>
  <si>
    <t>TRX-12005</t>
  </si>
  <si>
    <t>2025-03-25</t>
  </si>
  <si>
    <t>TRX-12006</t>
  </si>
  <si>
    <t>TRX-12007</t>
  </si>
  <si>
    <t>TRX-12008</t>
  </si>
  <si>
    <t>TRX-12009</t>
  </si>
  <si>
    <t>TRX-12010</t>
  </si>
  <si>
    <t>TRX-12011</t>
  </si>
  <si>
    <t>TRX-12012</t>
  </si>
  <si>
    <t>TRX-12013</t>
  </si>
  <si>
    <t>TRX-12014</t>
  </si>
  <si>
    <t>TRX-12015</t>
  </si>
  <si>
    <t>TRX-12016</t>
  </si>
  <si>
    <t>TRX-12017</t>
  </si>
  <si>
    <t>TRX-12018</t>
  </si>
  <si>
    <t>TRX-12019</t>
  </si>
  <si>
    <t>TRX-12020</t>
  </si>
  <si>
    <t>TRX-12021</t>
  </si>
  <si>
    <t>TRX-12022</t>
  </si>
  <si>
    <t>TRX-12023</t>
  </si>
  <si>
    <t>TRX-12024</t>
  </si>
  <si>
    <t>TRX-12025</t>
  </si>
  <si>
    <t>TRX-12026</t>
  </si>
  <si>
    <t>TRX-12027</t>
  </si>
  <si>
    <t>TRX-12028</t>
  </si>
  <si>
    <t>PEIXE SARDINHA ESPALMADA 1KG NATURAL FISH</t>
  </si>
  <si>
    <t>TRX-12029</t>
  </si>
  <si>
    <t>TRX-12030</t>
  </si>
  <si>
    <t>TRX-12031</t>
  </si>
  <si>
    <t>TRX-12032</t>
  </si>
  <si>
    <t>TRX-12033</t>
  </si>
  <si>
    <t>TRX-12034</t>
  </si>
  <si>
    <t>TRX-12035</t>
  </si>
  <si>
    <t>TRX-12036</t>
  </si>
  <si>
    <t>TRX-12037</t>
  </si>
  <si>
    <t>TRX-12038</t>
  </si>
  <si>
    <t>TRX-12039</t>
  </si>
  <si>
    <t>SABAO MINUANO COCO 5X200GR</t>
  </si>
  <si>
    <t>TRX-12040</t>
  </si>
  <si>
    <t>TRX-12041</t>
  </si>
  <si>
    <t>TRX-12042</t>
  </si>
  <si>
    <t>TRX-12043</t>
  </si>
  <si>
    <t>SILICONE PROAUTO 100ML SECAGEM RAPIDA</t>
  </si>
  <si>
    <t>TRX-12044</t>
  </si>
  <si>
    <t>LAVA ROUPAS INVICTO PO 4KG  SACHE</t>
  </si>
  <si>
    <t>TRX-12045</t>
  </si>
  <si>
    <t>TRX-12046</t>
  </si>
  <si>
    <t>TRX-12047</t>
  </si>
  <si>
    <t>TRX-12048</t>
  </si>
  <si>
    <t>TRX-12049</t>
  </si>
  <si>
    <t>REPELENTE SENTINELA ESPIRAL C10UN</t>
  </si>
  <si>
    <t>TRX-12050</t>
  </si>
  <si>
    <t>LIMPA E HIDRATA COURO PROAUTO 150G</t>
  </si>
  <si>
    <t>TRX-12051</t>
  </si>
  <si>
    <t>AMACIANTE DOWNY CONCENTRADO 900ML MISTICO</t>
  </si>
  <si>
    <t>TRX-12052</t>
  </si>
  <si>
    <t>TOALHA PPRAIA LEPPER HOME 70X1,40 MARAGOGI REF06</t>
  </si>
  <si>
    <t>TRX-12053</t>
  </si>
  <si>
    <t>TRX-12054</t>
  </si>
  <si>
    <t>TRX-12055</t>
  </si>
  <si>
    <t>TRX-12056</t>
  </si>
  <si>
    <t>2025-03-01</t>
  </si>
  <si>
    <t>REFRI 1 LT IFOOD</t>
  </si>
  <si>
    <t>TRX-12057</t>
  </si>
  <si>
    <t>TRX-12058</t>
  </si>
  <si>
    <t>TRX-12059</t>
  </si>
  <si>
    <t>2025-03-12</t>
  </si>
  <si>
    <t>AREIA GR0SSA 1M</t>
  </si>
  <si>
    <t>TRX-12060</t>
  </si>
  <si>
    <t>ARGAMASSA AC-III 15KG</t>
  </si>
  <si>
    <t>TRX-12061</t>
  </si>
  <si>
    <t>2025-03-18</t>
  </si>
  <si>
    <t>TRX-12062</t>
  </si>
  <si>
    <t>REJUNTE CINZA SILICONADO</t>
  </si>
  <si>
    <t>TRX-12063</t>
  </si>
  <si>
    <t>RESISTENCIA CHUV. PMR ADJET 7,5W 220V</t>
  </si>
  <si>
    <t>TRX-12064</t>
  </si>
  <si>
    <t>PLUG 12 PVC ROSC TODAS</t>
  </si>
  <si>
    <t>TRX-12065</t>
  </si>
  <si>
    <t>2025-04-22</t>
  </si>
  <si>
    <t>NEOSALDINA DRG/20 NV</t>
  </si>
  <si>
    <t>TRX-12066</t>
  </si>
  <si>
    <t>COTONETE JJ POTE C/1</t>
  </si>
  <si>
    <t>TRX-12067</t>
  </si>
  <si>
    <t>CHOC MMS MARROM 45G</t>
  </si>
  <si>
    <t>TRX-12068</t>
  </si>
  <si>
    <t>2025-04-06</t>
  </si>
  <si>
    <t>TRX-12069</t>
  </si>
  <si>
    <t>2025-04-13</t>
  </si>
  <si>
    <t>TRX-12070</t>
  </si>
  <si>
    <t>TRX-12071</t>
  </si>
  <si>
    <t>2025-04-20</t>
  </si>
  <si>
    <t>TRX-12072</t>
  </si>
  <si>
    <t>2025-04-23</t>
  </si>
  <si>
    <t>TRX-12073</t>
  </si>
  <si>
    <t>TRX-12074</t>
  </si>
  <si>
    <t>TRX-12075</t>
  </si>
  <si>
    <t>TRX-12076</t>
  </si>
  <si>
    <t>TRX-12077</t>
  </si>
  <si>
    <t>BISCOITO MARILAN LEITE 350G</t>
  </si>
  <si>
    <t>TRX-12078</t>
  </si>
  <si>
    <t>TRX-12079</t>
  </si>
  <si>
    <t>TRX-12080</t>
  </si>
  <si>
    <t>TRX-12081</t>
  </si>
  <si>
    <t>TRX-12082</t>
  </si>
  <si>
    <t>GRAO DE BICO HIKARI 500G</t>
  </si>
  <si>
    <t>TRX-12083</t>
  </si>
  <si>
    <t>TRX-12084</t>
  </si>
  <si>
    <t>FARINHA DE MAND.KIFARINHA QUEB.1KG</t>
  </si>
  <si>
    <t>TRX-12085</t>
  </si>
  <si>
    <t>TRX-12086</t>
  </si>
  <si>
    <t>TRX-12087</t>
  </si>
  <si>
    <t>TRX-12088</t>
  </si>
  <si>
    <t>TRX-12089</t>
  </si>
  <si>
    <t>TRX-12090</t>
  </si>
  <si>
    <t>TRX-12091</t>
  </si>
  <si>
    <t>TRX-12092</t>
  </si>
  <si>
    <t>TRX-12093</t>
  </si>
  <si>
    <t>TRX-12094</t>
  </si>
  <si>
    <t>TRX-12095</t>
  </si>
  <si>
    <t>TRX-12096</t>
  </si>
  <si>
    <t>TRX-12097</t>
  </si>
  <si>
    <t>TRX-12098</t>
  </si>
  <si>
    <t>PEPINO JAPONES KG</t>
  </si>
  <si>
    <t>TRX-12099</t>
  </si>
  <si>
    <t>TRX-12100</t>
  </si>
  <si>
    <t>TRX-12101</t>
  </si>
  <si>
    <t>TRX-12102</t>
  </si>
  <si>
    <t>TRX-12103</t>
  </si>
  <si>
    <t>PERA ROCHA PICK E NICKY 1KG</t>
  </si>
  <si>
    <t>TRX-12104</t>
  </si>
  <si>
    <t>REPOLHO LISO KG</t>
  </si>
  <si>
    <t>TRX-12105</t>
  </si>
  <si>
    <t>TRX-12106</t>
  </si>
  <si>
    <t>TRX-12107</t>
  </si>
  <si>
    <t>TRX-12108</t>
  </si>
  <si>
    <t>MANTEIGA NATVILLE 500G CSAL POTE</t>
  </si>
  <si>
    <t>TRX-12109</t>
  </si>
  <si>
    <t>ALHO ESTRELA 200G</t>
  </si>
  <si>
    <t>TRX-12110</t>
  </si>
  <si>
    <t>LEITE FERMENTADO BETANIA DESN.850G ADOCADO</t>
  </si>
  <si>
    <t>TRX-12111</t>
  </si>
  <si>
    <t>RABO BOVINO KG</t>
  </si>
  <si>
    <t>TRX-12112</t>
  </si>
  <si>
    <t>IOGURTE NESTLE NINHO 540G POLPA 3 SABORES</t>
  </si>
  <si>
    <t>TRX-12113</t>
  </si>
  <si>
    <t>TRX-12114</t>
  </si>
  <si>
    <t>TRX-12115</t>
  </si>
  <si>
    <t>TRX-12116</t>
  </si>
  <si>
    <t>TRX-12117</t>
  </si>
  <si>
    <t>TRX-12118</t>
  </si>
  <si>
    <t>TRX-12119</t>
  </si>
  <si>
    <t>TRX-12120</t>
  </si>
  <si>
    <t>VINAGRE MINHOTO 750ML MACA.</t>
  </si>
  <si>
    <t>TRX-12121</t>
  </si>
  <si>
    <t>TRX-12122</t>
  </si>
  <si>
    <t>TRX-12123</t>
  </si>
  <si>
    <t>VINAGRE MINHOTO 500ML TINTO</t>
  </si>
  <si>
    <t>TRX-12124</t>
  </si>
  <si>
    <t>MOLHO DE PIMENTA ARUAK 100ML TRINIDAD SCORPION</t>
  </si>
  <si>
    <t>TRX-12125</t>
  </si>
  <si>
    <t>TRX-12126</t>
  </si>
  <si>
    <t>TRX-12127</t>
  </si>
  <si>
    <t>REFRIGERANTE COCA-COLA 220ML LATA</t>
  </si>
  <si>
    <t>TRX-12128</t>
  </si>
  <si>
    <t>TRX-12129</t>
  </si>
  <si>
    <t>TRX-12130</t>
  </si>
  <si>
    <t>TRX-12131</t>
  </si>
  <si>
    <t>LAVA ROUPAS BRILUX 3L MULTIACAO COCO</t>
  </si>
  <si>
    <t>TRX-12132</t>
  </si>
  <si>
    <t>DESINFETANTE YPE 5L BAK EUCALIPTO</t>
  </si>
  <si>
    <t>TRX-12133</t>
  </si>
  <si>
    <t>SABAO YPE BARRA MULTIATIVO 10 DESC. 900G 5X180G</t>
  </si>
  <si>
    <t>TRX-12134</t>
  </si>
  <si>
    <t>TRX-12135</t>
  </si>
  <si>
    <t>TRX-12136</t>
  </si>
  <si>
    <t>TRX-12137</t>
  </si>
  <si>
    <t>2025-04-08</t>
  </si>
  <si>
    <t>TRX-12138</t>
  </si>
  <si>
    <t>PEIXE MANJUBA INTEIRO CONG 800G</t>
  </si>
  <si>
    <t>TRX-12139</t>
  </si>
  <si>
    <t>TRX-12140</t>
  </si>
  <si>
    <t>TRX-12141</t>
  </si>
  <si>
    <t>TRX-12142</t>
  </si>
  <si>
    <t>TRX-12143</t>
  </si>
  <si>
    <t>TRX-12144</t>
  </si>
  <si>
    <t>TRX-12145</t>
  </si>
  <si>
    <t>TRX-12146</t>
  </si>
  <si>
    <t>TRX-12147</t>
  </si>
  <si>
    <t>TRX-12148</t>
  </si>
  <si>
    <t>TOMATE BOMBOM BANDEJA</t>
  </si>
  <si>
    <t>TRX-12149</t>
  </si>
  <si>
    <t>TRX-12150</t>
  </si>
  <si>
    <t>TRX-12151</t>
  </si>
  <si>
    <t>MELAO ESPANHOL KG</t>
  </si>
  <si>
    <t>TRX-12152</t>
  </si>
  <si>
    <t>TRX-12153</t>
  </si>
  <si>
    <t>TRX-12154</t>
  </si>
  <si>
    <t>REQUEIJAO CATUPIRY COPOCREAM LIGHT 200G</t>
  </si>
  <si>
    <t>TRX-12155</t>
  </si>
  <si>
    <t>TRX-12156</t>
  </si>
  <si>
    <t>BISCOITO MARILAN CRACKER INTEGRAL 365GR</t>
  </si>
  <si>
    <t>TRX-12157</t>
  </si>
  <si>
    <t>TRX-12158</t>
  </si>
  <si>
    <t>TRX-12159</t>
  </si>
  <si>
    <t>TRX-12160</t>
  </si>
  <si>
    <t>TRX-12161</t>
  </si>
  <si>
    <t>TRX-12162</t>
  </si>
  <si>
    <t>AMIDO DE MILHO MAIZENA 200G</t>
  </si>
  <si>
    <t>TRX-12163</t>
  </si>
  <si>
    <t>TRX-12164</t>
  </si>
  <si>
    <t>TRX-12165</t>
  </si>
  <si>
    <t>TRX-12166</t>
  </si>
  <si>
    <t>TRX-12167</t>
  </si>
  <si>
    <t>BICARBONATO DE SODIO HIKARI 500G</t>
  </si>
  <si>
    <t>TRX-12168</t>
  </si>
  <si>
    <t>MACARRAO FORTALEZA 400G CSEMOLA ESPAGUETE  MAIS</t>
  </si>
  <si>
    <t>TRX-12169</t>
  </si>
  <si>
    <t>TRX-12170</t>
  </si>
  <si>
    <t>TRX-12171</t>
  </si>
  <si>
    <t>TRX-12172</t>
  </si>
  <si>
    <t>TRX-12173</t>
  </si>
  <si>
    <t>TRX-12174</t>
  </si>
  <si>
    <t>FARINHA DE MAND.FOLHA VERDE 1KG AMARELA</t>
  </si>
  <si>
    <t>TRX-12175</t>
  </si>
  <si>
    <t>ACUCAR UNIAO 1KG REFINADO</t>
  </si>
  <si>
    <t>TRX-12176</t>
  </si>
  <si>
    <t>TRX-12177</t>
  </si>
  <si>
    <t>FLOCAO DE MILHO NOVOMILHO 500G</t>
  </si>
  <si>
    <t>TRX-12178</t>
  </si>
  <si>
    <t>TRX-12179</t>
  </si>
  <si>
    <t>CONFEITOS MMS 148G CHOCOLATE AO LEITE</t>
  </si>
  <si>
    <t>TRX-12180</t>
  </si>
  <si>
    <t>PACOQUITA STA.HELENA 150G ROLHA</t>
  </si>
  <si>
    <t>TRX-12181</t>
  </si>
  <si>
    <t>TRX-12182</t>
  </si>
  <si>
    <t>TRX-12183</t>
  </si>
  <si>
    <t>TRX-12184</t>
  </si>
  <si>
    <t>TRX-12185</t>
  </si>
  <si>
    <t>TRX-12186</t>
  </si>
  <si>
    <t>TRX-12187</t>
  </si>
  <si>
    <t>QUEENSBERRY CLASSIC 320G MORANGO</t>
  </si>
  <si>
    <t>TRX-12188</t>
  </si>
  <si>
    <t>AZEITE DE OLIVA GALLO 500ML VD EXT.VIRGEM</t>
  </si>
  <si>
    <t>TRX-12189</t>
  </si>
  <si>
    <t>LICOR JAGERMEISTER 700ML</t>
  </si>
  <si>
    <t>TRX-12190</t>
  </si>
  <si>
    <t>TRX-12191</t>
  </si>
  <si>
    <t>TALCO PPES BARLA 80G</t>
  </si>
  <si>
    <t>TRX-12192</t>
  </si>
  <si>
    <t>TRX-12193</t>
  </si>
  <si>
    <t>TRX-12194</t>
  </si>
  <si>
    <t>LIMPA VIDROS BRILUX CRISTALINO REFIL 500ML</t>
  </si>
  <si>
    <t>TRX-12195</t>
  </si>
  <si>
    <t>COPO DESC.COPOBRAS CFT-250 250ML</t>
  </si>
  <si>
    <t>TRX-12196</t>
  </si>
  <si>
    <t>TRX-12197</t>
  </si>
  <si>
    <t>TRX-12198</t>
  </si>
  <si>
    <t>ALCOOL EM GEL SANTA CRUZ 430G 70INPM</t>
  </si>
  <si>
    <t>TRX-12199</t>
  </si>
  <si>
    <t>TRX-12200</t>
  </si>
  <si>
    <t>TRX-12201</t>
  </si>
  <si>
    <t>PRENDEDOR DE ROUPA PARANA EMBORRACHADO C12</t>
  </si>
  <si>
    <t>TRX-12202</t>
  </si>
  <si>
    <t>TRX-12203</t>
  </si>
  <si>
    <t>TRX-12204</t>
  </si>
  <si>
    <t>TRX-12205</t>
  </si>
  <si>
    <t>TRX-12206</t>
  </si>
  <si>
    <t>TRX-12207</t>
  </si>
  <si>
    <t>2025-04-19</t>
  </si>
  <si>
    <t>PALMITO PUPUNHA MARIZA 300G INT COR</t>
  </si>
  <si>
    <t>TRX-12208</t>
  </si>
  <si>
    <t>AZEITONA VERDE V FERT VD 200G C PI</t>
  </si>
  <si>
    <t>TRX-12209</t>
  </si>
  <si>
    <t>PICLES TIO PACO VD 200G</t>
  </si>
  <si>
    <t>TRX-12210</t>
  </si>
  <si>
    <t>AGUA MIN INDAIA PET 330ML C GAS</t>
  </si>
  <si>
    <t>TRX-12211</t>
  </si>
  <si>
    <t>MILHO TORRADO COND. CAMPO 80G MOSTARDA E MEL</t>
  </si>
  <si>
    <t>TRX-12212</t>
  </si>
  <si>
    <t>TRX-12213</t>
  </si>
  <si>
    <t>AMEIXA SECA S CAROCO kg</t>
  </si>
  <si>
    <t>TRX-12214</t>
  </si>
  <si>
    <t>AMENDOAS SEM CASCA kg</t>
  </si>
  <si>
    <t>TRX-12215</t>
  </si>
  <si>
    <t>TRX-12216</t>
  </si>
  <si>
    <t>TRX-12217</t>
  </si>
  <si>
    <t>QUEIJO MINAS ART CANASTRA M LUA kg</t>
  </si>
  <si>
    <t>TRX-12218</t>
  </si>
  <si>
    <t>QUEIJO PARMESAO QUATA kg CAPA PRETA</t>
  </si>
  <si>
    <t>TRX-12219</t>
  </si>
  <si>
    <t>QUEIJO AZUL CRUZILIA kg VERSOS DE MINAS</t>
  </si>
  <si>
    <t>TRX-12220</t>
  </si>
  <si>
    <t>COXINHA ASA FGO SADIA PCT 1kg</t>
  </si>
  <si>
    <t>TRX-12221</t>
  </si>
  <si>
    <t>REFRI COCA COLA PET 250ML ZERO</t>
  </si>
  <si>
    <t>TRX-12222</t>
  </si>
  <si>
    <t>TRX-12223</t>
  </si>
  <si>
    <t>REFRI COCA COLA PET 250ML</t>
  </si>
  <si>
    <t>TRX-12224</t>
  </si>
  <si>
    <t>TRX-12225</t>
  </si>
  <si>
    <t>TRX-12226</t>
  </si>
  <si>
    <t>TRX-12227</t>
  </si>
  <si>
    <t>REFRI COCA COLA PET 1L ZERO</t>
  </si>
  <si>
    <t>TRX-12228</t>
  </si>
  <si>
    <t>REFRI COCA COLA PET 1L</t>
  </si>
  <si>
    <t>TRX-12229</t>
  </si>
  <si>
    <t>AGUA TONICA ANTARCTICA LT 350ML</t>
  </si>
  <si>
    <t>TRX-12230</t>
  </si>
  <si>
    <t>BEBIDA ISOT GATORADE PET 500ML MORAN</t>
  </si>
  <si>
    <t>TRX-12231</t>
  </si>
  <si>
    <t>VINHO CHI STA RITA 750ML 120 RES ESP CARMENERE</t>
  </si>
  <si>
    <t>TRX-12232</t>
  </si>
  <si>
    <t>VINHO POR CASAL GARCIA 750ML BRANC</t>
  </si>
  <si>
    <t>TRX-12233</t>
  </si>
  <si>
    <t>TRX-12234</t>
  </si>
  <si>
    <t>TRX-12235</t>
  </si>
  <si>
    <t>WHISKY J WALKER GF 750ML GREEN LABEL</t>
  </si>
  <si>
    <t>TRX-12236</t>
  </si>
  <si>
    <t>LIMAO TAHITI kg</t>
  </si>
  <si>
    <t>TRX-12237</t>
  </si>
  <si>
    <t>TRX-12238</t>
  </si>
  <si>
    <t>TRX-12239</t>
  </si>
  <si>
    <t>TRX-12240</t>
  </si>
  <si>
    <t>TRX-12241</t>
  </si>
  <si>
    <t>TRX-12242</t>
  </si>
  <si>
    <t>Pizza Grande (2 sabores) - 8 Fatias</t>
  </si>
  <si>
    <t>TRX-12243</t>
  </si>
  <si>
    <t>TRX-12244</t>
  </si>
  <si>
    <t>TRX-12245</t>
  </si>
  <si>
    <t>2025-05-17</t>
  </si>
  <si>
    <t>TRX-12246</t>
  </si>
  <si>
    <t>TRX-12247</t>
  </si>
  <si>
    <t>TRX-12248</t>
  </si>
  <si>
    <t>TRX-12249</t>
  </si>
  <si>
    <t>2025-05-26</t>
  </si>
  <si>
    <t>CAPSULA NESPRESSO 3 CORACOES ESPECIAS 56G PERU</t>
  </si>
  <si>
    <t>TRX-12250</t>
  </si>
  <si>
    <t>CAPSULA TRES NESPRESSO 50G INTENSO C10</t>
  </si>
  <si>
    <t>TRX-12251</t>
  </si>
  <si>
    <t>CAPSULA NESPRESSO SANTA CLARA GOURMET 56G DARK ROA</t>
  </si>
  <si>
    <t>TRX-12252</t>
  </si>
  <si>
    <t>OVOS AVINE GRANDE C30 BRANCO</t>
  </si>
  <si>
    <t>TRX-12253</t>
  </si>
  <si>
    <t>TRX-12254</t>
  </si>
  <si>
    <t>TRX-12255</t>
  </si>
  <si>
    <t>TRX-12256</t>
  </si>
  <si>
    <t>TRX-12257</t>
  </si>
  <si>
    <t>TRX-12258</t>
  </si>
  <si>
    <t>TRX-12259</t>
  </si>
  <si>
    <t>MAMAO HAVAI KG</t>
  </si>
  <si>
    <t>TRX-12260</t>
  </si>
  <si>
    <t>TRX-12261</t>
  </si>
  <si>
    <t>MELANCIA BABY KG</t>
  </si>
  <si>
    <t>TRX-12262</t>
  </si>
  <si>
    <t>TRX-12263</t>
  </si>
  <si>
    <t>TRX-12264</t>
  </si>
  <si>
    <t>TRX-12265</t>
  </si>
  <si>
    <t>TRX-12266</t>
  </si>
  <si>
    <t>TRX-12267</t>
  </si>
  <si>
    <t>TRX-12268</t>
  </si>
  <si>
    <t>TRX-12269</t>
  </si>
  <si>
    <t>TRX-12270</t>
  </si>
  <si>
    <t>REQUEIJAO TIROLEZ 200G CREMOSO</t>
  </si>
  <si>
    <t>TRX-12271</t>
  </si>
  <si>
    <t>TRX-12272</t>
  </si>
  <si>
    <t>TRX-12273</t>
  </si>
  <si>
    <t>TRX-12274</t>
  </si>
  <si>
    <t>TRX-12275</t>
  </si>
  <si>
    <t>TRX-12276</t>
  </si>
  <si>
    <t>TRX-12277</t>
  </si>
  <si>
    <t>SUCO MAGUARY 1,35L UVA TINTO SELECAO</t>
  </si>
  <si>
    <t>TRX-12278</t>
  </si>
  <si>
    <t>TRX-12279</t>
  </si>
  <si>
    <t>TRX-12280</t>
  </si>
  <si>
    <t>TRX-12281</t>
  </si>
  <si>
    <t>TRX-12282</t>
  </si>
  <si>
    <t>GELEIA RITTER 310G MORANGO VD</t>
  </si>
  <si>
    <t>TRX-12283</t>
  </si>
  <si>
    <t>QUEIJO PRESIDENT 140G PROCESSADO</t>
  </si>
  <si>
    <t>TRX-12284</t>
  </si>
  <si>
    <t>TRX-12285</t>
  </si>
  <si>
    <t>TRX-12286</t>
  </si>
  <si>
    <t>TRX-12287</t>
  </si>
  <si>
    <t>TRX-12288</t>
  </si>
  <si>
    <t>TRX-12289</t>
  </si>
  <si>
    <t>TRX-12290</t>
  </si>
  <si>
    <t>AVEIA NATUQUALY 170G EM FLOCOS FINOS</t>
  </si>
  <si>
    <t>TRX-12291</t>
  </si>
  <si>
    <t>TRX-12292</t>
  </si>
  <si>
    <t>TRX-12293</t>
  </si>
  <si>
    <t>TRX-12294</t>
  </si>
  <si>
    <t>TRX-12295</t>
  </si>
  <si>
    <t>TRX-12296</t>
  </si>
  <si>
    <t>TRX-12297</t>
  </si>
  <si>
    <t>GOMA DE MANDIOCA 1KG AGROMASSA</t>
  </si>
  <si>
    <t>TRX-12298</t>
  </si>
  <si>
    <t>TRX-12299</t>
  </si>
  <si>
    <t>TRX-12300</t>
  </si>
  <si>
    <t>TRX-12301</t>
  </si>
  <si>
    <t>TRX-12302</t>
  </si>
  <si>
    <t>TRX-12303</t>
  </si>
  <si>
    <t>PANO SEK MICROFIBRA PVIDROS</t>
  </si>
  <si>
    <t>TRX-12304</t>
  </si>
  <si>
    <t>SPRAY AGUA RABELO 45ML CROMA</t>
  </si>
  <si>
    <t>TRX-12305</t>
  </si>
  <si>
    <t>TRX-12306</t>
  </si>
  <si>
    <t>TRX-12307</t>
  </si>
  <si>
    <t>TRX-12308</t>
  </si>
  <si>
    <t>TRX-12309</t>
  </si>
  <si>
    <t>AMACIANTE SONHO 5L MAGIC</t>
  </si>
  <si>
    <t>TRX-12310</t>
  </si>
  <si>
    <t>TRX-12311</t>
  </si>
  <si>
    <t>2025-05-05</t>
  </si>
  <si>
    <t>TRX-12312</t>
  </si>
  <si>
    <t>TRX-12313</t>
  </si>
  <si>
    <t>TRX-12314</t>
  </si>
  <si>
    <t>TRX-12315</t>
  </si>
  <si>
    <t>TRX-12316</t>
  </si>
  <si>
    <t>TRX-12317</t>
  </si>
  <si>
    <t>REQUEIJAO ELEGE 200G CREMOSO COPO</t>
  </si>
  <si>
    <t>TRX-12318</t>
  </si>
  <si>
    <t>TRX-12319</t>
  </si>
  <si>
    <t>TRX-12320</t>
  </si>
  <si>
    <t>TRX-12321</t>
  </si>
  <si>
    <t>REQUEIJAO POCOS DE CALDAS 200G TRADICIONAL</t>
  </si>
  <si>
    <t>TRX-12322</t>
  </si>
  <si>
    <t>CACAU EM PO NATURES 100G SACUCAR</t>
  </si>
  <si>
    <t>TRX-12323</t>
  </si>
  <si>
    <t>PRESUNTO PERDIGAO COZIDO 200G FAT.VACUO</t>
  </si>
  <si>
    <t>TRX-12324</t>
  </si>
  <si>
    <t>TRX-12325</t>
  </si>
  <si>
    <t>TRX-12326</t>
  </si>
  <si>
    <t>PRESUNTO SADIA PARMA FATIADO 100G</t>
  </si>
  <si>
    <t>TRX-12327</t>
  </si>
  <si>
    <t>OVOS AVINE GRANDE C20 OMEGA 3 VERMELHO</t>
  </si>
  <si>
    <t>TRX-12328</t>
  </si>
  <si>
    <t>CHA DR.OETKER 10G CAMOMILA</t>
  </si>
  <si>
    <t>TRX-12329</t>
  </si>
  <si>
    <t>CHA DR.OETKER 10G 6 ERVAS</t>
  </si>
  <si>
    <t>TRX-12330</t>
  </si>
  <si>
    <t>TRX-12331</t>
  </si>
  <si>
    <t>TRX-12332</t>
  </si>
  <si>
    <t>TRX-12333</t>
  </si>
  <si>
    <t>TRX-12334</t>
  </si>
  <si>
    <t>TRX-12335</t>
  </si>
  <si>
    <t>TRX-12336</t>
  </si>
  <si>
    <t>CAFE NESCAFE SOLUVEL 40G ORIGINAL EXT.FORTE SACHET</t>
  </si>
  <si>
    <t>TRX-12337</t>
  </si>
  <si>
    <t>TRX-12338</t>
  </si>
  <si>
    <t>TRX-12339</t>
  </si>
  <si>
    <t>TRX-12340</t>
  </si>
  <si>
    <t>CAPSULA TRES NESPRESSO 50G MOGIANA PAULISTA C10</t>
  </si>
  <si>
    <t>TRX-12341</t>
  </si>
  <si>
    <t>CAPSULA TRES NESPRESSO 50G CERRADO MINEIRO C10</t>
  </si>
  <si>
    <t>TRX-12342</t>
  </si>
  <si>
    <t>TRX-12343</t>
  </si>
  <si>
    <t>DESODORANTE AEROSOL REXONA MEN ANTIBAC.87G150ML</t>
  </si>
  <si>
    <t>TRX-12344</t>
  </si>
  <si>
    <t>SUCO NATURAL ONE INT. 1,5L UVA</t>
  </si>
  <si>
    <t>TRX-12345</t>
  </si>
  <si>
    <t>LEITE EM PO NESTLE NINHO 380G INTEGRAL 10 GRATIS</t>
  </si>
  <si>
    <t>TRX-12346</t>
  </si>
  <si>
    <t>TRX-12347</t>
  </si>
  <si>
    <t>TRX-12348</t>
  </si>
  <si>
    <t>TRX-12349</t>
  </si>
  <si>
    <t>DESINFETANTE PINHO BRIL 1,75L PINHO SILVESTRE</t>
  </si>
  <si>
    <t>TRX-12350</t>
  </si>
  <si>
    <t>TRX-12351</t>
  </si>
  <si>
    <t>AMACIANTE DOWNY CONCENTRADO 1,5L LIRIOS DO CAMPO</t>
  </si>
  <si>
    <t>TRX-12352</t>
  </si>
  <si>
    <t>TRX-12353</t>
  </si>
  <si>
    <t>AGUA MINERAL INDAIA 330ML CGAS</t>
  </si>
  <si>
    <t>TRX-12354</t>
  </si>
  <si>
    <t>TRX-12355</t>
  </si>
  <si>
    <t>TRX-12356</t>
  </si>
  <si>
    <t>TRX-12357</t>
  </si>
  <si>
    <t>TRX-12358</t>
  </si>
  <si>
    <t>TRX-12359</t>
  </si>
  <si>
    <t>TRX-12360</t>
  </si>
  <si>
    <t>TRX-12361</t>
  </si>
  <si>
    <t>TRX-12362</t>
  </si>
  <si>
    <t>TRX-12363</t>
  </si>
  <si>
    <t>TRX-12364</t>
  </si>
  <si>
    <t>TRX-12365</t>
  </si>
  <si>
    <t>2025-05-03</t>
  </si>
  <si>
    <t>TRX-12366</t>
  </si>
  <si>
    <t>TRX-12367</t>
  </si>
  <si>
    <t>TRX-12368</t>
  </si>
  <si>
    <t>2025-05-31</t>
  </si>
  <si>
    <t>TRX-12369</t>
  </si>
  <si>
    <t>TRX-12370</t>
  </si>
  <si>
    <t>2025-05-13</t>
  </si>
  <si>
    <t>AMBROXMEL AD 120ML</t>
  </si>
  <si>
    <t>TRX-12371</t>
  </si>
  <si>
    <t>PROLOPA HBS 125 30CAP</t>
  </si>
  <si>
    <t>TRX-12372</t>
  </si>
  <si>
    <t>REACH FIO ESSENC 100</t>
  </si>
  <si>
    <t>TRX-12373</t>
  </si>
  <si>
    <t>2025-06-29</t>
  </si>
  <si>
    <t>TRX-12374</t>
  </si>
  <si>
    <t>TRX-12375</t>
  </si>
  <si>
    <t>TRX-12376</t>
  </si>
  <si>
    <t>ALGODAO CHOICES DISC</t>
  </si>
  <si>
    <t>TRX-12377</t>
  </si>
  <si>
    <t>COMPRESSA GAZE DAUF</t>
  </si>
  <si>
    <t>TRX-12378</t>
  </si>
  <si>
    <t>FITA P MENOS MICROPO</t>
  </si>
  <si>
    <t>TRX-12379</t>
  </si>
  <si>
    <t>CURAT PMENOS BEGE C/</t>
  </si>
  <si>
    <t>TRX-12380</t>
  </si>
  <si>
    <t>TRX-12381</t>
  </si>
  <si>
    <t>TRX-12382</t>
  </si>
  <si>
    <t>PAST VALDA C SACHE 2</t>
  </si>
  <si>
    <t>TRX-12383</t>
  </si>
  <si>
    <t>PAST VALDA FRIENDS C</t>
  </si>
  <si>
    <t>TRX-12384</t>
  </si>
  <si>
    <t>2025-06-07</t>
  </si>
  <si>
    <t>TRX-12385</t>
  </si>
  <si>
    <t>TRX-12386</t>
  </si>
  <si>
    <t>TRX-12387</t>
  </si>
  <si>
    <t>TRX-12388</t>
  </si>
  <si>
    <t>TRX-12389</t>
  </si>
  <si>
    <t>TRX-12390</t>
  </si>
  <si>
    <t>TRX-12391</t>
  </si>
  <si>
    <t>SALAME MILANO FAT. 100G DOR</t>
  </si>
  <si>
    <t>TRX-12392</t>
  </si>
  <si>
    <t>TRX-12393</t>
  </si>
  <si>
    <t>TRX-12394</t>
  </si>
  <si>
    <t>TRX-12395</t>
  </si>
  <si>
    <t>TRX-12396</t>
  </si>
  <si>
    <t>TRX-12397</t>
  </si>
  <si>
    <t>TRX-12398</t>
  </si>
  <si>
    <t>TRX-12399</t>
  </si>
  <si>
    <t>TRX-12400</t>
  </si>
  <si>
    <t>TRX-12401</t>
  </si>
  <si>
    <t>KIWI SUNGOLD EMB.440G</t>
  </si>
  <si>
    <t>TRX-12402</t>
  </si>
  <si>
    <t>TRX-12403</t>
  </si>
  <si>
    <t>TRX-12404</t>
  </si>
  <si>
    <t>TRX-12405</t>
  </si>
  <si>
    <t>TRX-12406</t>
  </si>
  <si>
    <t>TRX-12407</t>
  </si>
  <si>
    <t>BISCOITO MARILAN 350G MAIZENA INTEGRAL</t>
  </si>
  <si>
    <t>TRX-12408</t>
  </si>
  <si>
    <t>TRX-12409</t>
  </si>
  <si>
    <t>FLOCAO DE MILHO DONA CLARA 500G NTRANSGENICO</t>
  </si>
  <si>
    <t>TRX-12410</t>
  </si>
  <si>
    <t>AVEIA YOKI 170G FLOCOS FINOS</t>
  </si>
  <si>
    <t>TRX-12411</t>
  </si>
  <si>
    <t>TRX-12412</t>
  </si>
  <si>
    <t>TRX-12413</t>
  </si>
  <si>
    <t>TRX-12414</t>
  </si>
  <si>
    <t>AVEIA YOKI 170G EM FLOCOS</t>
  </si>
  <si>
    <t>TRX-12415</t>
  </si>
  <si>
    <t>FLOCAO DE MILHO NORDESTINO 500G</t>
  </si>
  <si>
    <t>TRX-12416</t>
  </si>
  <si>
    <t>TRX-12417</t>
  </si>
  <si>
    <t>TRX-12418</t>
  </si>
  <si>
    <t>TRX-12419</t>
  </si>
  <si>
    <t>TRX-12420</t>
  </si>
  <si>
    <t>TRX-12421</t>
  </si>
  <si>
    <t>TRX-12422</t>
  </si>
  <si>
    <t>TRX-12423</t>
  </si>
  <si>
    <t>TRX-12424</t>
  </si>
  <si>
    <t>TRX-12425</t>
  </si>
  <si>
    <t>AZEITONA LA VIOLETERA 160G VERDE SCAR.REFIL</t>
  </si>
  <si>
    <t>TRX-12426</t>
  </si>
  <si>
    <t>TRX-12427</t>
  </si>
  <si>
    <t>TRX-12428</t>
  </si>
  <si>
    <t>TRX-12429</t>
  </si>
  <si>
    <t>INSETICIDA SBP AERO MULTI INSETICIDA ECON. 380ML M</t>
  </si>
  <si>
    <t>TRX-12430</t>
  </si>
  <si>
    <t>TRX-12431</t>
  </si>
  <si>
    <t>TRX-12432</t>
  </si>
  <si>
    <t>GLADE CAR 70G CITRUS</t>
  </si>
  <si>
    <t>TRX-12433</t>
  </si>
  <si>
    <t>DESODORANTE AEROSOL REXONA MEN INVISIBLE 250ML145</t>
  </si>
  <si>
    <t>TRX-12434</t>
  </si>
  <si>
    <t>TRX-12435</t>
  </si>
  <si>
    <t>TRX-12436</t>
  </si>
  <si>
    <t>TRX-12437</t>
  </si>
  <si>
    <t>DET.LIQ.ATOL 2L NEUTRO</t>
  </si>
  <si>
    <t>TRX-12438</t>
  </si>
  <si>
    <t>TRX-12439</t>
  </si>
  <si>
    <t>TRX-12440</t>
  </si>
  <si>
    <t>TRX-12441</t>
  </si>
  <si>
    <t>TRX-12442</t>
  </si>
  <si>
    <t>TRX-12443</t>
  </si>
  <si>
    <t>TRX-12444</t>
  </si>
  <si>
    <t>TRX-12445</t>
  </si>
  <si>
    <t>TRX-12446</t>
  </si>
  <si>
    <t>2025-06-06</t>
  </si>
  <si>
    <t>VONAU FL MOR 8MG 10'S</t>
  </si>
  <si>
    <t>TRX-12447</t>
  </si>
  <si>
    <t>VALDA FRIE CANELA 25G</t>
  </si>
  <si>
    <t>TRX-12448</t>
  </si>
  <si>
    <t>2025-07-05</t>
  </si>
  <si>
    <t>TRX-12449</t>
  </si>
  <si>
    <t>TRX-12450</t>
  </si>
  <si>
    <t>TRX-12451</t>
  </si>
  <si>
    <t>CURAT PMENOS VARIAD</t>
  </si>
  <si>
    <t>TRX-12452</t>
  </si>
  <si>
    <t>SAB ASEPTOL TRADICIO</t>
  </si>
  <si>
    <t>TRX-12453</t>
  </si>
  <si>
    <t>AGUA OXIG DAUF 10V 1</t>
  </si>
  <si>
    <t>TRX-12454</t>
  </si>
  <si>
    <t>TRX-12455</t>
  </si>
  <si>
    <t>2025-07-03</t>
  </si>
  <si>
    <t>TRX-12456</t>
  </si>
  <si>
    <t>TRX-12457</t>
  </si>
  <si>
    <t>TRX-12458</t>
  </si>
  <si>
    <t>TRX-12459</t>
  </si>
  <si>
    <t>TRX-12460</t>
  </si>
  <si>
    <t>TRX-12461</t>
  </si>
  <si>
    <t>TRX-12462</t>
  </si>
  <si>
    <t>TRX-12463</t>
  </si>
  <si>
    <t>TRX-12464</t>
  </si>
  <si>
    <t>TRX-12465</t>
  </si>
  <si>
    <t>TRX-12466</t>
  </si>
  <si>
    <t>TRX-12467</t>
  </si>
  <si>
    <t>TRX-12468</t>
  </si>
  <si>
    <t>TRX-12469</t>
  </si>
  <si>
    <t>TRX-12470</t>
  </si>
  <si>
    <t>REQUEIJAO CATUPIRY 180G CEBOLA CARAMEL</t>
  </si>
  <si>
    <t>TRX-12471</t>
  </si>
  <si>
    <t>MANTEIGA NATVILLE 200G</t>
  </si>
  <si>
    <t>TRX-12472</t>
  </si>
  <si>
    <t>TRX-12473</t>
  </si>
  <si>
    <t>REQUEIJAO LATPASSOS CREMOSO 180G POTE</t>
  </si>
  <si>
    <t>TRX-12474</t>
  </si>
  <si>
    <t>TRX-12475</t>
  </si>
  <si>
    <t>TRX-12476</t>
  </si>
  <si>
    <t>MORTADELA SADIA 200G DEFUMADA</t>
  </si>
  <si>
    <t>TRX-12477</t>
  </si>
  <si>
    <t>TRX-12478</t>
  </si>
  <si>
    <t>TRX-12479</t>
  </si>
  <si>
    <t>BISCOITO MARILAN 350G MAIZENA</t>
  </si>
  <si>
    <t>TRX-12480</t>
  </si>
  <si>
    <t>TRX-12481</t>
  </si>
  <si>
    <t>TRX-12482</t>
  </si>
  <si>
    <t>CHOCOLATE SNICKERS 171G VARIEDADES POUCH</t>
  </si>
  <si>
    <t>TRX-12483</t>
  </si>
  <si>
    <t>TRX-12484</t>
  </si>
  <si>
    <t>TRX-12485</t>
  </si>
  <si>
    <t>TRX-12486</t>
  </si>
  <si>
    <t>TRX-12487</t>
  </si>
  <si>
    <t>BOLO LITORAL QUEIJADINHA KG</t>
  </si>
  <si>
    <t>TRX-12488</t>
  </si>
  <si>
    <t>MAGIC TOAST MARILAN 110G PEITO DE PERU</t>
  </si>
  <si>
    <t>TRX-12489</t>
  </si>
  <si>
    <t>TRX-12490</t>
  </si>
  <si>
    <t>TRX-12491</t>
  </si>
  <si>
    <t>BOLO LITORAL FUBA KG</t>
  </si>
  <si>
    <t>TRX-12492</t>
  </si>
  <si>
    <t>TRX-12493</t>
  </si>
  <si>
    <t>TRX-12494</t>
  </si>
  <si>
    <t>TRX-12495</t>
  </si>
  <si>
    <t>TRX-12496</t>
  </si>
  <si>
    <t>TRX-12497</t>
  </si>
  <si>
    <t>TRX-12498</t>
  </si>
  <si>
    <t>SUCO NATURAL ONE 1,5ML LARANJAMACA</t>
  </si>
  <si>
    <t>TRX-12499</t>
  </si>
  <si>
    <t>TRX-12500</t>
  </si>
  <si>
    <t>ACUCAR ALEGRE 1KG TRITURADO</t>
  </si>
  <si>
    <t>TRX-12501</t>
  </si>
  <si>
    <t>TRX-12502</t>
  </si>
  <si>
    <t>TRX-12503</t>
  </si>
  <si>
    <t>TRX-12504</t>
  </si>
  <si>
    <t>TRX-12505</t>
  </si>
  <si>
    <t>TRX-12506</t>
  </si>
  <si>
    <t>LEITE NATVILLE 1L INTEGRAL</t>
  </si>
  <si>
    <t>TRX-12507</t>
  </si>
  <si>
    <t>TRX-12508</t>
  </si>
  <si>
    <t>TRX-12509</t>
  </si>
  <si>
    <t>PULVERIZADOR SANREMO CBOMBA REF 501</t>
  </si>
  <si>
    <t>TRX-12510</t>
  </si>
  <si>
    <t>TRX-12511</t>
  </si>
  <si>
    <t>CAPSULA NESPRESSO 3 CORACOES ESPECIAS 56G MAXIMA I</t>
  </si>
  <si>
    <t>TRX-12512</t>
  </si>
  <si>
    <t>TRX-12513</t>
  </si>
  <si>
    <t>NUTREN SENIOR NESTLE 370G BAUNILHA</t>
  </si>
  <si>
    <t>TRX-12514</t>
  </si>
  <si>
    <t>TRX-12515</t>
  </si>
  <si>
    <t>TRX-12516</t>
  </si>
  <si>
    <t>TRX-12517</t>
  </si>
  <si>
    <t>TRX-12518</t>
  </si>
  <si>
    <t>TRX-12519</t>
  </si>
  <si>
    <t>OVOS AVINE GRANDE C20 CAIPIRA VERMELHO</t>
  </si>
  <si>
    <t>TRX-12520</t>
  </si>
  <si>
    <t>TRX-12521</t>
  </si>
  <si>
    <t>TRX-12522</t>
  </si>
  <si>
    <t>TRX-12523</t>
  </si>
  <si>
    <t>TRX-12524</t>
  </si>
  <si>
    <t>DESINFETANTE KALIPTO 5L LAVANDA</t>
  </si>
  <si>
    <t>TRX-12525</t>
  </si>
  <si>
    <t>LUVA PROCED LATEX SUPERMAX G C100</t>
  </si>
  <si>
    <t>TRX-12526</t>
  </si>
  <si>
    <t>TRX-12527</t>
  </si>
  <si>
    <t>CARGA GILLETTE MACH 3 L P-</t>
  </si>
  <si>
    <t>TRX-12528</t>
  </si>
  <si>
    <t>PAPEL HIG.NEVE 12X20M F.QUADRUPLA ULTRA CONFORTAVE</t>
  </si>
  <si>
    <t>TRX-12529</t>
  </si>
  <si>
    <t>FITA ADESIVA ADERE SILVER TAPE PRETA 5M X 45MM</t>
  </si>
  <si>
    <t>TRX-12530</t>
  </si>
  <si>
    <t>TRX-12531</t>
  </si>
  <si>
    <t>TRX-12532</t>
  </si>
  <si>
    <t>SABONETE FLOR DE YPE 85G LIMAO SICILIANO</t>
  </si>
  <si>
    <t>TRX-12533</t>
  </si>
  <si>
    <t>SABAO MINUANO AZUL 5X180G</t>
  </si>
  <si>
    <t>TRX-12534</t>
  </si>
  <si>
    <t>TRX-12535</t>
  </si>
  <si>
    <t>TRX-12536</t>
  </si>
  <si>
    <t>TRX-12537</t>
  </si>
  <si>
    <t>SABONETE NIVEA 85G LAVANDA E OLEOS</t>
  </si>
  <si>
    <t>TRX-12538</t>
  </si>
  <si>
    <t>TRX-12539</t>
  </si>
  <si>
    <t>SABONETE NIVEA 85G ORQUIDEAS</t>
  </si>
  <si>
    <t>TRX-12540</t>
  </si>
  <si>
    <t>TRX-12541</t>
  </si>
  <si>
    <t>TRX-12542</t>
  </si>
  <si>
    <t>TRX-12543</t>
  </si>
  <si>
    <t>2025-07-28</t>
  </si>
  <si>
    <t>TRX-12544</t>
  </si>
  <si>
    <t>TRX-12545</t>
  </si>
  <si>
    <t>TRX-12546</t>
  </si>
  <si>
    <t>TRX-12547</t>
  </si>
  <si>
    <t>TRX-12548</t>
  </si>
  <si>
    <t>TRX-12549</t>
  </si>
  <si>
    <t>TRX-12550</t>
  </si>
  <si>
    <t>TRX-12551</t>
  </si>
  <si>
    <t>TRX-12552</t>
  </si>
  <si>
    <t>TRX-12553</t>
  </si>
  <si>
    <t>MELAO ORANGE KG</t>
  </si>
  <si>
    <t>TRX-12554</t>
  </si>
  <si>
    <t>TRX-12555</t>
  </si>
  <si>
    <t>TRX-12556</t>
  </si>
  <si>
    <t>TRX-12557</t>
  </si>
  <si>
    <t>TRX-12558</t>
  </si>
  <si>
    <t>TRX-12559</t>
  </si>
  <si>
    <t>TRX-12560</t>
  </si>
  <si>
    <t>TRX-12561</t>
  </si>
  <si>
    <t>TRX-12562</t>
  </si>
  <si>
    <t>TRX-12563</t>
  </si>
  <si>
    <t>TRX-12564</t>
  </si>
  <si>
    <t>TRX-12565</t>
  </si>
  <si>
    <t>TRX-12566</t>
  </si>
  <si>
    <t>AVEIA SAO BRAZ 165G FLOCOS FINOS CAIXA</t>
  </si>
  <si>
    <t>TRX-12567</t>
  </si>
  <si>
    <t>TRX-12568</t>
  </si>
  <si>
    <t>TRX-12569</t>
  </si>
  <si>
    <t>SUCO PRATS INTEGRAL 1,5L LARANJA PET</t>
  </si>
  <si>
    <t>TRX-12570</t>
  </si>
  <si>
    <t>ARROZ CAMIL 1KG BRANCO TIPO 1</t>
  </si>
  <si>
    <t>TRX-12571</t>
  </si>
  <si>
    <t>FARINHA DE MAND.ARCO VERDE 1KG AMARELA</t>
  </si>
  <si>
    <t>TRX-12572</t>
  </si>
  <si>
    <t>TRX-12573</t>
  </si>
  <si>
    <t>TRX-12574</t>
  </si>
  <si>
    <t>SAL MARLIN REFINADO 1KG</t>
  </si>
  <si>
    <t>TRX-12575</t>
  </si>
  <si>
    <t>TRX-12576</t>
  </si>
  <si>
    <t>AMEIXA SECA S CAROCO KG</t>
  </si>
  <si>
    <t>TRX-12577</t>
  </si>
  <si>
    <t>TRX-12578</t>
  </si>
  <si>
    <t>CAPSULA TRES NESPRESSO 50G ORGANICO C10</t>
  </si>
  <si>
    <t>TRX-12579</t>
  </si>
  <si>
    <t>TRX-12580</t>
  </si>
  <si>
    <t>TRX-12581</t>
  </si>
  <si>
    <t>TRX-12582</t>
  </si>
  <si>
    <t>TRX-12583</t>
  </si>
  <si>
    <t>TRX-12584</t>
  </si>
  <si>
    <t>TRX-12585</t>
  </si>
  <si>
    <t>TRX-12586</t>
  </si>
  <si>
    <t>TRX-12587</t>
  </si>
  <si>
    <t>TRX-12588</t>
  </si>
  <si>
    <t>DESODORANTE AEROSOL REXONA MEN ACTIVE 89G150ML</t>
  </si>
  <si>
    <t>TRX-12589</t>
  </si>
  <si>
    <t>AROMATIZANTE DE AMBIENTE COALA 120ML CITRONELA</t>
  </si>
  <si>
    <t>TRX-12590</t>
  </si>
  <si>
    <t>GEL ADESIVO PATO REFIL 38G LAVANDA MENOS PRECO</t>
  </si>
  <si>
    <t>TRX-12591</t>
  </si>
  <si>
    <t>TRX-12592</t>
  </si>
  <si>
    <t>TRX-12593</t>
  </si>
  <si>
    <t>TRX-12594</t>
  </si>
  <si>
    <t>LAVA LOUCA BRILUX 3L NEUTRO</t>
  </si>
  <si>
    <t>TRX-12595</t>
  </si>
  <si>
    <t>ADITIVO PRADIADORES ORBI QUIMICA ROSA 1LT</t>
  </si>
  <si>
    <t>TRX-12596</t>
  </si>
  <si>
    <t>ANTI-FERRUGEM WD 40 500ML370G</t>
  </si>
  <si>
    <t>TRX-12597</t>
  </si>
  <si>
    <t>TRX-12598</t>
  </si>
  <si>
    <t>TRX-12599</t>
  </si>
  <si>
    <t>TRX-12600</t>
  </si>
  <si>
    <t>TRX-12601</t>
  </si>
  <si>
    <t>TRX-12602</t>
  </si>
  <si>
    <t>TRX-12603</t>
  </si>
  <si>
    <t>TRX-12604</t>
  </si>
  <si>
    <t>TRX-12605</t>
  </si>
  <si>
    <t>TRX-12606</t>
  </si>
  <si>
    <t>TRX-12607</t>
  </si>
  <si>
    <t>TRX-12608</t>
  </si>
  <si>
    <t>2025-07-15</t>
  </si>
  <si>
    <t>COXAS FRANGO SADIA CONG. 1KG CORTES MENORES BDJ</t>
  </si>
  <si>
    <t>TRX-12609</t>
  </si>
  <si>
    <t>QUEIJO DO REINO CURRAL DE MINAS KG FRAC.PEDACO</t>
  </si>
  <si>
    <t>TRX-12610</t>
  </si>
  <si>
    <t>TRX-12611</t>
  </si>
  <si>
    <t>PAO DE QUEIJO FORNO MINAS 400G AIR FRYER REC.CASE</t>
  </si>
  <si>
    <t>TRX-12612</t>
  </si>
  <si>
    <t>TRX-12613</t>
  </si>
  <si>
    <t>TRX-12614</t>
  </si>
  <si>
    <t>TRX-12615</t>
  </si>
  <si>
    <t>PAO DE QUEIJO FORNO MINAS 820G COQUETEL</t>
  </si>
  <si>
    <t>TRX-12616</t>
  </si>
  <si>
    <t>TRX-12617</t>
  </si>
  <si>
    <t>TRX-12618</t>
  </si>
  <si>
    <t>TRX-12619</t>
  </si>
  <si>
    <t>TRX-12620</t>
  </si>
  <si>
    <t>TRX-12621</t>
  </si>
  <si>
    <t>TRX-12622</t>
  </si>
  <si>
    <t>QUEIJO PRESIDENT 150G MUSSARELA</t>
  </si>
  <si>
    <t>TRX-12623</t>
  </si>
  <si>
    <t>QUEIJO DIBUFALO MOZZARELLA 250G PT</t>
  </si>
  <si>
    <t>TRX-12624</t>
  </si>
  <si>
    <t>TRX-12625</t>
  </si>
  <si>
    <t>TRX-12626</t>
  </si>
  <si>
    <t>TRX-12627</t>
  </si>
  <si>
    <t>TRX-12628</t>
  </si>
  <si>
    <t>TRX-12629</t>
  </si>
  <si>
    <t>BOLO LITORAL BANANA COM GRANOLA KG</t>
  </si>
  <si>
    <t>TRX-12630</t>
  </si>
  <si>
    <t>TRX-12631</t>
  </si>
  <si>
    <t>TRX-12632</t>
  </si>
  <si>
    <t>TRX-12633</t>
  </si>
  <si>
    <t>CHOCOLATE PO TODDY REFORCADO LIGHT 380GR</t>
  </si>
  <si>
    <t>TRX-12634</t>
  </si>
  <si>
    <t>TRX-12635</t>
  </si>
  <si>
    <t>TRX-12636</t>
  </si>
  <si>
    <t>TRX-12637</t>
  </si>
  <si>
    <t>TRX-12638</t>
  </si>
  <si>
    <t>TRX-12639</t>
  </si>
  <si>
    <t>TRX-12640</t>
  </si>
  <si>
    <t>TRX-12641</t>
  </si>
  <si>
    <t>MAC.VITARELLA 400G SPECIALE ESPAGUETE FINO</t>
  </si>
  <si>
    <t>TRX-12642</t>
  </si>
  <si>
    <t>BISCOITO VITARELLA MAIZENA 350G INTEGRAL</t>
  </si>
  <si>
    <t>TRX-12643</t>
  </si>
  <si>
    <t>TRX-12644</t>
  </si>
  <si>
    <t>TRX-12645</t>
  </si>
  <si>
    <t>BATATA PALHA ELMA CHIPS NA MESA 90G EXTRA FINA</t>
  </si>
  <si>
    <t>TRX-12646</t>
  </si>
  <si>
    <t>TRX-12647</t>
  </si>
  <si>
    <t>TRX-12648</t>
  </si>
  <si>
    <t>TRX-12649</t>
  </si>
  <si>
    <t>TRX-12650</t>
  </si>
  <si>
    <t>RODO SANTA MARIA PLASTICO 30CM REF008.0351</t>
  </si>
  <si>
    <t>TRX-12651</t>
  </si>
  <si>
    <t>TRX-12652</t>
  </si>
  <si>
    <t>TRX-12653</t>
  </si>
  <si>
    <t>TRX-12654</t>
  </si>
  <si>
    <t>TRX-12655</t>
  </si>
  <si>
    <t>TRX-12656</t>
  </si>
  <si>
    <t>TRX-12657</t>
  </si>
  <si>
    <t>TRX-12658</t>
  </si>
  <si>
    <t>TRX-12659</t>
  </si>
  <si>
    <t>TRX-12660</t>
  </si>
  <si>
    <t>TRX-12661</t>
  </si>
  <si>
    <t>TRX-12662</t>
  </si>
  <si>
    <t>TRX-12663</t>
  </si>
  <si>
    <t>TRX-12664</t>
  </si>
  <si>
    <t>SABAO BEM-TE-VI 5X200G AZUL</t>
  </si>
  <si>
    <t>TRX-12665</t>
  </si>
  <si>
    <t>TRX-12666</t>
  </si>
  <si>
    <t>2025-08-07</t>
  </si>
  <si>
    <t>PEPINO KG</t>
  </si>
  <si>
    <t>TRX-12667</t>
  </si>
  <si>
    <t>TRX-12668</t>
  </si>
  <si>
    <t>TRX-12669</t>
  </si>
  <si>
    <t>ALFACE AMERICANA HSV ORGANICA UN</t>
  </si>
  <si>
    <t>TRX-12670</t>
  </si>
  <si>
    <t>TRX-12671</t>
  </si>
  <si>
    <t>TRX-12672</t>
  </si>
  <si>
    <t>TRX-12673</t>
  </si>
  <si>
    <t>TRX-12674</t>
  </si>
  <si>
    <t>CARNE PATINHO KG</t>
  </si>
  <si>
    <t>TRX-12675</t>
  </si>
  <si>
    <t>TRX-12676</t>
  </si>
  <si>
    <t>TRX-12677</t>
  </si>
  <si>
    <t>BEBIDA LACTEA ISIS 900G SALADA DE FRUTAS</t>
  </si>
  <si>
    <t>TRX-12678</t>
  </si>
  <si>
    <t>TRX-12679</t>
  </si>
  <si>
    <t>TRX-12680</t>
  </si>
  <si>
    <t>TRX-12681</t>
  </si>
  <si>
    <t>TRX-12682</t>
  </si>
  <si>
    <t>PES DE FRANGO BOM TODO KG</t>
  </si>
  <si>
    <t>TRX-12683</t>
  </si>
  <si>
    <t>TRX-12684</t>
  </si>
  <si>
    <t>AZEITONA LA VIOLETERA RECH.130G CQJO AZUL</t>
  </si>
  <si>
    <t>TRX-12685</t>
  </si>
  <si>
    <t>TRX-12686</t>
  </si>
  <si>
    <t>MAC.VITARELLA 400G SPECIALE CSEMOLA FETTUCCINE</t>
  </si>
  <si>
    <t>TRX-12687</t>
  </si>
  <si>
    <t>TRX-12688</t>
  </si>
  <si>
    <t>TRX-12689</t>
  </si>
  <si>
    <t>TRX-12690</t>
  </si>
  <si>
    <t>TRX-12691</t>
  </si>
  <si>
    <t>TRX-12692</t>
  </si>
  <si>
    <t>PILHA PANASONIC PEQUENA AA C4</t>
  </si>
  <si>
    <t>TRX-12693</t>
  </si>
  <si>
    <t>TRX-12694</t>
  </si>
  <si>
    <t>TRX-12695</t>
  </si>
  <si>
    <t>TRX-12696</t>
  </si>
  <si>
    <t>TRX-12697</t>
  </si>
  <si>
    <t>TRX-12698</t>
  </si>
  <si>
    <t>TRX-12699</t>
  </si>
  <si>
    <t>TRX-12700</t>
  </si>
  <si>
    <t>TRX-12701</t>
  </si>
  <si>
    <t>CAPPUCCINO SANTA CLARA 200G POTE</t>
  </si>
  <si>
    <t>TRX-12702</t>
  </si>
  <si>
    <t>TRX-12703</t>
  </si>
  <si>
    <t>TRX-12704</t>
  </si>
  <si>
    <t>TRX-12705</t>
  </si>
  <si>
    <t>TRX-12706</t>
  </si>
  <si>
    <t>TRX-12707</t>
  </si>
  <si>
    <t>TRX-12708</t>
  </si>
  <si>
    <t>TRX-12709</t>
  </si>
  <si>
    <t>TRX-12710</t>
  </si>
  <si>
    <t>AGUA SANITARIA OLIMPO 5L</t>
  </si>
  <si>
    <t>TRX-12711</t>
  </si>
  <si>
    <t>DESODORANTE AEROSOL DOVE GOFRESH ROMAVERB.150ML8</t>
  </si>
  <si>
    <t>TRX-12712</t>
  </si>
  <si>
    <t>TRX-12713</t>
  </si>
  <si>
    <t>TRX-12714</t>
  </si>
  <si>
    <t>TRX-12715</t>
  </si>
  <si>
    <t>TRX-12716</t>
  </si>
  <si>
    <t>TRX-12717</t>
  </si>
  <si>
    <t>TRX-12718</t>
  </si>
  <si>
    <t>TRX-12719</t>
  </si>
  <si>
    <t>TRX-12720</t>
  </si>
  <si>
    <t>TRX-12721</t>
  </si>
  <si>
    <t>2025-08-20</t>
  </si>
  <si>
    <t>SUCO HUGO PIETRO 1,5L INTEGRAL UVA TINTO</t>
  </si>
  <si>
    <t>TRX-12722</t>
  </si>
  <si>
    <t>TRX-12723</t>
  </si>
  <si>
    <t>TRX-12724</t>
  </si>
  <si>
    <t>TRX-12725</t>
  </si>
  <si>
    <t>TRX-12726</t>
  </si>
  <si>
    <t>TRX-12727</t>
  </si>
  <si>
    <t>TRX-12728</t>
  </si>
  <si>
    <t>TRX-12729</t>
  </si>
  <si>
    <t>TRX-12730</t>
  </si>
  <si>
    <t>BANANA GRAND NAIN KG</t>
  </si>
  <si>
    <t>TRX-12731</t>
  </si>
  <si>
    <t>TRX-12732</t>
  </si>
  <si>
    <t>TRX-12733</t>
  </si>
  <si>
    <t>LEITE FERMENTADO BETANIA DESN. 170G ADOCADO</t>
  </si>
  <si>
    <t>TRX-12734</t>
  </si>
  <si>
    <t>SALAME DOR MILANO 80G FATIADO</t>
  </si>
  <si>
    <t>TRX-12735</t>
  </si>
  <si>
    <t>TRX-12736</t>
  </si>
  <si>
    <t>TRX-12737</t>
  </si>
  <si>
    <t>TRX-12738</t>
  </si>
  <si>
    <t>TRX-12739</t>
  </si>
  <si>
    <t>TRX-12740</t>
  </si>
  <si>
    <t>FARINHA DE AVEIA YOKI 170G</t>
  </si>
  <si>
    <t>TRX-12741</t>
  </si>
  <si>
    <t>TRX-12742</t>
  </si>
  <si>
    <t>TRX-12743</t>
  </si>
  <si>
    <t>TRX-12744</t>
  </si>
  <si>
    <t>TRX-12745</t>
  </si>
  <si>
    <t>TRX-12746</t>
  </si>
  <si>
    <t>TRX-12747</t>
  </si>
  <si>
    <t>TRX-12748</t>
  </si>
  <si>
    <t>TRX-12749</t>
  </si>
  <si>
    <t>TRX-12750</t>
  </si>
  <si>
    <t>TRX-12751</t>
  </si>
  <si>
    <t>TRX-12752</t>
  </si>
  <si>
    <t>TRX-12753</t>
  </si>
  <si>
    <t>TRX-12754</t>
  </si>
  <si>
    <t>TRX-12755</t>
  </si>
  <si>
    <t>MASC.DESC.VABENE TRIPLA CIRURGICA C50</t>
  </si>
  <si>
    <t>TRX-12756</t>
  </si>
  <si>
    <t>CAPSULA DOLCE GUSTO C10 80G ESPRESSO INTENSO</t>
  </si>
  <si>
    <t>TRX-12757</t>
  </si>
  <si>
    <t>TRX-12758</t>
  </si>
  <si>
    <t>TRX-12759</t>
  </si>
  <si>
    <t>TRX-12760</t>
  </si>
  <si>
    <t>TRX-12761</t>
  </si>
  <si>
    <t>TRX-12762</t>
  </si>
  <si>
    <t>LEITE EM PO NESTLE NINHO 750G INTEGRAL INSTANTANEO</t>
  </si>
  <si>
    <t>TRX-12763</t>
  </si>
  <si>
    <t>ESPONJA 3M SCOTH-BRITE C4 MULTIUSO</t>
  </si>
  <si>
    <t>TRX-12764</t>
  </si>
  <si>
    <t>TRX-12765</t>
  </si>
  <si>
    <t>TRX-12766</t>
  </si>
  <si>
    <t>TRX-12767</t>
  </si>
  <si>
    <t>TRX-12768</t>
  </si>
  <si>
    <t>TRX-12769</t>
  </si>
  <si>
    <t>TRX-12770</t>
  </si>
  <si>
    <t>TRX-12771</t>
  </si>
  <si>
    <t>2025-08-06</t>
  </si>
  <si>
    <t>CALHA AQUAPLUV 3 METROS BEGE DN125 TIGRE</t>
  </si>
  <si>
    <t>TRX-12772</t>
  </si>
  <si>
    <t>CABECEIRA ESQUERDA AQUAPLUV BGE TIGRE</t>
  </si>
  <si>
    <t>TRX-12773</t>
  </si>
  <si>
    <t>CABECEIRA DIREITA AQUAPLUV BEGE TIGRE</t>
  </si>
  <si>
    <t>TRX-12774</t>
  </si>
  <si>
    <t>BOCAL DESCIDA TIGRE DN125 BEGE AQUALPLUV</t>
  </si>
  <si>
    <t>TRX-12775</t>
  </si>
  <si>
    <t>SUPORTE CALHA ALUMINIO AQUAPLUV SAUL</t>
  </si>
  <si>
    <t>TRX-12776</t>
  </si>
  <si>
    <t>EUCALUX SEC RAP 0,9L TABACO BR EUCATEX</t>
  </si>
  <si>
    <t>TRX-12777</t>
  </si>
  <si>
    <t>CORALAR ACR 3,6L MARFIM</t>
  </si>
  <si>
    <t>TRX-12778</t>
  </si>
  <si>
    <t>SOQUETE C  RABICHO C  BORNE DECORLUX</t>
  </si>
  <si>
    <t>TRX-12779</t>
  </si>
  <si>
    <t>LAMPADA LED 7W BR AVANT</t>
  </si>
  <si>
    <t>TRX-12780</t>
  </si>
  <si>
    <t>PANO MULTIUSO MICROFIBRA C 01 BT5007 ESF</t>
  </si>
  <si>
    <t>TRX-12781</t>
  </si>
  <si>
    <t>VEDACAO CALHA AQUAPLUV TIGRE</t>
  </si>
  <si>
    <t>TRX-12782</t>
  </si>
  <si>
    <t>KIT LIMPA TELAS ALT02 BRASFORMA</t>
  </si>
  <si>
    <t>TRX-12783</t>
  </si>
  <si>
    <t>BATERIA LITHIUM 3V CR2032 INTELBRAS</t>
  </si>
  <si>
    <t>TRX-12784</t>
  </si>
  <si>
    <t>CORALAR ACR 3,6L PALHA</t>
  </si>
  <si>
    <t>TRX-12785</t>
  </si>
  <si>
    <t>2025-09-03</t>
  </si>
  <si>
    <t>TRX-12786</t>
  </si>
  <si>
    <t>TRX-12787</t>
  </si>
  <si>
    <t>TRX-12788</t>
  </si>
  <si>
    <t>TRX-12789</t>
  </si>
  <si>
    <t>TRX-12790</t>
  </si>
  <si>
    <t>TRX-12791</t>
  </si>
  <si>
    <t>FUBA VITAMILHO 500G NATURAL</t>
  </si>
  <si>
    <t>TRX-12792</t>
  </si>
  <si>
    <t>OVOS AVINE EXTRA C20 BRANCO</t>
  </si>
  <si>
    <t>TRX-12793</t>
  </si>
  <si>
    <t>TRX-12794</t>
  </si>
  <si>
    <t>TRX-12795</t>
  </si>
  <si>
    <t>TRX-12796</t>
  </si>
  <si>
    <t>TRX-12797</t>
  </si>
  <si>
    <t>TRX-12798</t>
  </si>
  <si>
    <t>TRX-12799</t>
  </si>
  <si>
    <t>TRX-12800</t>
  </si>
  <si>
    <t>TRX-12801</t>
  </si>
  <si>
    <t>TRX-12802</t>
  </si>
  <si>
    <t>TRX-12803</t>
  </si>
  <si>
    <t>TRX-12804</t>
  </si>
  <si>
    <t>TRX-12805</t>
  </si>
  <si>
    <t>TRX-12806</t>
  </si>
  <si>
    <t>TRX-12807</t>
  </si>
  <si>
    <t>TRX-12808</t>
  </si>
  <si>
    <t>TRX-12809</t>
  </si>
  <si>
    <t>TRX-12810</t>
  </si>
  <si>
    <t>CEBOLA ROXA KG</t>
  </si>
  <si>
    <t>TRX-12811</t>
  </si>
  <si>
    <t>UVA DOCE MEL PICK NICKY 250G BDJ</t>
  </si>
  <si>
    <t>TRX-12812</t>
  </si>
  <si>
    <t>TRX-12813</t>
  </si>
  <si>
    <t>TRX-12814</t>
  </si>
  <si>
    <t>TRX-12815</t>
  </si>
  <si>
    <t>RUCULA HSV ORGANICA UN</t>
  </si>
  <si>
    <t>TRX-12816</t>
  </si>
  <si>
    <t>TRX-12817</t>
  </si>
  <si>
    <t>TRX-12818</t>
  </si>
  <si>
    <t>TRX-12819</t>
  </si>
  <si>
    <t>TRX-12820</t>
  </si>
  <si>
    <t>TRX-12821</t>
  </si>
  <si>
    <t>TRX-12822</t>
  </si>
  <si>
    <t>REQUEIJAO ISIS 400G CREMOSO</t>
  </si>
  <si>
    <t>TRX-12823</t>
  </si>
  <si>
    <t>TRX-12824</t>
  </si>
  <si>
    <t>ESPONJA E ACO BOMBRIL ECO 45G</t>
  </si>
  <si>
    <t>TRX-12825</t>
  </si>
  <si>
    <t>TRX-12826</t>
  </si>
  <si>
    <t>TRX-12827</t>
  </si>
  <si>
    <t>SABAO BRILUX BARRA LAVANDA 5X180G</t>
  </si>
  <si>
    <t>TRX-12828</t>
  </si>
  <si>
    <t>DET.PO OMO 1,6KG LAVANDA</t>
  </si>
  <si>
    <t>TRX-12829</t>
  </si>
  <si>
    <t>TRX-12830</t>
  </si>
  <si>
    <t>TRX-12831</t>
  </si>
  <si>
    <t>TRX-12832</t>
  </si>
  <si>
    <t>TRX-12833</t>
  </si>
  <si>
    <t>TRX-12834</t>
  </si>
  <si>
    <t>TRX-12835</t>
  </si>
  <si>
    <t>TRX-12836</t>
  </si>
  <si>
    <t>CAPSULA DOLCE GUSTO C10 60G ESPRESSO</t>
  </si>
  <si>
    <t>TRX-12837</t>
  </si>
  <si>
    <t>TRX-12838</t>
  </si>
  <si>
    <t>TRX-12839</t>
  </si>
  <si>
    <t>TRX-12840</t>
  </si>
  <si>
    <t>TRX-12841</t>
  </si>
  <si>
    <t>TRX-12842</t>
  </si>
  <si>
    <t>TRX-12843</t>
  </si>
  <si>
    <t>2025-10-01</t>
  </si>
  <si>
    <t>TRX-12844</t>
  </si>
  <si>
    <t>MOLHO MASTROIANI PASSATA 680G</t>
  </si>
  <si>
    <t>TRX-12845</t>
  </si>
  <si>
    <t>TRX-12846</t>
  </si>
  <si>
    <t>TRX-12847</t>
  </si>
  <si>
    <t>TRX-12848</t>
  </si>
  <si>
    <t>TRX-12849</t>
  </si>
  <si>
    <t>TRX-12850</t>
  </si>
  <si>
    <t>TRX-12851</t>
  </si>
  <si>
    <t>TRX-12852</t>
  </si>
  <si>
    <t>TRX-12853</t>
  </si>
  <si>
    <t>TRX-12854</t>
  </si>
  <si>
    <t>TRX-12855</t>
  </si>
  <si>
    <t>TRX-12856</t>
  </si>
  <si>
    <t>TRX-12857</t>
  </si>
  <si>
    <t>TRX-12858</t>
  </si>
  <si>
    <t>TRX-12859</t>
  </si>
  <si>
    <t>TRX-12860</t>
  </si>
  <si>
    <t>TRX-12861</t>
  </si>
  <si>
    <t>TRX-12862</t>
  </si>
  <si>
    <t>TRX-12863</t>
  </si>
  <si>
    <t>TRX-12864</t>
  </si>
  <si>
    <t>TRX-12865</t>
  </si>
  <si>
    <t>TRX-12866</t>
  </si>
  <si>
    <t>TRX-12867</t>
  </si>
  <si>
    <t>TRX-12868</t>
  </si>
  <si>
    <t>TRX-12869</t>
  </si>
  <si>
    <t>TRX-12870</t>
  </si>
  <si>
    <t>TRX-12871</t>
  </si>
  <si>
    <t>TRX-12872</t>
  </si>
  <si>
    <t>QUEIJO GORGONZOLA MONTI LATTARI KG</t>
  </si>
  <si>
    <t>TRX-12873</t>
  </si>
  <si>
    <t>TRX-12874</t>
  </si>
  <si>
    <t>TRX-12875</t>
  </si>
  <si>
    <t>QUEIJO LATPASSOS MUSSARELA BARRA KG</t>
  </si>
  <si>
    <t>TRX-12876</t>
  </si>
  <si>
    <t>TRX-12877</t>
  </si>
  <si>
    <t>TRX-12878</t>
  </si>
  <si>
    <t>REQUEIJAO POCOS DE CALDAS 400G TRADICIONAL</t>
  </si>
  <si>
    <t>TRX-12879</t>
  </si>
  <si>
    <t>TRX-12880</t>
  </si>
  <si>
    <t>TRX-12881</t>
  </si>
  <si>
    <t>CAFE SANTA CLARA 250G CLASSICO A VACUO</t>
  </si>
  <si>
    <t>TRX-12882</t>
  </si>
  <si>
    <t>TRX-12883</t>
  </si>
  <si>
    <t>TRX-12884</t>
  </si>
  <si>
    <t>TRX-12885</t>
  </si>
  <si>
    <t>TRX-12886</t>
  </si>
  <si>
    <t>TRX-12887</t>
  </si>
  <si>
    <t>TRX-12888</t>
  </si>
  <si>
    <t>PAO LITORAL SEMI ITALIANO KG</t>
  </si>
  <si>
    <t>TRX-12889</t>
  </si>
  <si>
    <t>TRX-12890</t>
  </si>
  <si>
    <t>TRX-12891</t>
  </si>
  <si>
    <t>TRX-12892</t>
  </si>
  <si>
    <t>TRX-12893</t>
  </si>
  <si>
    <t>TRX-12894</t>
  </si>
  <si>
    <t>TRX-12895</t>
  </si>
  <si>
    <t>TRX-12896</t>
  </si>
  <si>
    <t>TRX-12897</t>
  </si>
  <si>
    <t>TRX-12898</t>
  </si>
  <si>
    <t>FITA ADERE MULTI USO SILVER TAPE 45MMX5M</t>
  </si>
  <si>
    <t>TRX-12899</t>
  </si>
  <si>
    <t>TRX-12900</t>
  </si>
  <si>
    <t>TRX-12901</t>
  </si>
  <si>
    <t>TRX-12902</t>
  </si>
  <si>
    <t>TRX-12903</t>
  </si>
  <si>
    <t>TOALHA DE PAPEL ABSOLUTO MULTIUSO C2 FOLHA DUPLA</t>
  </si>
  <si>
    <t>TRX-12904</t>
  </si>
  <si>
    <t>TRX-12905</t>
  </si>
  <si>
    <t>TRX-12906</t>
  </si>
  <si>
    <t>TRX-12907</t>
  </si>
  <si>
    <t>TRX-12908</t>
  </si>
  <si>
    <t>2025-10-27</t>
  </si>
  <si>
    <t>TRX-12909</t>
  </si>
  <si>
    <t>TRX-12910</t>
  </si>
  <si>
    <t>TRX-12911</t>
  </si>
  <si>
    <t>TRX-12912</t>
  </si>
  <si>
    <t>TRX-12913</t>
  </si>
  <si>
    <t>TRX-12914</t>
  </si>
  <si>
    <t>FUBA MIMOSO YOKI 500G</t>
  </si>
  <si>
    <t>TRX-12915</t>
  </si>
  <si>
    <t>TRX-12916</t>
  </si>
  <si>
    <t>TRX-12917</t>
  </si>
  <si>
    <t>TRX-12918</t>
  </si>
  <si>
    <t>FLOCAO DE MILHO DONA CLARA 500G</t>
  </si>
  <si>
    <t>TRX-12919</t>
  </si>
  <si>
    <t>TRX-12920</t>
  </si>
  <si>
    <t>TRX-12921</t>
  </si>
  <si>
    <t>TRX-12922</t>
  </si>
  <si>
    <t>TRX-12923</t>
  </si>
  <si>
    <t>TRX-12924</t>
  </si>
  <si>
    <t>TRX-12925</t>
  </si>
  <si>
    <t>TRX-12926</t>
  </si>
  <si>
    <t>TRX-12927</t>
  </si>
  <si>
    <t>TRX-12928</t>
  </si>
  <si>
    <t>TRX-12929</t>
  </si>
  <si>
    <t>TRX-12930</t>
  </si>
  <si>
    <t>TRX-12931</t>
  </si>
  <si>
    <t>TRX-12932</t>
  </si>
  <si>
    <t>TRX-12933</t>
  </si>
  <si>
    <t>TRX-12934</t>
  </si>
  <si>
    <t>SALSA HSV ORGANICA UN</t>
  </si>
  <si>
    <t>TRX-12935</t>
  </si>
  <si>
    <t>TRX-12936</t>
  </si>
  <si>
    <t>ALECRIM HSV ORGANICO UN</t>
  </si>
  <si>
    <t>TRX-12937</t>
  </si>
  <si>
    <t>TRX-12938</t>
  </si>
  <si>
    <t>PERA PORTUGUESA IMPORTADA KG</t>
  </si>
  <si>
    <t>TRX-12939</t>
  </si>
  <si>
    <t>TRX-12940</t>
  </si>
  <si>
    <t>CHUCHU KG</t>
  </si>
  <si>
    <t>TRX-12941</t>
  </si>
  <si>
    <t>TRX-12942</t>
  </si>
  <si>
    <t>TRX-12943</t>
  </si>
  <si>
    <t>GELATINA DR.OETKER 20G CEREJA</t>
  </si>
  <si>
    <t>TRX-12944</t>
  </si>
  <si>
    <t>TRX-12945</t>
  </si>
  <si>
    <t>CANELA EM CASCA GOMES 15G</t>
  </si>
  <si>
    <t>TRX-12946</t>
  </si>
  <si>
    <t>TEMPERO SAZON NA MEDIDA 30G C10 VEGETAIS</t>
  </si>
  <si>
    <t>TRX-12947</t>
  </si>
  <si>
    <t>PALITO GINA C200</t>
  </si>
  <si>
    <t>TRX-12948</t>
  </si>
  <si>
    <t>TRX-12949</t>
  </si>
  <si>
    <t>TRX-12950</t>
  </si>
  <si>
    <t>TRX-12951</t>
  </si>
  <si>
    <t>CALDO SAZON 32,5G CARNE</t>
  </si>
  <si>
    <t>TRX-12952</t>
  </si>
  <si>
    <t>CALDO SAZON 32,5G PICANHA</t>
  </si>
  <si>
    <t>TRX-12953</t>
  </si>
  <si>
    <t>TRX-12954</t>
  </si>
  <si>
    <t>TRX-12955</t>
  </si>
  <si>
    <t>TRX-12956</t>
  </si>
  <si>
    <t>TRX-12957</t>
  </si>
  <si>
    <t>TRX-12958</t>
  </si>
  <si>
    <t>TRX-12959</t>
  </si>
  <si>
    <t>SABAO MINUANO NEUTRO 5X180GR CGLICERINA</t>
  </si>
  <si>
    <t>TRX-12960</t>
  </si>
  <si>
    <t>TRX-12961</t>
  </si>
  <si>
    <t>TRX-12962</t>
  </si>
  <si>
    <t>TRX-12963</t>
  </si>
  <si>
    <t>GEL ADESIVO PATO REFIL 38G MARINE MENOS PRECO</t>
  </si>
  <si>
    <t>TRX-12964</t>
  </si>
  <si>
    <t>TRX-12965</t>
  </si>
  <si>
    <t>TRX-12966</t>
  </si>
  <si>
    <t>TRX-12967</t>
  </si>
  <si>
    <t>DET.PO OMO 1,6KG LAVAGEM PERFEITA BAG</t>
  </si>
  <si>
    <t>TRX-12968</t>
  </si>
  <si>
    <t>AMACIANTE DOWNY CONCENTRADO 900ML PAIXAO PERFCOLL</t>
  </si>
  <si>
    <t>TRX-12969</t>
  </si>
  <si>
    <t>TRX-12970</t>
  </si>
  <si>
    <t>TRX-12971</t>
  </si>
  <si>
    <t>TRX-12972</t>
  </si>
  <si>
    <t>SHAMPOO DOVE 400ML NUTRICAO OLEO MICELAR</t>
  </si>
  <si>
    <t>TRX-12973</t>
  </si>
  <si>
    <t>TRX-12974</t>
  </si>
  <si>
    <t>TRX-12975</t>
  </si>
  <si>
    <t>TRX-12976</t>
  </si>
  <si>
    <t>TRX-12977</t>
  </si>
  <si>
    <t>2025-10-24</t>
  </si>
  <si>
    <t>#2300100#21050010#SORV PISTACHE 70</t>
  </si>
  <si>
    <t>TRX-12978</t>
  </si>
  <si>
    <t>TRX-12979</t>
  </si>
  <si>
    <t>TRX-12980</t>
  </si>
  <si>
    <t>2025-10-29</t>
  </si>
  <si>
    <t>#2300100#21050010#SORV LN 70</t>
  </si>
  <si>
    <t>TRX-12981</t>
  </si>
  <si>
    <t>2025-10-30</t>
  </si>
  <si>
    <t>TRX-12982</t>
  </si>
  <si>
    <t>2025-10-31</t>
  </si>
  <si>
    <t>TRX-12983</t>
  </si>
  <si>
    <t>2025-10-15</t>
  </si>
  <si>
    <t>PLENIT ACT FEM P/M C8</t>
  </si>
  <si>
    <t>TRX-12984</t>
  </si>
  <si>
    <t>TRX-12985</t>
  </si>
  <si>
    <t>TENA MULHER P/M 16UN</t>
  </si>
  <si>
    <t>TRX-12986</t>
  </si>
  <si>
    <t>HUGG LC UMED HIG 48U</t>
  </si>
  <si>
    <t>TRX-12987</t>
  </si>
  <si>
    <t>2025-10-21</t>
  </si>
  <si>
    <t>*ANSITEC 10MG 60'S-C1</t>
  </si>
  <si>
    <t>TRX-12988</t>
  </si>
  <si>
    <t>*DONAREN 50MG 60'S-C1</t>
  </si>
  <si>
    <t>TRX-12989</t>
  </si>
  <si>
    <t>CETOC+BET+NEO EUG CR30</t>
  </si>
  <si>
    <t>TRX-12990</t>
  </si>
  <si>
    <t>DIPIRONA SODICA NEG10S</t>
  </si>
  <si>
    <t>TRX-12991</t>
  </si>
  <si>
    <t>PROLOPA BD 125MG30'S</t>
  </si>
  <si>
    <t>TRX-12992</t>
  </si>
  <si>
    <t>OMEPRAZO 40MG NVQ 30'S</t>
  </si>
  <si>
    <t>TRX-12993</t>
  </si>
  <si>
    <t>PROCTYL POM 30G</t>
  </si>
  <si>
    <t>TRX-12994</t>
  </si>
  <si>
    <t>DIOSMIN 900+100MG 30'S</t>
  </si>
  <si>
    <t>TRX-12995</t>
  </si>
  <si>
    <t>PLENIT ACT F P/M L+P-</t>
  </si>
  <si>
    <t>TRX-12996</t>
  </si>
  <si>
    <t>TRX-12997</t>
  </si>
  <si>
    <t>REXON DES AER WILD ROS</t>
  </si>
  <si>
    <t>TRX-12998</t>
  </si>
  <si>
    <t>TRX-12999</t>
  </si>
  <si>
    <t>INTIMUS ABS NOT SUA 45</t>
  </si>
  <si>
    <t>TRX-13000</t>
  </si>
  <si>
    <t>2025-11-16</t>
  </si>
  <si>
    <t>BUSONID 32MCG SUSP A</t>
  </si>
  <si>
    <t>TRX-13001</t>
  </si>
  <si>
    <t>TRX-13002</t>
  </si>
  <si>
    <t>FIO DTL ORAL B FLOSS</t>
  </si>
  <si>
    <t>TRX-13003</t>
  </si>
  <si>
    <t>SPRAY AGUA RABELO ME</t>
  </si>
  <si>
    <t>TRX-13004</t>
  </si>
  <si>
    <t>PAST TIC TAC MENTA 4</t>
  </si>
  <si>
    <t>TRX-13005</t>
  </si>
  <si>
    <t>PAST TIC TAC MENTA F</t>
  </si>
  <si>
    <t>TRX-13006</t>
  </si>
  <si>
    <t>2025-11-30</t>
  </si>
  <si>
    <t>TRX-13007</t>
  </si>
  <si>
    <t>TRX-13008</t>
  </si>
  <si>
    <t>FEIJAO VERDE NABAGE KG</t>
  </si>
  <si>
    <t>TRX-13009</t>
  </si>
  <si>
    <t>ALFACE FRANCESA HSV ORGANICA UN</t>
  </si>
  <si>
    <t>TRX-13010</t>
  </si>
  <si>
    <t>CAPSULA NESPRESSO 3 CORACOES ESPECIAS 56G COLOMBIA</t>
  </si>
  <si>
    <t>TRX-13011</t>
  </si>
  <si>
    <t>TRX-13012</t>
  </si>
  <si>
    <t>TRX-13013</t>
  </si>
  <si>
    <t>PEPINO HEMMER CONDIMENTO SUAVE VD. 300G</t>
  </si>
  <si>
    <t>TRX-13014</t>
  </si>
  <si>
    <t>TRX-13015</t>
  </si>
  <si>
    <t>TRX-13016</t>
  </si>
  <si>
    <t>TRX-13017</t>
  </si>
  <si>
    <t>TRX-13018</t>
  </si>
  <si>
    <t>GENGIBRE KG</t>
  </si>
  <si>
    <t>TRX-13019</t>
  </si>
  <si>
    <t>TRX-13020</t>
  </si>
  <si>
    <t>TRX-13021</t>
  </si>
  <si>
    <t>TRX-13022</t>
  </si>
  <si>
    <t>TRX-13023</t>
  </si>
  <si>
    <t>TRX-13024</t>
  </si>
  <si>
    <t>ALFACE MIMOSA HSV ORGANICA UN</t>
  </si>
  <si>
    <t>TRX-13025</t>
  </si>
  <si>
    <t>TRX-13026</t>
  </si>
  <si>
    <t>TRX-13027</t>
  </si>
  <si>
    <t>TRX-13028</t>
  </si>
  <si>
    <t>TRX-13029</t>
  </si>
  <si>
    <t>TRX-13030</t>
  </si>
  <si>
    <t>TRX-13031</t>
  </si>
  <si>
    <t>TRX-13032</t>
  </si>
  <si>
    <t>PRESUNTO CRU MONTANERA 70G JAMON SERRANO</t>
  </si>
  <si>
    <t>TRX-13033</t>
  </si>
  <si>
    <t>PRESUNTO DOR SELECAO 80G HAMBURGUES FATIADO</t>
  </si>
  <si>
    <t>TRX-13034</t>
  </si>
  <si>
    <t>TRX-13035</t>
  </si>
  <si>
    <t>TRX-13036</t>
  </si>
  <si>
    <t>AZEITONA LA VIOLETERA VERDE SCAROC.160G VD</t>
  </si>
  <si>
    <t>TRX-13037</t>
  </si>
  <si>
    <t>TRX-13038</t>
  </si>
  <si>
    <t>TRX-13039</t>
  </si>
  <si>
    <t>TRX-13040</t>
  </si>
  <si>
    <t>TRX-13041</t>
  </si>
  <si>
    <t>TRX-13042</t>
  </si>
  <si>
    <t>TRX-13043</t>
  </si>
  <si>
    <t>TRX-13044</t>
  </si>
  <si>
    <t>TRX-13045</t>
  </si>
  <si>
    <t>TRX-13046</t>
  </si>
  <si>
    <t>TRX-13047</t>
  </si>
  <si>
    <t>TRX-13048</t>
  </si>
  <si>
    <t>TRX-13049</t>
  </si>
  <si>
    <t>TRX-13050</t>
  </si>
  <si>
    <t>TRX-13051</t>
  </si>
  <si>
    <t>TRX-13052</t>
  </si>
  <si>
    <t>TRX-13053</t>
  </si>
  <si>
    <t>TRX-13054</t>
  </si>
  <si>
    <t>TRX-13055</t>
  </si>
  <si>
    <t>TRX-13056</t>
  </si>
  <si>
    <t>TRX-13057</t>
  </si>
  <si>
    <t>DET.PO TIXAN YPE PRIMAVERA  1,6KG</t>
  </si>
  <si>
    <t>TRX-13058</t>
  </si>
  <si>
    <t>COLA TEKBOND 20G 793 AZUL BICO ANTI ENTUPIMENTO</t>
  </si>
  <si>
    <t>TRX-13059</t>
  </si>
  <si>
    <t>TRX-13060</t>
  </si>
  <si>
    <t>FIO DENTAL COLGATE MENTA 50M</t>
  </si>
  <si>
    <t>TRX-13061</t>
  </si>
  <si>
    <t>TRX-13062</t>
  </si>
  <si>
    <t>TRX-13063</t>
  </si>
  <si>
    <t>TRX-13064</t>
  </si>
  <si>
    <t>PAPEL TOALHA SOCIAL CLEAN C2 FOLHA DUPLA</t>
  </si>
  <si>
    <t>TRX-13065</t>
  </si>
  <si>
    <t>TRX-13066</t>
  </si>
  <si>
    <t>TRX-13067</t>
  </si>
  <si>
    <t>OLEO KING DE CEDRO 500ML</t>
  </si>
  <si>
    <t>TRX-13068</t>
  </si>
  <si>
    <t>TRX-13069</t>
  </si>
  <si>
    <t>TRX-13070</t>
  </si>
  <si>
    <t>TRX-13071</t>
  </si>
  <si>
    <t>CANETA CIS ULTRA 0.7 C2 PTAZ REF52.0672</t>
  </si>
  <si>
    <t>TRX-13072</t>
  </si>
  <si>
    <t>PROTETOR ANTI DESLIZANTE 3M SCOTCH RED.C9 PRETO</t>
  </si>
  <si>
    <t>TRX-13073</t>
  </si>
  <si>
    <t>PROTETOR ANTIIMPACTO 3M SCOTCH RED.C16 15X15X4</t>
  </si>
  <si>
    <t>TRX-13074</t>
  </si>
  <si>
    <t>ESPONJA BETTANIN BRILHUS MULTIUSO LV4 PG3</t>
  </si>
  <si>
    <t>TRX-13075</t>
  </si>
  <si>
    <t>TRX-13076</t>
  </si>
  <si>
    <t>TRX-13077</t>
  </si>
  <si>
    <t>TRX-13078</t>
  </si>
  <si>
    <t>2025-11-05</t>
  </si>
  <si>
    <t>TRX-13079</t>
  </si>
  <si>
    <t>2025-11-06</t>
  </si>
  <si>
    <t>TRX-13080</t>
  </si>
  <si>
    <t>2025-11-03</t>
  </si>
  <si>
    <t>TRX-13081</t>
  </si>
  <si>
    <t>2025-11-04</t>
  </si>
  <si>
    <t>TRX-13082</t>
  </si>
  <si>
    <t>2025-11-07</t>
  </si>
  <si>
    <t>TRX-13083</t>
  </si>
  <si>
    <t>2025-11-10</t>
  </si>
  <si>
    <t>TRX-13084</t>
  </si>
  <si>
    <t>2025-11-11</t>
  </si>
  <si>
    <t>#2300100#21050010#SORV LC 70</t>
  </si>
  <si>
    <t>TRX-13085</t>
  </si>
  <si>
    <t>#1700300#18063210#TAB LC 28 5</t>
  </si>
  <si>
    <t>TRX-13086</t>
  </si>
  <si>
    <t>TRX-13087</t>
  </si>
  <si>
    <t>#1700900#18069000#TRU LC GIANDU 13,5</t>
  </si>
  <si>
    <t>TRX-13088</t>
  </si>
  <si>
    <t>#1700300#18063210#TAB CS CAFE 5</t>
  </si>
  <si>
    <t>TRX-13089</t>
  </si>
  <si>
    <t>#1700300#18063210#TAB BT CAC 85% 5G</t>
  </si>
  <si>
    <t>TRX-13090</t>
  </si>
  <si>
    <t>2025-11-13</t>
  </si>
  <si>
    <t>TRX-13091</t>
  </si>
  <si>
    <t>TRX-13092</t>
  </si>
  <si>
    <t>#1700200#18063110#LANUT PISTACHE 130</t>
  </si>
  <si>
    <t>TRX-13093</t>
  </si>
  <si>
    <t>2025-12-18</t>
  </si>
  <si>
    <t>TRX-13094</t>
  </si>
  <si>
    <t>TRX-13095</t>
  </si>
  <si>
    <t>TRX-13096</t>
  </si>
  <si>
    <t>TRX-13097</t>
  </si>
  <si>
    <t>TRX-13098</t>
  </si>
  <si>
    <t>ALFACE CRESPA ROXA 2MFC UNIDADE</t>
  </si>
  <si>
    <t>TRX-13099</t>
  </si>
  <si>
    <t>TRX-13100</t>
  </si>
  <si>
    <t>TRX-13101</t>
  </si>
  <si>
    <t>TRX-13102</t>
  </si>
  <si>
    <t>TRX-13103</t>
  </si>
  <si>
    <t>TRX-13104</t>
  </si>
  <si>
    <t>TRX-13105</t>
  </si>
  <si>
    <t>TRX-13106</t>
  </si>
  <si>
    <t>TRX-13107</t>
  </si>
  <si>
    <t>TRX-13108</t>
  </si>
  <si>
    <t>TRX-13109</t>
  </si>
  <si>
    <t>TRX-13110</t>
  </si>
  <si>
    <t>TRX-13111</t>
  </si>
  <si>
    <t>AVEIA SAO BRAZ 165G FLOCOS CAIXA</t>
  </si>
  <si>
    <t>TRX-13112</t>
  </si>
  <si>
    <t>TRX-13113</t>
  </si>
  <si>
    <t>PANETTONE BAUDUCCO MINI 80G CHOCOTTONE FLOWPACK</t>
  </si>
  <si>
    <t>TRX-13114</t>
  </si>
  <si>
    <t>TRX-13115</t>
  </si>
  <si>
    <t>TRX-13116</t>
  </si>
  <si>
    <t>TRX-13117</t>
  </si>
  <si>
    <t>TRX-13118</t>
  </si>
  <si>
    <t>TRX-13119</t>
  </si>
  <si>
    <t>TRX-13120</t>
  </si>
  <si>
    <t>TRX-13121</t>
  </si>
  <si>
    <t>TRX-13122</t>
  </si>
  <si>
    <t>TRX-13123</t>
  </si>
  <si>
    <t>TRX-13124</t>
  </si>
  <si>
    <t>TRX-13125</t>
  </si>
  <si>
    <t>TRX-13126</t>
  </si>
  <si>
    <t>TRX-13127</t>
  </si>
  <si>
    <t>TRX-13128</t>
  </si>
  <si>
    <t>ARROZ BRILHANTE 1KG BRANCO</t>
  </si>
  <si>
    <t>TRX-13129</t>
  </si>
  <si>
    <t>TRX-13130</t>
  </si>
  <si>
    <t>TRX-13131</t>
  </si>
  <si>
    <t>MANTEIGA REGENCIA 200G CSAL</t>
  </si>
  <si>
    <t>TRX-13132</t>
  </si>
  <si>
    <t>OLEO SOYA 900ML DE SOJA PET</t>
  </si>
  <si>
    <t>TRX-13133</t>
  </si>
  <si>
    <t>DET.LIQ.INVICTO 500ML NEUTRO</t>
  </si>
  <si>
    <t>TRX-13134</t>
  </si>
  <si>
    <t>TRX-13135</t>
  </si>
  <si>
    <t>TRX-13136</t>
  </si>
  <si>
    <t>TRX-13137</t>
  </si>
  <si>
    <t>TRX-13138</t>
  </si>
  <si>
    <t>TRX-13139</t>
  </si>
  <si>
    <t>REQUEIJAO ISIS 200G CREMOSO</t>
  </si>
  <si>
    <t>TRX-13140</t>
  </si>
  <si>
    <t>LEITE FERMENTADO ACTIVIA 800G VITAMINA DE FRUTAS</t>
  </si>
  <si>
    <t>TRX-13141</t>
  </si>
  <si>
    <t>TRX-13142</t>
  </si>
  <si>
    <t>TRX-13143</t>
  </si>
  <si>
    <t>TRX-13144</t>
  </si>
  <si>
    <t>TRX-13145</t>
  </si>
  <si>
    <t>TRX-13146</t>
  </si>
  <si>
    <t>TRX-13147</t>
  </si>
  <si>
    <t>TRX-13148</t>
  </si>
  <si>
    <t>TRX-13149</t>
  </si>
  <si>
    <t>TRX-13150</t>
  </si>
  <si>
    <t>TRX-13151</t>
  </si>
  <si>
    <t>TRX-13152</t>
  </si>
  <si>
    <t>TRX-13153</t>
  </si>
  <si>
    <t>TRX-13154</t>
  </si>
  <si>
    <t>TRX-13155</t>
  </si>
  <si>
    <t>TRX-13156</t>
  </si>
  <si>
    <t>TRX-13157</t>
  </si>
  <si>
    <t>SABAO YPE BARRA MULT.ATIVO PERFORMANCE 5X180G</t>
  </si>
  <si>
    <t>TRX-13158</t>
  </si>
  <si>
    <t>OVOS DE CODORNA AVINE C30</t>
  </si>
  <si>
    <t>TRX-13159</t>
  </si>
  <si>
    <t>TRX-13160</t>
  </si>
  <si>
    <t>TRX-13161</t>
  </si>
  <si>
    <t>PEIXE SARDINHA LAGE DUMAR 1KG CONG. SCABECA</t>
  </si>
  <si>
    <t>TRX-13162</t>
  </si>
  <si>
    <t>TRX-13163</t>
  </si>
  <si>
    <t>TRX-13164</t>
  </si>
  <si>
    <t>2025-12-15</t>
  </si>
  <si>
    <t>TECLADO BLUETOOTH K380S GRAFITE. LOGITECH</t>
  </si>
  <si>
    <t>TRX-13165</t>
  </si>
  <si>
    <t>2025-12-23</t>
  </si>
  <si>
    <t>#2300100#21050010#SORV MEZZO 70</t>
  </si>
  <si>
    <t>TRX-13166</t>
  </si>
  <si>
    <t>2025-12-29</t>
  </si>
  <si>
    <t>TRX-13167</t>
  </si>
  <si>
    <t>2026-01-11</t>
  </si>
  <si>
    <t>REFRI COCA COLA LT 350ML</t>
  </si>
  <si>
    <t>TRX-13168</t>
  </si>
  <si>
    <t>WHISKY BUCHANANS GF 750ML 12 ANOS</t>
  </si>
  <si>
    <t>TRX-13169</t>
  </si>
  <si>
    <t>WHISKY ESC DEWARS GF 750ML 15 ANOS</t>
  </si>
  <si>
    <t>TRX-13170</t>
  </si>
  <si>
    <t>CARNE BOV MAMINHA MATURATTA kg</t>
  </si>
  <si>
    <t>TRX-13171</t>
  </si>
  <si>
    <t>2026-01-05</t>
  </si>
  <si>
    <t>TRX-13172</t>
  </si>
  <si>
    <t>2026-01-06</t>
  </si>
  <si>
    <t>#2300100#21050010#SORV LC LEIT ZA 70</t>
  </si>
  <si>
    <t>TRX-13173</t>
  </si>
  <si>
    <t>2026-01-08</t>
  </si>
  <si>
    <t>TRX-13174</t>
  </si>
  <si>
    <t>TRX-13175</t>
  </si>
  <si>
    <t>TRX-13176</t>
  </si>
  <si>
    <t>TRX-13177</t>
  </si>
  <si>
    <t>2026-01-12</t>
  </si>
  <si>
    <t>TRX-13178</t>
  </si>
  <si>
    <t>2026-01-15</t>
  </si>
  <si>
    <t>TRX-13179</t>
  </si>
  <si>
    <t>2026-01-19</t>
  </si>
  <si>
    <t>#2300100#21050010#SORV DR MOR 70</t>
  </si>
  <si>
    <t>TRX-13180</t>
  </si>
  <si>
    <t>2026-04-02</t>
  </si>
  <si>
    <t>CAFETEIRA ESPRESSO LUNA PT 220V TRES CORACOES</t>
  </si>
  <si>
    <t>TRX-13181</t>
  </si>
  <si>
    <t>KIT FITA LED 5050 14.4W/M 6000K 12V 5M GAYA</t>
  </si>
  <si>
    <t>TRX-13182</t>
  </si>
  <si>
    <t>EXTENSAO 3 TOMADAS BI 10A 3M PT INTELBRAS</t>
  </si>
  <si>
    <t>TRX-13183</t>
  </si>
  <si>
    <t>TRX-13184</t>
  </si>
  <si>
    <t>2026-04-16</t>
  </si>
  <si>
    <t>FARINHA PANKO KARUI 200G</t>
  </si>
  <si>
    <t>TRX-13185</t>
  </si>
  <si>
    <t>ATEMOIA KG</t>
  </si>
  <si>
    <t>TRX-13186</t>
  </si>
  <si>
    <t>PADARIA - COOKIES DE CHOCOLATE</t>
  </si>
  <si>
    <t>TRX-13187</t>
  </si>
  <si>
    <t>PADARIA - COOKIES TRADICIONAL</t>
  </si>
  <si>
    <t>TRX-13188</t>
  </si>
  <si>
    <t>PADARIA - BOLO MACAXEIRA C/ COCO FLOCADO KG</t>
  </si>
  <si>
    <t>TRX-13189</t>
  </si>
  <si>
    <t>PADARIA - BOLO DE BANANA</t>
  </si>
  <si>
    <t>TRX-13190</t>
  </si>
  <si>
    <t>ARROZ TIO JOAO PARBOILIZADO - KG</t>
  </si>
  <si>
    <t>TRX-13191</t>
  </si>
  <si>
    <t>AVEIA EM FLOCOS QUAKER 165G</t>
  </si>
  <si>
    <t>TRX-13192</t>
  </si>
  <si>
    <t>TRX-13193</t>
  </si>
  <si>
    <t>ALHO ROXO DESCASCADO KG</t>
  </si>
  <si>
    <t>TRX-13194</t>
  </si>
  <si>
    <t>PROCESSADOS - VINAGRETE KG</t>
  </si>
  <si>
    <t>TRX-13195</t>
  </si>
  <si>
    <t>TRX-13196</t>
  </si>
  <si>
    <t>SEQ - CASTANHA DO PARA 100GR</t>
  </si>
  <si>
    <t>TRX-13197</t>
  </si>
  <si>
    <t>PROCESSADOS - PICLES DE CEBOLA KG</t>
  </si>
  <si>
    <t>TRX-13198</t>
  </si>
  <si>
    <t>TRX-13199</t>
  </si>
  <si>
    <t>TRX-13200</t>
  </si>
  <si>
    <t>MANTEIGA A GRANEL IMPERIAL KG</t>
  </si>
  <si>
    <t>TRX-13201</t>
  </si>
  <si>
    <t>AZEITE EXTRAVIRGEM 500ML - BORGES.</t>
  </si>
  <si>
    <t>TRX-13202</t>
  </si>
  <si>
    <t>MOLHO DE PIMENTA RED 60ML VDR - TABASCO</t>
  </si>
  <si>
    <t>TRX-13203</t>
  </si>
  <si>
    <t>MOSTARDA AMARELA HEINZ 255G</t>
  </si>
  <si>
    <t>TRX-13204</t>
  </si>
  <si>
    <t>PIMENTAO SWEET PALERMO 300G TREBESCHI</t>
  </si>
  <si>
    <t>TRX-13205</t>
  </si>
  <si>
    <t>COCO SECO UNID</t>
  </si>
  <si>
    <t>TRX-13206</t>
  </si>
  <si>
    <t>MINI - PIMENTA CALABRESA 10GR</t>
  </si>
  <si>
    <t>TRX-13207</t>
  </si>
  <si>
    <t>SEQ - PIMENTA DO REINO MOIDA 40G</t>
  </si>
  <si>
    <t>TRX-13208</t>
  </si>
  <si>
    <t>VINAGRE MINHOTO ALCOOL LV500ML PG450ML</t>
  </si>
  <si>
    <t>TRX-13209</t>
  </si>
  <si>
    <t>VINAGRE MINHOTO MACA LV500ML PG450ML</t>
  </si>
  <si>
    <t>TRX-13210</t>
  </si>
  <si>
    <t>LIMAO SICILIANO KG</t>
  </si>
  <si>
    <t>TRX-13211</t>
  </si>
  <si>
    <t>LIMAO KG</t>
  </si>
  <si>
    <t>TRX-13212</t>
  </si>
  <si>
    <t>CONG. POLPA DE MARACUJA 500ML</t>
  </si>
  <si>
    <t>TRX-13213</t>
  </si>
  <si>
    <t>TRX-13214</t>
  </si>
  <si>
    <t>TRX-13215</t>
  </si>
  <si>
    <t>PROCESSADOS - MORANGO CONG 500G</t>
  </si>
  <si>
    <t>TRX-13216</t>
  </si>
  <si>
    <t>UMBU CAJA KG</t>
  </si>
  <si>
    <t>TRX-13217</t>
  </si>
  <si>
    <t>TRX-13218</t>
  </si>
  <si>
    <t>PROCESSADOS - MORANGO CONG 250G</t>
  </si>
  <si>
    <t>TRX-13219</t>
  </si>
  <si>
    <t>TRX-13220</t>
  </si>
  <si>
    <t>TRX-13221</t>
  </si>
  <si>
    <t>TRX-13222</t>
  </si>
  <si>
    <t>TRX-13223</t>
  </si>
  <si>
    <t>TRX-13224</t>
  </si>
  <si>
    <t>TRX-13225</t>
  </si>
  <si>
    <t>OVOS BCO GRANDE DO CAMPO BDJ C/30UND</t>
  </si>
  <si>
    <t>TRX-13226</t>
  </si>
  <si>
    <t>2026-04-17</t>
  </si>
  <si>
    <t>BACON DEF KG</t>
  </si>
  <si>
    <t>TRX-13227</t>
  </si>
  <si>
    <t>PAO DE ALHO SANTA MA</t>
  </si>
  <si>
    <t>TRX-13228</t>
  </si>
  <si>
    <t>COXINHA DA ASA KG</t>
  </si>
  <si>
    <t>TRX-13229</t>
  </si>
  <si>
    <t>CARVAO BRAS 10KG C A</t>
  </si>
  <si>
    <t>TRX-13230</t>
  </si>
  <si>
    <t>SAL DE PARRILLA PIME</t>
  </si>
  <si>
    <t>TRX-13231</t>
  </si>
  <si>
    <t>MAMINHA ORANGES KG B</t>
  </si>
  <si>
    <t>TRX-13232</t>
  </si>
  <si>
    <t>FRALDINHA GRI RIO MA</t>
  </si>
  <si>
    <t>TRX-13233</t>
  </si>
  <si>
    <t>CONTTRA FILE FRIBEV</t>
  </si>
  <si>
    <t>TRX-13234</t>
  </si>
  <si>
    <t>PICANHA BOV NAC KG</t>
  </si>
  <si>
    <t>TRX-13235</t>
  </si>
  <si>
    <t>CORONA LONG NECK 330</t>
  </si>
  <si>
    <t>TRX-13236</t>
  </si>
  <si>
    <t>LING TOSC FRIMESA 1K</t>
  </si>
  <si>
    <t>TRX-13237</t>
  </si>
  <si>
    <t>LING SUI APIMENTADA</t>
  </si>
  <si>
    <t>TRX-13238</t>
  </si>
  <si>
    <t>2026-06-22</t>
  </si>
  <si>
    <t>TRX-13239</t>
  </si>
  <si>
    <t>TRX-13240</t>
  </si>
  <si>
    <t>TRX-13241</t>
  </si>
  <si>
    <t>LING TOSC C PIM NA BRASA PERD 60</t>
  </si>
  <si>
    <t>TRX-13242</t>
  </si>
  <si>
    <t>MOCOTO FAT VAC KG</t>
  </si>
  <si>
    <t>TRX-13243</t>
  </si>
  <si>
    <t>LING GOURM CUIABANA SEARA 500G</t>
  </si>
  <si>
    <t>TRX-13244</t>
  </si>
  <si>
    <t>ESP CARNE MB</t>
  </si>
  <si>
    <t>TRX-13245</t>
  </si>
  <si>
    <t>COSTELA SUI IN FRIMESA CG KG</t>
  </si>
  <si>
    <t>TRX-13246</t>
  </si>
  <si>
    <t>FILE SUINO IN FRIMESA CG KG</t>
  </si>
  <si>
    <t>TRX-13247</t>
  </si>
  <si>
    <t>FILE SALMAO PEDACO KD 500 1000G</t>
  </si>
  <si>
    <t>TRX-13248</t>
  </si>
  <si>
    <t>MAMINHA MASTER GRILL RF KG</t>
  </si>
  <si>
    <t>TRX-13249</t>
  </si>
  <si>
    <t>TRX-13250</t>
  </si>
  <si>
    <t>TRX-13251</t>
  </si>
  <si>
    <t>TRX-13252</t>
  </si>
  <si>
    <t>COPA LOMBO INT FLESTE CG KG</t>
  </si>
  <si>
    <t>TRX-13253</t>
  </si>
  <si>
    <t>MANJUBA INTEIRA MB PCTE 800G</t>
  </si>
  <si>
    <t>TRX-13254</t>
  </si>
  <si>
    <t>COSTELA MINGA FAT MBLACK CG KG</t>
  </si>
  <si>
    <t>TRX-13255</t>
  </si>
  <si>
    <t>PEITO BRISKET FAT MBLACK CG KG</t>
  </si>
  <si>
    <t>TRX-13256</t>
  </si>
  <si>
    <t>ALCATRA BABYBEEF MBLACK CG KG</t>
  </si>
  <si>
    <t>TRX-13257</t>
  </si>
  <si>
    <t>ENTRECOTE MB F COST FAT GRILL CG</t>
  </si>
  <si>
    <t>TRX-13258</t>
  </si>
  <si>
    <t>ALCATRA BOMBOM MBLACK CG KG</t>
  </si>
  <si>
    <t>TRX-13259</t>
  </si>
  <si>
    <t>PAO DE ALHO SANTA MASSA 400G  TR</t>
  </si>
  <si>
    <t>TRX-13260</t>
  </si>
  <si>
    <t>PAO DE ALHO MB 300G</t>
  </si>
  <si>
    <t>TRX-13261</t>
  </si>
  <si>
    <t>LINGUICA BOV  CONG  MASTERBLACK</t>
  </si>
  <si>
    <t>TRX-13262</t>
  </si>
  <si>
    <t>CHORIZO FAT MB CONTRA FILE GRILL</t>
  </si>
  <si>
    <t>TRX-13263</t>
  </si>
  <si>
    <t>TRX-13264</t>
  </si>
  <si>
    <t>2026-06-17</t>
  </si>
  <si>
    <t>Bacon Dalia Ext.Lombo Fat Kg</t>
  </si>
  <si>
    <t>TRX-13265</t>
  </si>
  <si>
    <t>TRX-13266</t>
  </si>
  <si>
    <t>Kiwi Sungold Zespri  440G</t>
  </si>
  <si>
    <t>TRX-13267</t>
  </si>
  <si>
    <t>Limao Taiti Kg</t>
  </si>
  <si>
    <t>TRX-13268</t>
  </si>
  <si>
    <t>Queijo President Petit 125G Ca</t>
  </si>
  <si>
    <t>TRX-13269</t>
  </si>
  <si>
    <t>Salame Aurora Fatiado 100G</t>
  </si>
  <si>
    <t>TRX-13270</t>
  </si>
  <si>
    <t>Salame Milano Vito Balducci Fa</t>
  </si>
  <si>
    <t>TRX-13271</t>
  </si>
  <si>
    <t>Presunto Cru Vito Balducci Fat</t>
  </si>
  <si>
    <t>TRX-13272</t>
  </si>
  <si>
    <t>TRX-13273</t>
  </si>
  <si>
    <t>Salame Tipo Hamburgues Dor 80G</t>
  </si>
  <si>
    <t>TRX-13274</t>
  </si>
  <si>
    <t>Pastilha Ades.Pato C 6 Citrus</t>
  </si>
  <si>
    <t>TRX-13275</t>
  </si>
  <si>
    <t>Sabonete Phebo Tradicional 90G</t>
  </si>
  <si>
    <t>TRX-13276</t>
  </si>
  <si>
    <t>Requeijao Catupiry Cremoso 180</t>
  </si>
  <si>
    <t>TRX-13277</t>
  </si>
  <si>
    <t>Cerveja Blue Moon Lt 350Ml Bel</t>
  </si>
  <si>
    <t>TRX-13278</t>
  </si>
  <si>
    <t>Agua Mineral Indaia 500Ml C Ga</t>
  </si>
  <si>
    <t>TRX-13279</t>
  </si>
  <si>
    <t>Gatorade 500Ml Morango Maracuj</t>
  </si>
  <si>
    <t>TRX-13280</t>
  </si>
  <si>
    <t>Capsula Tres Rituais 80G Exoti</t>
  </si>
  <si>
    <t>TRX-13281</t>
  </si>
  <si>
    <t>TRX-13282</t>
  </si>
  <si>
    <t>Biscoito Piraque Roladinho De</t>
  </si>
  <si>
    <t>TRX-13283</t>
  </si>
  <si>
    <t>Capsula Tres C.Espresso Ameno</t>
  </si>
  <si>
    <t>TRX-13284</t>
  </si>
  <si>
    <t>TRX-13285</t>
  </si>
  <si>
    <t>TRX-13286</t>
  </si>
  <si>
    <t>Queijo Coalho Ilpla Kg</t>
  </si>
  <si>
    <t>TRX-13287</t>
  </si>
  <si>
    <t>Leite Fermentado Yakult 480G T</t>
  </si>
  <si>
    <t>TRX-13288</t>
  </si>
  <si>
    <t>Torrada Marilan Magic Toast 11</t>
  </si>
  <si>
    <t>TRX-13289</t>
  </si>
  <si>
    <t>Arroz  Branco Arretado 1Kg</t>
  </si>
  <si>
    <t>TRX-13290</t>
  </si>
  <si>
    <t>Farinha De Milho Vitamilho Flo</t>
  </si>
  <si>
    <t>TRX-13291</t>
  </si>
  <si>
    <t>Toalha De Papel Mili Branco C</t>
  </si>
  <si>
    <t>TRX-13292</t>
  </si>
  <si>
    <t>Lencos Umed.Huggies 48un Rosto</t>
  </si>
  <si>
    <t>TRX-13293</t>
  </si>
  <si>
    <t>Aveia Em Flocos Finos Yoki 170</t>
  </si>
  <si>
    <t>TRX-13294</t>
  </si>
  <si>
    <t>Aveia Em Flocos Yoki 170G Cx.</t>
  </si>
  <si>
    <t>TRX-13295</t>
  </si>
  <si>
    <t>Gel Dental Colgate Natural Ext</t>
  </si>
  <si>
    <t>TRX-13296</t>
  </si>
  <si>
    <t>Copo Termico Copobras 120Ml C</t>
  </si>
  <si>
    <t>TRX-13297</t>
  </si>
  <si>
    <t>Geleia St.Dalfour Cranberries</t>
  </si>
  <si>
    <t>TRX-13298</t>
  </si>
  <si>
    <t>Desodorante Aero Axe 152Ml  90</t>
  </si>
  <si>
    <t>TRX-13299</t>
  </si>
  <si>
    <t>Peixe Sardinha P. Da Cruz Char</t>
  </si>
  <si>
    <t>TRX-13300</t>
  </si>
  <si>
    <t>2026-06-30</t>
  </si>
  <si>
    <t>ENRAIAÃÃO POR RODAS</t>
  </si>
  <si>
    <t>TRX-13301</t>
  </si>
  <si>
    <t>REVISÃO ROST OFF/GRAXA WURTH</t>
  </si>
  <si>
    <t>TRX-13302</t>
  </si>
  <si>
    <t>RAIO INOX NIPLE 2,0 X 260MM</t>
  </si>
  <si>
    <t>TRX-13303</t>
  </si>
  <si>
    <t>CORRENTE KMC 8V Z8.3 CINZA 116 ELOS</t>
  </si>
  <si>
    <t>TRX-13304</t>
  </si>
  <si>
    <t>FITA DE ARO PROTETORA 26 MTB 18MM NYLON</t>
  </si>
  <si>
    <t>TRX-13305</t>
  </si>
  <si>
    <t>ABRAÃADEIRA NYLON 6.6 PTA WURTH 3,5X200MM UNID.</t>
  </si>
  <si>
    <t>TRX-13306</t>
  </si>
  <si>
    <t>CHIC. MENTOS PURE FRUIT TUTTI-FRUTTI 6G</t>
  </si>
  <si>
    <t>TRX-13307</t>
  </si>
  <si>
    <t>2026-07-03</t>
  </si>
  <si>
    <t>TADALAFILA 5MG EUG 30S</t>
  </si>
  <si>
    <t>TRX-13308</t>
  </si>
  <si>
    <t>2026-08-26</t>
  </si>
  <si>
    <t>PROT AUDIT SILIC K 10 KALIPSO</t>
  </si>
  <si>
    <t>TRX-13309</t>
  </si>
  <si>
    <t>FITA ADESIVA SILVER TAPE SCOTCH 45MMX5M 3M</t>
  </si>
  <si>
    <t>TRX-13310</t>
  </si>
  <si>
    <t>FITA DUPLA FACE FIXA 19MMX2M FORTE 4910 3M</t>
  </si>
  <si>
    <t>TRX-13311</t>
  </si>
  <si>
    <t>FITA CORTA FACIL 45MMX40M 120 3M</t>
  </si>
  <si>
    <t>TRX-13312</t>
  </si>
  <si>
    <t>PATCH CORD SEQ LOGICA RJ/RJ 568B 20M INTERNEED</t>
  </si>
  <si>
    <t>TRX-13313</t>
  </si>
  <si>
    <t>ORGAN DE FIO ESPIRAL 1/2 5M BR TRAMONTINA</t>
  </si>
  <si>
    <t>TRX-13314</t>
  </si>
  <si>
    <t>FITA ISOLANTE 20MX19MM PT FOXLUX</t>
  </si>
  <si>
    <t>TRX-13315</t>
  </si>
  <si>
    <t>2026-08-24</t>
  </si>
  <si>
    <t>TRX-13316</t>
  </si>
  <si>
    <t>TRX-13317</t>
  </si>
  <si>
    <t>TRX-13318</t>
  </si>
  <si>
    <t>TAXA IFOOD EXTRA</t>
  </si>
  <si>
    <t>TRX-13319</t>
  </si>
  <si>
    <t>2026-07-02</t>
  </si>
  <si>
    <t>ESPUMANTE FREIXENET 750ML CORD</t>
  </si>
  <si>
    <t>TRX-13320</t>
  </si>
  <si>
    <t>TRX-13321</t>
  </si>
  <si>
    <t>AGUA MINERAL INDAIA 330ML C GA</t>
  </si>
  <si>
    <t>TRX-13322</t>
  </si>
  <si>
    <t>CERVEJA CORONITA 210ML EXTRA L</t>
  </si>
  <si>
    <t>TRX-13323</t>
  </si>
  <si>
    <t>TRX-13324</t>
  </si>
  <si>
    <t>PAO DE QUEIJO F.DE MINAS PC 82</t>
  </si>
  <si>
    <t>TRX-13325</t>
  </si>
  <si>
    <t>OVOS AVINE EXT C 30 BRANCO</t>
  </si>
  <si>
    <t>TRX-13326</t>
  </si>
  <si>
    <t>TAFF MAN EX 110ML</t>
  </si>
  <si>
    <t>TRX-13327</t>
  </si>
  <si>
    <t>KIWI SUNGOLD ZESPRI  440G</t>
  </si>
  <si>
    <t>TRX-13328</t>
  </si>
  <si>
    <t>LEITE FERMENTADO YAKULT 480G T</t>
  </si>
  <si>
    <t>TRX-13329</t>
  </si>
  <si>
    <t>QUEIJO PETIT SUISSE 320G DANON</t>
  </si>
  <si>
    <t>TRX-13330</t>
  </si>
  <si>
    <t>REQ. CATUPIRY 400G</t>
  </si>
  <si>
    <t>TRX-13331</t>
  </si>
  <si>
    <t>QUEIJO COALHO ILPLA KG</t>
  </si>
  <si>
    <t>TRX-13332</t>
  </si>
  <si>
    <t>TRX-13333</t>
  </si>
  <si>
    <t>TRX-13334</t>
  </si>
  <si>
    <t>SALAME SADIA PEPPERONI FAT.100</t>
  </si>
  <si>
    <t>TRX-13335</t>
  </si>
  <si>
    <t>BACON DALIA EXT.LOMBO FAT KG</t>
  </si>
  <si>
    <t>TRX-13336</t>
  </si>
  <si>
    <t>SALAME ITALIANO MONTANERA 80G</t>
  </si>
  <si>
    <t>TRX-13337</t>
  </si>
  <si>
    <t>TRX-13338</t>
  </si>
  <si>
    <t>COPA ESPANHOLA MONTANERA 80G F</t>
  </si>
  <si>
    <t>TRX-13339</t>
  </si>
  <si>
    <t>PRESUNTO CRU SERRANO MONTANERA</t>
  </si>
  <si>
    <t>TRX-13340</t>
  </si>
  <si>
    <t>SALAME SADIA ITALIANO FAT.SSSF</t>
  </si>
  <si>
    <t>TRX-13341</t>
  </si>
  <si>
    <t>COPA SADIA SUINA FATIADO 100G</t>
  </si>
  <si>
    <t>TRX-13342</t>
  </si>
  <si>
    <t>TRX-13343</t>
  </si>
  <si>
    <t>TRX-13344</t>
  </si>
  <si>
    <t>AZEITONA VALE FERTIL 120G S CA</t>
  </si>
  <si>
    <t>TRX-13345</t>
  </si>
  <si>
    <t>TRX-13346</t>
  </si>
  <si>
    <t>REQUEIJAO CATUPIRY 250G POLY</t>
  </si>
  <si>
    <t>TRX-13347</t>
  </si>
  <si>
    <t>REQ. CATUPIRY 180G</t>
  </si>
  <si>
    <t>TRX-13348</t>
  </si>
  <si>
    <t>QUEIJO PRESIDENT PETIT 125G BR</t>
  </si>
  <si>
    <t>TRX-13349</t>
  </si>
  <si>
    <t>AGUA TONICA SCWEPPES GOLD 350M</t>
  </si>
  <si>
    <t>TRX-13350</t>
  </si>
  <si>
    <t>TRX-13351</t>
  </si>
  <si>
    <t>LEITE FERMENTADO DANONE ACTIVI</t>
  </si>
  <si>
    <t>TRX-13352</t>
  </si>
  <si>
    <t>VINAGRE MINHOTO 750ML DE ALCOO</t>
  </si>
  <si>
    <t>TRX-13353</t>
  </si>
  <si>
    <t>VINAGRE FAZENDA SAO ROQUE GF 5</t>
  </si>
  <si>
    <t>TRX-13354</t>
  </si>
  <si>
    <t>BISCOITO PIRAQUE ROLADINHO DE</t>
  </si>
  <si>
    <t>TRX-13355</t>
  </si>
  <si>
    <t>CERVEJA BLUE MOON LT 350ML BEL</t>
  </si>
  <si>
    <t>TRX-13356</t>
  </si>
  <si>
    <t>TRX-13357</t>
  </si>
  <si>
    <t>TORRADA MARILAN MAGIC TOAST 11</t>
  </si>
  <si>
    <t>TRX-13358</t>
  </si>
  <si>
    <t>TRX-13359</t>
  </si>
  <si>
    <t>AVEIA SAO BRAZ FLOCOS FINO CX</t>
  </si>
  <si>
    <t>TRX-13360</t>
  </si>
  <si>
    <t>ARROZ TIO JOAO BRANCO  1KG</t>
  </si>
  <si>
    <t>TRX-13361</t>
  </si>
  <si>
    <t>TRX-13362</t>
  </si>
  <si>
    <t>SAL LEBRE P CHURRASCO 1KG</t>
  </si>
  <si>
    <t>TRX-13363</t>
  </si>
  <si>
    <t>CAPSULA TRES C.CAPUCCINO D.LEI</t>
  </si>
  <si>
    <t>TRX-13364</t>
  </si>
  <si>
    <t>CAPSULA TRES C. ESPRESSO GOURM</t>
  </si>
  <si>
    <t>TRX-13365</t>
  </si>
  <si>
    <t>CAPSULA TRES RITUAIS CERRADO D</t>
  </si>
  <si>
    <t>TRX-13366</t>
  </si>
  <si>
    <t>CAPSULA TRES C.ROBUSTA AMAZONI</t>
  </si>
  <si>
    <t>TRX-13367</t>
  </si>
  <si>
    <t>CAPSULA TRES C.ESPRESSO SUPREM</t>
  </si>
  <si>
    <t>TRX-13368</t>
  </si>
  <si>
    <t>CAPSULA TRES RITUAIS 80G EXOTI</t>
  </si>
  <si>
    <t>TRX-13369</t>
  </si>
  <si>
    <t>CAPSULA TRES C.ESPRESSO AMENO</t>
  </si>
  <si>
    <t>TRX-13370</t>
  </si>
  <si>
    <t>TRX-13371</t>
  </si>
  <si>
    <t>DETERGENTE LIQUIDO YPE 500ML L</t>
  </si>
  <si>
    <t>TRX-13372</t>
  </si>
  <si>
    <t>ENGATE RAPIDO TRAMONTINA PARA</t>
  </si>
  <si>
    <t>TRX-13373</t>
  </si>
  <si>
    <t>TRX-13374</t>
  </si>
  <si>
    <t>PEPINO RODELAS HEMMER 440G AGR</t>
  </si>
  <si>
    <t>TRX-13375</t>
  </si>
  <si>
    <t>TRX-13376</t>
  </si>
  <si>
    <t>PALMITO GOLDEN PALM EXTRA MACI</t>
  </si>
  <si>
    <t>TRX-13377</t>
  </si>
  <si>
    <t>TRX-13378</t>
  </si>
  <si>
    <t>DESODORANTE AERO.AXE 150ML BS</t>
  </si>
  <si>
    <t>TRX-13379</t>
  </si>
  <si>
    <t>ODORIZANTE GLADE 360ML F.FLORE</t>
  </si>
  <si>
    <t>TRX-13380</t>
  </si>
  <si>
    <t>LIMPA COURO TECBRIL 200ML</t>
  </si>
  <si>
    <t>TRX-13381</t>
  </si>
  <si>
    <t>FOSFORO FIAT LUX CASA LONGO C</t>
  </si>
  <si>
    <t>TRX-13382</t>
  </si>
  <si>
    <t>FITA MULTI USO ADERE SILVER TA</t>
  </si>
  <si>
    <t>TRX-13383</t>
  </si>
  <si>
    <t>AMACIANTE YPE TERNURA 500ML</t>
  </si>
  <si>
    <t>TRX-13384</t>
  </si>
  <si>
    <t>ABRACADEIRA EM NYLON TRAMONTIN</t>
  </si>
  <si>
    <t>TRX-13385</t>
  </si>
  <si>
    <t>2026-07-16</t>
  </si>
  <si>
    <t>TRX-13386</t>
  </si>
  <si>
    <t>CERVEJA BLUE MOON GF 355ML BEL</t>
  </si>
  <si>
    <t>TRX-13387</t>
  </si>
  <si>
    <t>TRX-13388</t>
  </si>
  <si>
    <t>TRX-13389</t>
  </si>
  <si>
    <t>TRX-13390</t>
  </si>
  <si>
    <t>COUVE FOLHA ORGANICO SEMPRE VE</t>
  </si>
  <si>
    <t>TRX-13391</t>
  </si>
  <si>
    <t>MINI TOMATE ITALIANO TREBESCHI</t>
  </si>
  <si>
    <t>TRX-13392</t>
  </si>
  <si>
    <t>TRX-13393</t>
  </si>
  <si>
    <t>TRX-13394</t>
  </si>
  <si>
    <t>SALAME SADIA PEPPERONI FAT.100G SPF</t>
  </si>
  <si>
    <t>TRX-13395</t>
  </si>
  <si>
    <t>TRX-13396</t>
  </si>
  <si>
    <t>SALAME MILANO VITO BALDUCCI FA</t>
  </si>
  <si>
    <t>TRX-13397</t>
  </si>
  <si>
    <t>PRESUNTO CRU RAR FATIADO 80G</t>
  </si>
  <si>
    <t>TRX-13398</t>
  </si>
  <si>
    <t>TRX-13399</t>
  </si>
  <si>
    <t>TRX-13400</t>
  </si>
  <si>
    <t>QUEIJO PARMESAO PRESIDENT 180G</t>
  </si>
  <si>
    <t>TRX-13401</t>
  </si>
  <si>
    <t>TRX-13402</t>
  </si>
  <si>
    <t>TRX-13403</t>
  </si>
  <si>
    <t>MANTEIGA AVIACAO COM SAL PT 20</t>
  </si>
  <si>
    <t>TRX-13404</t>
  </si>
  <si>
    <t>TRX-13405</t>
  </si>
  <si>
    <t>REQUEIJAO CATUPIRY CREMOSO 180</t>
  </si>
  <si>
    <t>TRX-13406</t>
  </si>
  <si>
    <t>AVEIA SAO BRAZ FLOCOS CX 165G</t>
  </si>
  <si>
    <t>TRX-13407</t>
  </si>
  <si>
    <t>TRX-13408</t>
  </si>
  <si>
    <t>SALGADINHO EQLIBRI PANETINI PR</t>
  </si>
  <si>
    <t>TRX-13409</t>
  </si>
  <si>
    <t>TRX-13410</t>
  </si>
  <si>
    <t>BISCOITO VITARELLA CREAM CRACK</t>
  </si>
  <si>
    <t>TRX-13411</t>
  </si>
  <si>
    <t>TRX-13412</t>
  </si>
  <si>
    <t>TRX-13413</t>
  </si>
  <si>
    <t>TRX-13414</t>
  </si>
  <si>
    <t>TRX-13415</t>
  </si>
  <si>
    <t>TRX-13416</t>
  </si>
  <si>
    <t>REFRIGERANTE COCA COLA 250ML</t>
  </si>
  <si>
    <t>TRX-13417</t>
  </si>
  <si>
    <t>TRX-13418</t>
  </si>
  <si>
    <t>TRX-13419</t>
  </si>
  <si>
    <t>ACHOCOLATADO LIQUIDO TODDYNHO</t>
  </si>
  <si>
    <t>TRX-13420</t>
  </si>
  <si>
    <t>TRX-13421</t>
  </si>
  <si>
    <t>TRX-13422</t>
  </si>
  <si>
    <t>TRX-13423</t>
  </si>
  <si>
    <t>TRX-13424</t>
  </si>
  <si>
    <t>TRX-13425</t>
  </si>
  <si>
    <t>CAFE 3 CORACOES 250G TRADICION</t>
  </si>
  <si>
    <t>TRX-13426</t>
  </si>
  <si>
    <t>TRX-13427</t>
  </si>
  <si>
    <t>CAPSULA TRES REG. MUNDO COLOMB</t>
  </si>
  <si>
    <t>TRX-13428</t>
  </si>
  <si>
    <t>TRX-13429</t>
  </si>
  <si>
    <t>CAPSULA TRES C.ESPRESSO VIBRAN</t>
  </si>
  <si>
    <t>TRX-13430</t>
  </si>
  <si>
    <t>CAPSULA TRES C.CAPPUCCINO NAPO</t>
  </si>
  <si>
    <t>TRX-13431</t>
  </si>
  <si>
    <t>TRX-13432</t>
  </si>
  <si>
    <t>TRX-13433</t>
  </si>
  <si>
    <t>TRX-13434</t>
  </si>
  <si>
    <t>PACOQUITA MINI 216GR</t>
  </si>
  <si>
    <t>TRX-13435</t>
  </si>
  <si>
    <t>CHOCOLATE NESTLE KITKAT 41,5G</t>
  </si>
  <si>
    <t>TRX-13436</t>
  </si>
  <si>
    <t>TRX-13437</t>
  </si>
  <si>
    <t>CHOCOLATE SNICKERS 45G</t>
  </si>
  <si>
    <t>TRX-13438</t>
  </si>
  <si>
    <t>TRX-13439</t>
  </si>
  <si>
    <t>ARROZ URBANO PARBOILIZADO 1KG</t>
  </si>
  <si>
    <t>TRX-13440</t>
  </si>
  <si>
    <t>TRX-13441</t>
  </si>
  <si>
    <t>TRX-13442</t>
  </si>
  <si>
    <t>TRX-13443</t>
  </si>
  <si>
    <t>COPO SILVER FESTAS PAPEL BRANC</t>
  </si>
  <si>
    <t>TRX-13444</t>
  </si>
  <si>
    <t>MACARRAO VITARELLA SPECIALE 40</t>
  </si>
  <si>
    <t>TRX-13445</t>
  </si>
  <si>
    <t>GRAO DE BICO KICALDO 500G</t>
  </si>
  <si>
    <t>TRX-13446</t>
  </si>
  <si>
    <t>MILHO PIPOCA YOKI PREMIUM 400G</t>
  </si>
  <si>
    <t>TRX-13447</t>
  </si>
  <si>
    <t>BUCHA MARCOBONI VEGETAL REF.84</t>
  </si>
  <si>
    <t>TRX-13448</t>
  </si>
  <si>
    <t>TRX-13449</t>
  </si>
  <si>
    <t>COCADA DOCELICIA COCO 260G CRE</t>
  </si>
  <si>
    <t>TRX-13450</t>
  </si>
  <si>
    <t>TRX-13451</t>
  </si>
  <si>
    <t>ESPONJA BOMBRIL MULTI USO LV4</t>
  </si>
  <si>
    <t>TRX-13452</t>
  </si>
  <si>
    <t>TOALHA DE PAPEL ABSOLUTO DECOR</t>
  </si>
  <si>
    <t>TRX-13453</t>
  </si>
  <si>
    <t>OLEO PEROBA 500ML JASMIM</t>
  </si>
  <si>
    <t>TRX-13454</t>
  </si>
  <si>
    <t>INSETICIDA SBP AERO.MULTIINSET</t>
  </si>
  <si>
    <t>TRX-13455</t>
  </si>
  <si>
    <t>TRX-13456</t>
  </si>
  <si>
    <t>TRX-13457</t>
  </si>
  <si>
    <t>TRX-13458</t>
  </si>
  <si>
    <t>TRX-13459</t>
  </si>
  <si>
    <t>TRX-13460</t>
  </si>
  <si>
    <t>TALCO P PES BARLA 140G</t>
  </si>
  <si>
    <t>TRX-13461</t>
  </si>
  <si>
    <t>DESODORANTE AERO.REXONA MEN 25</t>
  </si>
  <si>
    <t>TRX-13462</t>
  </si>
  <si>
    <t>TIC TAC 49G LARANJA</t>
  </si>
  <si>
    <t>TRX-13463</t>
  </si>
  <si>
    <t>TIC TAC 49G FRUTAS   COMO TE G</t>
  </si>
  <si>
    <t>TRX-13464</t>
  </si>
  <si>
    <t>QUEIJO REINO PIRACANJUBA FATIA</t>
  </si>
  <si>
    <t>TRX-13465</t>
  </si>
  <si>
    <t>2026-09-02</t>
  </si>
  <si>
    <t>VERMOUTH MARTINI ROSSO 750ML</t>
  </si>
  <si>
    <t>TRX-13466</t>
  </si>
  <si>
    <t>APERITIVO CAMPARI 748ML</t>
  </si>
  <si>
    <t>TRX-13467</t>
  </si>
  <si>
    <t>TRX-13468</t>
  </si>
  <si>
    <t>TRX-13469</t>
  </si>
  <si>
    <t>AGUA MINERAL CRYSTAL 500ML C G</t>
  </si>
  <si>
    <t>TRX-13470</t>
  </si>
  <si>
    <t>TRX-13471</t>
  </si>
  <si>
    <t>TRX-13472</t>
  </si>
  <si>
    <t>CERVEJA HEINEKEN 250ML  GARRAF</t>
  </si>
  <si>
    <t>TRX-13473</t>
  </si>
  <si>
    <t>CERVEJA CORONA LT 350ML EXTRA</t>
  </si>
  <si>
    <t>TRX-13474</t>
  </si>
  <si>
    <t>SALSAO ORGANICO SEMPRE VERDE</t>
  </si>
  <si>
    <t>TRX-13475</t>
  </si>
  <si>
    <t>HORTELA ORGANICO SEMPRE VERDE</t>
  </si>
  <si>
    <t>TRX-13476</t>
  </si>
  <si>
    <t>TRX-13477</t>
  </si>
  <si>
    <t>TRX-13478</t>
  </si>
  <si>
    <t>TRX-13479</t>
  </si>
  <si>
    <t>AZEITONA VALE FERTIL 130G RECH</t>
  </si>
  <si>
    <t>TRX-13480</t>
  </si>
  <si>
    <t>PASSATA LA PASTINA 680G DI POM</t>
  </si>
  <si>
    <t>TRX-13481</t>
  </si>
  <si>
    <t>QUEIJO BRIE DOR FRACIONADO 125</t>
  </si>
  <si>
    <t>TRX-13482</t>
  </si>
  <si>
    <t>MACARRAO VITARELLA 400G ESPAGU</t>
  </si>
  <si>
    <t>TRX-13483</t>
  </si>
  <si>
    <t>PEPINOS VALE FERTIL 300G</t>
  </si>
  <si>
    <t>TRX-13484</t>
  </si>
  <si>
    <t>TRX-13485</t>
  </si>
  <si>
    <t>TRX-13486</t>
  </si>
  <si>
    <t>TRX-13487</t>
  </si>
  <si>
    <t>TRX-13488</t>
  </si>
  <si>
    <t>TRX-13489</t>
  </si>
  <si>
    <t>TRX-13490</t>
  </si>
  <si>
    <t>SALAME PERDIGAO 100G FATIADO</t>
  </si>
  <si>
    <t>TRX-13491</t>
  </si>
  <si>
    <t>SALAME TIPO HAMBURGUES DOR 80G</t>
  </si>
  <si>
    <t>TRX-13492</t>
  </si>
  <si>
    <t>TRX-13493</t>
  </si>
  <si>
    <t>PRESUNTO SERRANO ESPANHO CASA</t>
  </si>
  <si>
    <t>TRX-13494</t>
  </si>
  <si>
    <t>COPA DOR 80G FATIADA</t>
  </si>
  <si>
    <t>TRX-13495</t>
  </si>
  <si>
    <t>TRX-13496</t>
  </si>
  <si>
    <t>REQUEIJAO CATUPIRY CREMOSO 200</t>
  </si>
  <si>
    <t>TRX-13497</t>
  </si>
  <si>
    <t>TRX-13498</t>
  </si>
  <si>
    <t>TRX-13499</t>
  </si>
  <si>
    <t>BISC MARILAN CR CRACKER 335G I</t>
  </si>
  <si>
    <t>TRX-13500</t>
  </si>
  <si>
    <t>TRX-13501</t>
  </si>
  <si>
    <t>TRX-13502</t>
  </si>
  <si>
    <t>TRX-13503</t>
  </si>
  <si>
    <t>TRX-13504</t>
  </si>
  <si>
    <t>TRX-13505</t>
  </si>
  <si>
    <t>TRX-13506</t>
  </si>
  <si>
    <t>TRX-13507</t>
  </si>
  <si>
    <t>TRX-13508</t>
  </si>
  <si>
    <t>TRX-13509</t>
  </si>
  <si>
    <t>TRX-13510</t>
  </si>
  <si>
    <t>TRX-13511</t>
  </si>
  <si>
    <t>TRX-13512</t>
  </si>
  <si>
    <t>TRX-13513</t>
  </si>
  <si>
    <t>TRX-13514</t>
  </si>
  <si>
    <t>CAPSULA TRES C.ESPRESSO PLENO</t>
  </si>
  <si>
    <t>TRX-13515</t>
  </si>
  <si>
    <t>TRX-13516</t>
  </si>
  <si>
    <t>TRX-13517</t>
  </si>
  <si>
    <t>TRX-13518</t>
  </si>
  <si>
    <t>TRX-13519</t>
  </si>
  <si>
    <t>CAPSULA TRES C.CAPPUCCINO AVEL</t>
  </si>
  <si>
    <t>TRX-13520</t>
  </si>
  <si>
    <t>QUEIJO AZUL TIROLEZ FRAC. KG</t>
  </si>
  <si>
    <t>TRX-13521</t>
  </si>
  <si>
    <t>TRX-13522</t>
  </si>
  <si>
    <t>TRX-13523</t>
  </si>
  <si>
    <t>GATORADE 500ML MORANGO MARACUJ</t>
  </si>
  <si>
    <t>TRX-13524</t>
  </si>
  <si>
    <t>TRX-13525</t>
  </si>
  <si>
    <t>MOLHO PIMENTA TABASCO ORIG. 60</t>
  </si>
  <si>
    <t>TRX-13526</t>
  </si>
  <si>
    <t>LEITE CONDENSADO CAMPONESA 395</t>
  </si>
  <si>
    <t>TRX-13527</t>
  </si>
  <si>
    <t>TRX-13528</t>
  </si>
  <si>
    <t>ARROZ  BRANCO ARRETADO 1KG</t>
  </si>
  <si>
    <t>TRX-13529</t>
  </si>
  <si>
    <t>TRX-13530</t>
  </si>
  <si>
    <t>TRX-13531</t>
  </si>
  <si>
    <t>TRX-13532</t>
  </si>
  <si>
    <t>TRX-13533</t>
  </si>
  <si>
    <t>TRX-13534</t>
  </si>
  <si>
    <t>TRX-13535</t>
  </si>
  <si>
    <t>TRX-13536</t>
  </si>
  <si>
    <t>TIC TAC 14,5G FRUTAS   COMO TE</t>
  </si>
  <si>
    <t>TRX-13537</t>
  </si>
  <si>
    <t>TRX-13538</t>
  </si>
  <si>
    <t>TRX-13539</t>
  </si>
  <si>
    <t>BOLO DE AMEIXA KG</t>
  </si>
  <si>
    <t>TRX-13540</t>
  </si>
  <si>
    <t>BATATA DOCE KG</t>
  </si>
  <si>
    <t>TRX-13541</t>
  </si>
  <si>
    <t>PEIXE SARDINHA MASTERBOI LAGE</t>
  </si>
  <si>
    <t>TRX-13542</t>
  </si>
  <si>
    <t>PEIXE INTEIRO MANJUBA MASTERBO</t>
  </si>
  <si>
    <t>TRX-13543</t>
  </si>
  <si>
    <t>PULVERIZADOR SANREMO 580ML REF</t>
  </si>
  <si>
    <t>TRX-13544</t>
  </si>
  <si>
    <t>ALCOOL SANTA CRUZ 1L  54 INPM</t>
  </si>
  <si>
    <t>TRX-13545</t>
  </si>
  <si>
    <t>TRX-13546</t>
  </si>
  <si>
    <t>TRX-13547</t>
  </si>
  <si>
    <t>TRX-13548</t>
  </si>
  <si>
    <t>CREME DENTAL SORRISO CARVAO AT</t>
  </si>
  <si>
    <t>TRX-13549</t>
  </si>
  <si>
    <t>CREME DENTAL SENSODYNE 90G PRO</t>
  </si>
  <si>
    <t>TRX-13550</t>
  </si>
  <si>
    <t>SAND.IPANEMA CLASSICA AZUL AZU</t>
  </si>
  <si>
    <t>TRX-13551</t>
  </si>
  <si>
    <t>PAPEL HIG.NEVE F.TRIPLA SUPREM</t>
  </si>
  <si>
    <t>TRX-13552</t>
  </si>
  <si>
    <t>TRX-13553</t>
  </si>
  <si>
    <t>SABONETE PHEBO TRADICIONAL 90G</t>
  </si>
  <si>
    <t>TRX-13554</t>
  </si>
  <si>
    <t>DESODORANTE AERO.AXE 152ML URB</t>
  </si>
  <si>
    <t>TRX-13555</t>
  </si>
  <si>
    <t>ANTI FERRUGEM WD40 SPRAY 300ML</t>
  </si>
  <si>
    <t>TRX-13556</t>
  </si>
  <si>
    <t>INSETICIDA SBP AERO.ANTI AEDES</t>
  </si>
  <si>
    <t>TRX-13557</t>
  </si>
  <si>
    <t>MANJUBA INTEIRA MB</t>
  </si>
  <si>
    <t>Masterboi Paraíba</t>
  </si>
  <si>
    <t>TRX-13558</t>
  </si>
  <si>
    <t>LING GOURM CUIABANA</t>
  </si>
  <si>
    <t>TRX-13559</t>
  </si>
  <si>
    <t>PAO DE ALHO SANTA</t>
  </si>
  <si>
    <t>TRX-13560</t>
  </si>
  <si>
    <t>LING FGO C BAC BRASA</t>
  </si>
  <si>
    <t>TRX-13561</t>
  </si>
  <si>
    <t>TORRESMO CROCANT</t>
  </si>
  <si>
    <t>TRX-13562</t>
  </si>
  <si>
    <t>CORDAO DE FILE MB CG KG</t>
  </si>
  <si>
    <t>TRX-13563</t>
  </si>
  <si>
    <t>FRALDINHA MB CG KG</t>
  </si>
  <si>
    <t>TRX-13564</t>
  </si>
  <si>
    <t>OSSO DO PERU MB KG</t>
  </si>
  <si>
    <t>TRX-13565</t>
  </si>
  <si>
    <t>COSTELA SUINA IN SADIA</t>
  </si>
  <si>
    <t>TRX-13566</t>
  </si>
  <si>
    <t>TRX-13567</t>
  </si>
  <si>
    <t>TRX-13568</t>
  </si>
  <si>
    <t>FILE SALMAO PEDACO KD</t>
  </si>
  <si>
    <t>TRX-13569</t>
  </si>
  <si>
    <t>COSTELA SUI C O</t>
  </si>
  <si>
    <t>TRX-13570</t>
  </si>
  <si>
    <t>CORACAO PALETA</t>
  </si>
  <si>
    <t>TRX-13571</t>
  </si>
  <si>
    <t>AGUA TONICA LT</t>
  </si>
  <si>
    <t>PAINEL DE INFLAÇÃO PESSOAL — GUIA DO WORKBOOK</t>
  </si>
  <si>
    <t>Visão rápida do modelo, das compras e das análises geradas em 03/09/2026</t>
  </si>
  <si>
    <t>CONTEÚDO</t>
  </si>
  <si>
    <t>Planilha</t>
  </si>
  <si>
    <t>O que você encontra</t>
  </si>
  <si>
    <t>Resumo Executivo</t>
  </si>
  <si>
    <t>Leitura em menos de 5 minutos: temas, destaques, riscos e ações recomendadas.</t>
  </si>
  <si>
    <t>Insights e Tendências</t>
  </si>
  <si>
    <t>Evolução anual, concentração por categoria, inflação de itens-chave e gráficos.</t>
  </si>
  <si>
    <t>Terminal IIP</t>
  </si>
  <si>
    <t>Índice de inflação pessoal versus mercado, cenários de 2027 e monitor de preços.</t>
  </si>
  <si>
    <t>Registro de Compras</t>
  </si>
  <si>
    <t>Base detalhada com 3.572 transações entre 2022 e 2026.</t>
  </si>
  <si>
    <t>LEITURA RECOMENDADA</t>
  </si>
  <si>
    <t>1. Comece em Resumo Executivo para entender o quadro geral.</t>
  </si>
  <si>
    <t>2. Abra Insights e Tendências para comparar anos e categorias visualmente.</t>
  </si>
  <si>
    <t>3. Use Terminal IIP para testar o cenário de inflação de 2027.</t>
  </si>
  <si>
    <t>RESUMO EXECUTIVO — INFLAÇÃO PESSOAL E HISTÓRICO DE COMPRAS</t>
  </si>
  <si>
    <t>Período coberto: 02/01/2022 a 02/09/2026 | 3.572 transações | 2026 é parcial</t>
  </si>
  <si>
    <t>Gasto histórico</t>
  </si>
  <si>
    <t>Transações</t>
  </si>
  <si>
    <t>Ticket médio</t>
  </si>
  <si>
    <t>Inflação pessoal 22–26</t>
  </si>
  <si>
    <t>PRINCIPAIS DESTAQUES</t>
  </si>
  <si>
    <t>1. O gasto acumulado é de R$ 79.744,57, com ticket médio de R$ 22,32 em 3.572 transações.</t>
  </si>
  <si>
    <t>2. Alimentação e Bebidas concentra 86,1% do gasto; o Supermercado Litoral responde por 94,1% do total registrado.</t>
  </si>
  <si>
    <t>3. 2025 foi o maior ano, com R$ 27.636,64 — 83,5% acima de 2024; 2026 é parcial e não deve ser comparado diretamente.</t>
  </si>
  <si>
    <t>4. A inflação pessoal acumulada chegou a 40,24%, contra 28,24% do mercado: diferença de 12,0 pontos percentuais.</t>
  </si>
  <si>
    <t>5. Cenoura (+150,4%), café (+81,4%) e desodorante (+64,5%) lideram as altas monitoradas entre 2022 e 2026.</t>
  </si>
  <si>
    <t>AÇÕES RECOMENDADAS</t>
  </si>
  <si>
    <t>1. Revisar classificações suspeitas no Registro de Compras, especialmente itens automotivos e domésticos lançados como Alimentação e Bebidas.</t>
  </si>
  <si>
    <t>2. Confirmar se meses sem registros representam ausência real de compras ou lacunas de importação — especialmente dez/2023, jun–jul/2024 e fev–mar/mai/2026.</t>
  </si>
  <si>
    <t>3. Criar um limite mensal para Alimentação e Bebidas, pois a categoria domina o orçamento e explica a maior parte da inflação pessoal.</t>
  </si>
  <si>
    <t>4. Reavaliar o cenário Conservador de 2027: ele projeta IIP de 5,0% contra 3,5% do mercado, mantendo pressão acima do benchmark.</t>
  </si>
  <si>
    <t>LIMITAÇÕES DA LEITURA</t>
  </si>
  <si>
    <t>A série de 2026 termina em 02/09/2026 e há meses sem registros em alguns anos. A forte concentração em um estabelecimento e classificações possivelmente incorretas podem distorcer comparações por categoria.</t>
  </si>
  <si>
    <t>INSIGHTS E TENDÊNCIAS — GASTOS E INFLAÇÃO PESSOAL</t>
  </si>
  <si>
    <t>Leitura visual do histórico completo; 2026 contém dados somente até 02/09/2026</t>
  </si>
  <si>
    <t>HISTÓRIA EM 4 PONTOS</t>
  </si>
  <si>
    <t>• O salto de gasto ocorreu em 2025, quando o total cresceu 83,5% sobre 2024 e chegou a R$ 27,6 mil.</t>
  </si>
  <si>
    <t>• A inflação pessoal supera o mercado em 12,0 p.p. no acumulado de 2022–2026, puxada sobretudo por alimentos e itens recorrentes.</t>
  </si>
  <si>
    <t>• A base é altamente concentrada: 86,1% em Alimentação e Bebidas e 94,1% em um único estabelecimento.</t>
  </si>
  <si>
    <t>• Há sinais de qualidade de dados: itens automotivos, domésticos e de saúde aparecem classificados como alimentação.</t>
  </si>
  <si>
    <t>Gasto</t>
  </si>
  <si>
    <t>Variação anual</t>
  </si>
  <si>
    <t>Nota: 2026 é parcial; a variação anual não é comparável com um ano completo.</t>
  </si>
  <si>
    <t>CONCENTRAÇÃO POR CATEGORIA</t>
  </si>
  <si>
    <t>Participação</t>
  </si>
  <si>
    <t>ITENS-CHAVE: ALTA 2022–2026</t>
  </si>
  <si>
    <t>Item</t>
  </si>
  <si>
    <t>Alta</t>
  </si>
  <si>
    <t>REVISÃO DE CATEGORIAS — ANOMALIAS PROVÁVEIS</t>
  </si>
  <si>
    <t>Triagem conservadora por palavras-chave; nenhuma categoria da base original foi alterada</t>
  </si>
  <si>
    <t>Casos sinalizados</t>
  </si>
  <si>
    <t>Valor para revisão</t>
  </si>
  <si>
    <t>Linha fonte</t>
  </si>
  <si>
    <t>ID</t>
  </si>
  <si>
    <t>Data</t>
  </si>
  <si>
    <t>Valor</t>
  </si>
  <si>
    <t>Categoria atual</t>
  </si>
  <si>
    <t>Categoria sugerida</t>
  </si>
  <si>
    <t>Motivo</t>
  </si>
  <si>
    <t>Termo automotivo</t>
  </si>
  <si>
    <t>Equipamento ou item doméstico</t>
  </si>
  <si>
    <t>Medicamento ou cuidado pessoal</t>
  </si>
  <si>
    <t>Próximo passo: confirme cada sugestão e, se estiver correta, atualize somente a célula indicada na coluna Categoria do Registro de Compras. A triagem prioriza precisão e pode não capturar todos os casos.</t>
  </si>
  <si>
    <t>Revisão de Categorias</t>
  </si>
  <si>
    <t>Seis classificações prováveis para confirmar antes de corrigir a base.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</si>
</sst>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 &quot;\ #,##0.00"/>
    <numFmt numFmtId="165" formatCode="\+0.00%;\-0.00%;0.00%"/>
    <numFmt numFmtId="166" formatCode="0.0%"/>
    <numFmt numFmtId="168" formatCode="&quot;R$&quot;\ #,##0.00"/>
  </numFmts>
  <fonts count="27" x14ac:knownFonts="1">
    <font>
      <sz val="11"/>
      <color theme="1"/>
      <name val="Calibri"/>
      <family val="2"/>
      <scheme val="minor"/>
    </font>
    <font>
      <b/>
      <sz val="14"/>
      <color rgb="FFFF9900"/>
      <name val="Consolas"/>
    </font>
    <font>
      <sz val="9"/>
      <color rgb="FF00FFFF"/>
      <name val="Consolas"/>
    </font>
    <font>
      <b/>
      <sz val="20"/>
      <color rgb="FFFF3333"/>
      <name val="Consolas"/>
    </font>
    <font>
      <b/>
      <sz val="20"/>
      <color rgb="FFFF9900"/>
      <name val="Consolas"/>
    </font>
    <font>
      <b/>
      <sz val="20"/>
      <color rgb="FF00FFFF"/>
      <name val="Consolas"/>
    </font>
    <font>
      <b/>
      <sz val="11"/>
      <color rgb="FF00FF00"/>
      <name val="Consolas"/>
    </font>
    <font>
      <b/>
      <sz val="10"/>
      <color rgb="FFFFFFFF"/>
      <name val="Consolas"/>
    </font>
    <font>
      <sz val="10"/>
      <color rgb="FFFFFFFF"/>
      <name val="Consolas"/>
    </font>
    <font>
      <sz val="10"/>
      <color rgb="FF00FF00"/>
      <name val="Consolas"/>
    </font>
    <font>
      <sz val="10"/>
      <color rgb="FFFF9900"/>
      <name val="Consolas"/>
    </font>
    <font>
      <sz val="10"/>
      <color rgb="FF9CA3AF"/>
      <name val="Consolas"/>
    </font>
    <font>
      <sz val="10"/>
      <color rgb="FFFF3333"/>
      <name val="Consolas"/>
    </font>
    <font>
      <b/>
      <sz val="10"/>
      <color rgb="FF00FFFF"/>
      <name val="Consolas"/>
    </font>
    <font>
      <b/>
      <sz val="11"/>
      <color rgb="FF00FFFF"/>
      <name val="Consolas"/>
    </font>
    <font>
      <b/>
      <sz val="10"/>
      <color rgb="FF000000"/>
      <name val="Consolas"/>
    </font>
    <font>
      <b/>
      <sz val="10"/>
      <color rgb="FFFF3333"/>
      <name val="Consolas"/>
    </font>
    <font>
      <b/>
      <sz val="13"/>
      <color rgb="FF00FFFF"/>
      <name val="Consolas"/>
    </font>
    <font>
      <i/>
      <sz val="9"/>
      <color rgb="FF9CA3AF"/>
      <name val="Consolas"/>
    </font>
    <font>
      <b/>
      <sz val="11"/>
      <color rgb="FFFFFFFF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B6573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008C95"/>
      <name val="Calibri"/>
      <family val="2"/>
      <scheme val="minor"/>
    </font>
    <font>
      <sz val="11"/>
      <color rgb="FF1F2937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5B657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80C10"/>
        <bgColor rgb="FF080C10"/>
      </patternFill>
    </fill>
    <fill>
      <patternFill patternType="solid">
        <fgColor rgb="FF1F2937"/>
        <bgColor rgb="FF1F2937"/>
      </patternFill>
    </fill>
    <fill>
      <patternFill patternType="solid">
        <fgColor rgb="FF111827"/>
        <bgColor rgb="FF111827"/>
      </patternFill>
    </fill>
    <fill>
      <patternFill patternType="solid">
        <fgColor rgb="FF121820"/>
        <bgColor rgb="FF121820"/>
      </patternFill>
    </fill>
    <fill>
      <patternFill patternType="solid">
        <fgColor rgb="FF1A2230"/>
        <bgColor rgb="FF1A2230"/>
      </patternFill>
    </fill>
    <fill>
      <patternFill patternType="solid">
        <fgColor rgb="FF102A45"/>
        <bgColor rgb="FF102A45"/>
      </patternFill>
    </fill>
    <fill>
      <patternFill patternType="solid">
        <fgColor rgb="FF00FFFF"/>
        <bgColor rgb="FF00FFFF"/>
      </patternFill>
    </fill>
    <fill>
      <patternFill patternType="solid">
        <fgColor rgb="FF1E293B"/>
        <bgColor rgb="FF1E293B"/>
      </patternFill>
    </fill>
    <fill>
      <patternFill patternType="solid">
        <fgColor rgb="FF0B0F19"/>
        <bgColor rgb="FF0B0F19"/>
      </patternFill>
    </fill>
    <fill>
      <patternFill patternType="solid">
        <fgColor rgb="FF0B1F33"/>
        <bgColor indexed="64"/>
      </patternFill>
    </fill>
    <fill>
      <patternFill patternType="solid">
        <fgColor rgb="FF008C95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E4EEF2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E7F6EF"/>
        <bgColor indexed="64"/>
      </patternFill>
    </fill>
  </fills>
  <borders count="11">
    <border>
      <left/>
      <right/>
      <top/>
      <bottom/>
      <diagonal/>
    </border>
    <border>
      <left style="thin">
        <color rgb="FF4B5563"/>
      </left>
      <right style="thin">
        <color rgb="FF4B5563"/>
      </right>
      <top style="thin">
        <color rgb="FF4B5563"/>
      </top>
      <bottom style="thin">
        <color rgb="FF4B5563"/>
      </bottom>
      <diagonal/>
    </border>
    <border>
      <left/>
      <right/>
      <top/>
      <bottom style="thin">
        <color rgb="FF4B5563"/>
      </bottom>
      <diagonal/>
    </border>
    <border>
      <left style="thin">
        <color rgb="FF4B5563"/>
      </left>
      <right style="thin">
        <color rgb="FF4B5563"/>
      </right>
      <top/>
      <bottom style="thin">
        <color rgb="FF4B5563"/>
      </bottom>
      <diagonal/>
    </border>
    <border>
      <left/>
      <right/>
      <top style="thin">
        <color rgb="FF4B5563"/>
      </top>
      <bottom style="double">
        <color rgb="FF33FF33"/>
      </bottom>
      <diagonal/>
    </border>
    <border>
      <left/>
      <right/>
      <top/>
      <bottom style="medium">
        <color rgb="FF33FF33"/>
      </bottom>
      <diagonal/>
    </border>
    <border>
      <left/>
      <right/>
      <top style="thin">
        <color rgb="FF4B5563"/>
      </top>
      <bottom style="thin">
        <color rgb="FF4B5563"/>
      </bottom>
      <diagonal/>
    </border>
    <border>
      <left/>
      <right style="thin">
        <color rgb="FF4B5563"/>
      </right>
      <top style="thin">
        <color rgb="FF4B5563"/>
      </top>
      <bottom style="thin">
        <color rgb="FF4B5563"/>
      </bottom>
      <diagonal/>
    </border>
    <border>
      <left/>
      <right/>
      <top/>
      <bottom style="thin">
        <color rgb="FF4B5563"/>
      </bottom>
      <diagonal/>
    </border>
    <border>
      <left/>
      <right style="thin">
        <color rgb="FF4B5563"/>
      </right>
      <top/>
      <bottom style="thin">
        <color rgb="FF4B5563"/>
      </bottom>
      <diagonal/>
    </border>
    <border>
      <left/>
      <right/>
      <top/>
      <bottom style="thin">
        <color rgb="FF008C95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2" borderId="0" xfId="0" applyFill="1"/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right" vertical="center"/>
    </xf>
    <xf numFmtId="0" fontId="11" fillId="2" borderId="3" xfId="0" applyFont="1" applyFill="1" applyBorder="1" applyAlignment="1">
      <alignment horizontal="left" vertical="center"/>
    </xf>
    <xf numFmtId="0" fontId="15" fillId="8" borderId="3" xfId="0" applyFont="1" applyFill="1" applyBorder="1" applyAlignment="1">
      <alignment horizontal="center" vertical="center"/>
    </xf>
    <xf numFmtId="0" fontId="0" fillId="2" borderId="3" xfId="0" applyFill="1" applyBorder="1"/>
    <xf numFmtId="0" fontId="8" fillId="2" borderId="2" xfId="0" applyFont="1" applyFill="1" applyBorder="1" applyAlignment="1">
      <alignment horizontal="center"/>
    </xf>
    <xf numFmtId="2" fontId="8" fillId="2" borderId="2" xfId="0" applyNumberFormat="1" applyFont="1" applyFill="1" applyBorder="1"/>
    <xf numFmtId="10" fontId="9" fillId="2" borderId="2" xfId="0" applyNumberFormat="1" applyFont="1" applyFill="1" applyBorder="1"/>
    <xf numFmtId="10" fontId="10" fillId="2" borderId="2" xfId="0" applyNumberFormat="1" applyFont="1" applyFill="1" applyBorder="1"/>
    <xf numFmtId="165" fontId="11" fillId="2" borderId="2" xfId="0" applyNumberFormat="1" applyFont="1" applyFill="1" applyBorder="1"/>
    <xf numFmtId="0" fontId="11" fillId="6" borderId="3" xfId="0" applyFont="1" applyFill="1" applyBorder="1" applyAlignment="1">
      <alignment horizontal="left"/>
    </xf>
    <xf numFmtId="0" fontId="11" fillId="6" borderId="3" xfId="0" applyFont="1" applyFill="1" applyBorder="1" applyAlignment="1">
      <alignment horizontal="right"/>
    </xf>
    <xf numFmtId="0" fontId="8" fillId="2" borderId="3" xfId="0" applyFont="1" applyFill="1" applyBorder="1"/>
    <xf numFmtId="166" fontId="8" fillId="2" borderId="3" xfId="0" applyNumberFormat="1" applyFont="1" applyFill="1" applyBorder="1" applyAlignment="1">
      <alignment horizontal="right"/>
    </xf>
    <xf numFmtId="10" fontId="12" fillId="2" borderId="2" xfId="0" applyNumberFormat="1" applyFont="1" applyFill="1" applyBorder="1"/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/>
    <xf numFmtId="10" fontId="13" fillId="2" borderId="2" xfId="0" applyNumberFormat="1" applyFont="1" applyFill="1" applyBorder="1"/>
    <xf numFmtId="165" fontId="13" fillId="2" borderId="2" xfId="0" applyNumberFormat="1" applyFont="1" applyFill="1" applyBorder="1"/>
    <xf numFmtId="0" fontId="7" fillId="6" borderId="0" xfId="0" applyFont="1" applyFill="1"/>
    <xf numFmtId="0" fontId="7" fillId="6" borderId="0" xfId="0" applyFont="1" applyFill="1" applyAlignment="1">
      <alignment horizontal="right"/>
    </xf>
    <xf numFmtId="0" fontId="8" fillId="2" borderId="2" xfId="0" applyFont="1" applyFill="1" applyBorder="1"/>
    <xf numFmtId="164" fontId="8" fillId="2" borderId="2" xfId="0" applyNumberFormat="1" applyFont="1" applyFill="1" applyBorder="1" applyAlignment="1">
      <alignment horizontal="right"/>
    </xf>
    <xf numFmtId="10" fontId="11" fillId="2" borderId="2" xfId="0" applyNumberFormat="1" applyFont="1" applyFill="1" applyBorder="1" applyAlignment="1">
      <alignment horizontal="right"/>
    </xf>
    <xf numFmtId="0" fontId="7" fillId="2" borderId="4" xfId="0" applyFont="1" applyFill="1" applyBorder="1"/>
    <xf numFmtId="164" fontId="13" fillId="2" borderId="4" xfId="0" applyNumberFormat="1" applyFont="1" applyFill="1" applyBorder="1" applyAlignment="1">
      <alignment horizontal="right"/>
    </xf>
    <xf numFmtId="166" fontId="7" fillId="2" borderId="4" xfId="0" applyNumberFormat="1" applyFont="1" applyFill="1" applyBorder="1" applyAlignment="1">
      <alignment horizontal="right"/>
    </xf>
    <xf numFmtId="0" fontId="7" fillId="6" borderId="0" xfId="0" applyFont="1" applyFill="1" applyAlignment="1">
      <alignment horizontal="left"/>
    </xf>
    <xf numFmtId="0" fontId="11" fillId="2" borderId="2" xfId="0" applyFont="1" applyFill="1" applyBorder="1"/>
    <xf numFmtId="10" fontId="16" fillId="2" borderId="2" xfId="0" applyNumberFormat="1" applyFont="1" applyFill="1" applyBorder="1" applyAlignment="1">
      <alignment horizontal="right"/>
    </xf>
    <xf numFmtId="0" fontId="0" fillId="10" borderId="0" xfId="0" applyFill="1"/>
    <xf numFmtId="0" fontId="7" fillId="9" borderId="5" xfId="0" applyFont="1" applyFill="1" applyBorder="1" applyAlignment="1">
      <alignment horizontal="center"/>
    </xf>
    <xf numFmtId="0" fontId="7" fillId="9" borderId="5" xfId="0" applyFont="1" applyFill="1" applyBorder="1" applyAlignment="1">
      <alignment horizontal="left"/>
    </xf>
    <xf numFmtId="0" fontId="7" fillId="9" borderId="5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/>
    </xf>
    <xf numFmtId="0" fontId="8" fillId="4" borderId="2" xfId="0" applyFont="1" applyFill="1" applyBorder="1" applyAlignment="1">
      <alignment horizontal="left"/>
    </xf>
    <xf numFmtId="0" fontId="8" fillId="4" borderId="2" xfId="0" applyFont="1" applyFill="1" applyBorder="1" applyAlignment="1">
      <alignment horizontal="right"/>
    </xf>
    <xf numFmtId="164" fontId="8" fillId="4" borderId="2" xfId="0" applyNumberFormat="1" applyFont="1" applyFill="1" applyBorder="1" applyAlignment="1">
      <alignment horizontal="right"/>
    </xf>
    <xf numFmtId="0" fontId="11" fillId="4" borderId="2" xfId="0" applyFont="1" applyFill="1" applyBorder="1"/>
    <xf numFmtId="0" fontId="11" fillId="10" borderId="2" xfId="0" applyFont="1" applyFill="1" applyBorder="1" applyAlignment="1">
      <alignment horizontal="center"/>
    </xf>
    <xf numFmtId="0" fontId="8" fillId="10" borderId="2" xfId="0" applyFont="1" applyFill="1" applyBorder="1" applyAlignment="1">
      <alignment horizontal="center"/>
    </xf>
    <xf numFmtId="0" fontId="8" fillId="10" borderId="2" xfId="0" applyFont="1" applyFill="1" applyBorder="1" applyAlignment="1">
      <alignment horizontal="left"/>
    </xf>
    <xf numFmtId="0" fontId="8" fillId="10" borderId="2" xfId="0" applyFont="1" applyFill="1" applyBorder="1" applyAlignment="1">
      <alignment horizontal="right"/>
    </xf>
    <xf numFmtId="164" fontId="8" fillId="10" borderId="2" xfId="0" applyNumberFormat="1" applyFont="1" applyFill="1" applyBorder="1" applyAlignment="1">
      <alignment horizontal="right"/>
    </xf>
    <xf numFmtId="0" fontId="11" fillId="10" borderId="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6" fillId="6" borderId="0" xfId="0" applyFont="1" applyFill="1" applyAlignment="1">
      <alignment vertical="center"/>
    </xf>
    <xf numFmtId="0" fontId="0" fillId="0" borderId="0" xfId="0"/>
    <xf numFmtId="0" fontId="14" fillId="7" borderId="3" xfId="0" applyFont="1" applyFill="1" applyBorder="1" applyAlignment="1">
      <alignment vertical="center"/>
    </xf>
    <xf numFmtId="0" fontId="0" fillId="0" borderId="8" xfId="0" applyBorder="1"/>
    <xf numFmtId="0" fontId="0" fillId="0" borderId="9" xfId="0" applyBorder="1"/>
    <xf numFmtId="10" fontId="4" fillId="5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 indent="1"/>
    </xf>
    <xf numFmtId="10" fontId="3" fillId="5" borderId="1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18" fillId="10" borderId="0" xfId="0" applyFont="1" applyFill="1" applyAlignment="1">
      <alignment vertical="center"/>
    </xf>
    <xf numFmtId="0" fontId="17" fillId="10" borderId="0" xfId="0" applyFont="1" applyFill="1" applyAlignment="1">
      <alignment vertical="center" indent="1"/>
    </xf>
    <xf numFmtId="0" fontId="20" fillId="11" borderId="0" xfId="0" applyFont="1" applyFill="1" applyAlignment="1">
      <alignment vertical="center"/>
    </xf>
    <xf numFmtId="0" fontId="21" fillId="0" borderId="0" xfId="0" applyFont="1"/>
    <xf numFmtId="0" fontId="0" fillId="12" borderId="0" xfId="0" applyFill="1"/>
    <xf numFmtId="0" fontId="22" fillId="12" borderId="0" xfId="0" applyFont="1" applyFill="1" applyAlignment="1">
      <alignment vertical="center"/>
    </xf>
    <xf numFmtId="0" fontId="19" fillId="11" borderId="0" xfId="0" applyFont="1" applyFill="1" applyAlignment="1">
      <alignment horizontal="center"/>
    </xf>
    <xf numFmtId="0" fontId="23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wrapText="1"/>
    </xf>
    <xf numFmtId="0" fontId="0" fillId="13" borderId="0" xfId="0" applyFill="1"/>
    <xf numFmtId="0" fontId="0" fillId="13" borderId="0" xfId="0" applyFill="1" applyBorder="1"/>
    <xf numFmtId="0" fontId="0" fillId="13" borderId="10" xfId="0" applyFill="1" applyBorder="1"/>
    <xf numFmtId="3" fontId="25" fillId="13" borderId="0" xfId="0" applyNumberFormat="1" applyFont="1" applyFill="1" applyBorder="1"/>
    <xf numFmtId="10" fontId="25" fillId="13" borderId="0" xfId="0" applyNumberFormat="1" applyFont="1" applyFill="1" applyBorder="1"/>
    <xf numFmtId="0" fontId="26" fillId="13" borderId="10" xfId="0" applyFont="1" applyFill="1" applyBorder="1"/>
    <xf numFmtId="0" fontId="24" fillId="13" borderId="0" xfId="0" applyFont="1" applyFill="1" applyAlignment="1">
      <alignment wrapText="1"/>
    </xf>
    <xf numFmtId="0" fontId="24" fillId="14" borderId="0" xfId="0" applyFont="1" applyFill="1" applyAlignment="1">
      <alignment wrapText="1"/>
    </xf>
    <xf numFmtId="0" fontId="24" fillId="15" borderId="0" xfId="0" applyFont="1" applyFill="1" applyAlignment="1">
      <alignment wrapText="1"/>
    </xf>
    <xf numFmtId="3" fontId="0" fillId="0" borderId="0" xfId="0" applyNumberFormat="1"/>
    <xf numFmtId="166" fontId="0" fillId="0" borderId="0" xfId="0" applyNumberFormat="1"/>
    <xf numFmtId="0" fontId="21" fillId="0" borderId="0" xfId="0" applyFont="1" applyAlignment="1">
      <alignment wrapText="1"/>
    </xf>
    <xf numFmtId="0" fontId="0" fillId="0" borderId="0" xfId="0" applyAlignment="1">
      <alignment wrapText="1"/>
    </xf>
    <xf numFmtId="168" fontId="25" fillId="13" borderId="0" xfId="0" applyNumberFormat="1" applyFont="1" applyFill="1" applyBorder="1"/>
    <xf numFmtId="168" fontId="0" fillId="0" borderId="0" xfId="0" applyNumberFormat="1"/>
    <xf numFmtId="0" fontId="25" fillId="13" borderId="0" xfId="0" applyFont="1" applyFill="1"/>
    <xf numFmtId="168" fontId="25" fillId="13" borderId="0" xfId="0" applyNumberFormat="1" applyFont="1" applyFill="1"/>
    <xf numFmtId="0" fontId="26" fillId="0" borderId="0" xfId="0" applyFont="1"/>
    <xf numFmtId="0" fontId="19" fillId="12" borderId="0" xfId="0" applyFont="1" applyFill="1" applyAlignment="1">
      <alignment horizontal="center"/>
    </xf>
    <xf numFmtId="0" fontId="0" fillId="13" borderId="0" xfId="0" applyFill="1" applyAlignment="1">
      <alignment wrapText="1"/>
    </xf>
    <xf numFmtId="168" fontId="0" fillId="13" borderId="0" xfId="0" applyNumberFormat="1" applyFill="1" applyAlignment="1">
      <alignment wrapText="1"/>
    </xf>
    <xf numFmtId="168" fontId="0" fillId="0" borderId="0" xfId="0" applyNumberFormat="1" applyAlignment="1">
      <alignment wrapText="1"/>
    </xf>
    <xf numFmtId="0" fontId="0" fillId="16" borderId="0" xfId="0" applyFill="1" applyAlignment="1">
      <alignment wrapText="1"/>
    </xf>
    <xf numFmtId="0" fontId="0" fillId="17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SÉRIE TEMPORAL: INFLAÇÃO PESSOAL VS MERCADO (2022 - 2027)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'Terminal IIP'!$C$9</c:f>
              <c:strCache>
                <c:ptCount val="1"/>
                <c:pt idx="0">
                  <c:v>Seu Índice (IIP)</c:v>
                </c:pt>
              </c:strCache>
            </c:strRef>
          </c:tx>
          <c:spPr>
            <a:ln w="30000">
              <a:solidFill>
                <a:srgbClr val="FF3333"/>
              </a:solidFill>
              <a:prstDash val="solid"/>
            </a:ln>
          </c:spPr>
          <c:marker>
            <c:symbol val="none"/>
          </c:marker>
          <c:cat>
            <c:numRef>
              <c:f>'Terminal IIP'!$B$10:$B$15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</c:numCache>
            </c:numRef>
          </c:cat>
          <c:val>
            <c:numRef>
              <c:f>'Terminal IIP'!$C$10:$C$15</c:f>
              <c:numCache>
                <c:formatCode>0.00</c:formatCode>
                <c:ptCount val="6"/>
                <c:pt idx="0">
                  <c:v>100</c:v>
                </c:pt>
                <c:pt idx="1">
                  <c:v>105.44</c:v>
                </c:pt>
                <c:pt idx="2">
                  <c:v>125.69502399999999</c:v>
                </c:pt>
                <c:pt idx="3">
                  <c:v>130.45886540960001</c:v>
                </c:pt>
                <c:pt idx="4">
                  <c:v>140.24328031531999</c:v>
                </c:pt>
                <c:pt idx="5">
                  <c:v>147.25544433108601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7D4-C44F-90FE-F50602BAE49C}"/>
            </c:ext>
          </c:extLst>
        </c:ser>
        <c:ser>
          <c:idx val="1"/>
          <c:order val="1"/>
          <c:tx>
            <c:strRef>
              <c:f>'Terminal IIP'!$E$9</c:f>
              <c:strCache>
                <c:ptCount val="1"/>
                <c:pt idx="0">
                  <c:v>Índice Mercado</c:v>
                </c:pt>
              </c:strCache>
            </c:strRef>
          </c:tx>
          <c:spPr>
            <a:ln w="30000">
              <a:solidFill>
                <a:srgbClr val="FF9900"/>
              </a:solidFill>
              <a:prstDash val="solid"/>
            </a:ln>
          </c:spPr>
          <c:marker>
            <c:symbol val="none"/>
          </c:marker>
          <c:cat>
            <c:numRef>
              <c:f>'Terminal IIP'!$B$10:$B$15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</c:numCache>
            </c:numRef>
          </c:cat>
          <c:val>
            <c:numRef>
              <c:f>'Terminal IIP'!$E$10:$E$15</c:f>
              <c:numCache>
                <c:formatCode>0.00</c:formatCode>
                <c:ptCount val="6"/>
                <c:pt idx="0">
                  <c:v>100</c:v>
                </c:pt>
                <c:pt idx="1">
                  <c:v>110.89</c:v>
                </c:pt>
                <c:pt idx="2">
                  <c:v>123.908486</c:v>
                </c:pt>
                <c:pt idx="3">
                  <c:v>126.43621911439999</c:v>
                </c:pt>
                <c:pt idx="4">
                  <c:v>128.24425704773591</c:v>
                </c:pt>
                <c:pt idx="5">
                  <c:v>132.73280604440666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7D4-C44F-90FE-F50602BAE4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Ano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Índice (Base 2022 = 100)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Gasto anual registrado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e Tendências'!$B$10</c:f>
              <c:strCache>
                <c:ptCount val="1"/>
                <c:pt idx="0">
                  <c:v>Gasto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R$&quot;\ 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'Insights e Tendências'!$A$11:$A$15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'Insights e Tendências'!$B$11:$B$15</c:f>
              <c:numCache>
                <c:formatCode>"R$"\ #,##0.00</c:formatCode>
                <c:ptCount val="5"/>
                <c:pt idx="0">
                  <c:v>14607.382318999989</c:v>
                </c:pt>
                <c:pt idx="1">
                  <c:v>12056.929999999986</c:v>
                </c:pt>
                <c:pt idx="2">
                  <c:v>15061.209999999928</c:v>
                </c:pt>
                <c:pt idx="3">
                  <c:v>27636.635000000639</c:v>
                </c:pt>
                <c:pt idx="4">
                  <c:v>10382.415285999958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DC-8548-8D41-002DE33BE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62837824"/>
        <c:axId val="1762839168"/>
      </c:barChart>
      <c:catAx>
        <c:axId val="1762837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R"/>
          </a:p>
        </c:txPr>
        <c:crossAx val="1762839168"/>
        <c:crosses val="autoZero"/>
        <c:auto val="1"/>
        <c:lblAlgn val="ctr"/>
        <c:lblOffset val="100"/>
        <c:noMultiLvlLbl val="0"/>
      </c:catAx>
      <c:valAx>
        <c:axId val="176283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Gasto (R$)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R"/>
            </a:p>
          </c:txPr>
        </c:title>
        <c:numFmt formatCode="&quot;R$&quot;\ 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R"/>
          </a:p>
        </c:txPr>
        <c:crossAx val="1762837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Gasto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e Tendências'!$B$24</c:f>
              <c:strCache>
                <c:ptCount val="1"/>
                <c:pt idx="0">
                  <c:v>Gasto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R$&quot;\ #.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e Tendências'!$A$25:$A$29</c:f>
              <c:strCache>
                <c:ptCount val="5"/>
                <c:pt idx="0">
                  <c:v>Alimentação e Bebidas</c:v>
                </c:pt>
                <c:pt idx="1">
                  <c:v>Transporte e Automotivo</c:v>
                </c:pt>
                <c:pt idx="2">
                  <c:v>Saúde e Cuidados Pessoais</c:v>
                </c:pt>
                <c:pt idx="3">
                  <c:v>Serviços e Entregas</c:v>
                </c:pt>
                <c:pt idx="4">
                  <c:v>Habitação e Construção</c:v>
                </c:pt>
              </c:strCache>
            </c:strRef>
          </c:cat>
          <c:val>
            <c:numRef>
              <c:f>'Insights e Tendências'!$B$25:$B$29</c:f>
              <c:numCache>
                <c:formatCode>"R$"\ #,##0.00</c:formatCode>
                <c:ptCount val="5"/>
                <c:pt idx="0">
                  <c:v>68656.567604999014</c:v>
                </c:pt>
                <c:pt idx="1">
                  <c:v>4572.3899999999958</c:v>
                </c:pt>
                <c:pt idx="2">
                  <c:v>3808.049999999992</c:v>
                </c:pt>
                <c:pt idx="3">
                  <c:v>1647.48</c:v>
                </c:pt>
                <c:pt idx="4">
                  <c:v>1060.0849999999998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F-A043-9B72-BEF62F0EA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45071936"/>
        <c:axId val="1745063872"/>
      </c:barChart>
      <c:catAx>
        <c:axId val="17450719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R"/>
          </a:p>
        </c:txPr>
        <c:crossAx val="1745063872"/>
        <c:crosses val="autoZero"/>
        <c:auto val="1"/>
        <c:lblAlgn val="ctr"/>
        <c:lblOffset val="100"/>
        <c:noMultiLvlLbl val="0"/>
      </c:catAx>
      <c:valAx>
        <c:axId val="1745063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Gasto (R$)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R"/>
            </a:p>
          </c:txPr>
        </c:title>
        <c:numFmt formatCode="&quot;R$&quot;\ 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R"/>
          </a:p>
        </c:txPr>
        <c:crossAx val="1745071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35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9</xdr:row>
      <xdr:rowOff>0</xdr:rowOff>
    </xdr:from>
    <xdr:to>
      <xdr:col>12</xdr:col>
      <xdr:colOff>0</xdr:colOff>
      <xdr:row>21</xdr:row>
      <xdr:rowOff>0</xdr:rowOff>
    </xdr:to>
    <xdr:graphicFrame macro="">
      <xdr:nvGraphicFramePr>
        <xdr:cNvPr id="2" name="Gasto Anual">
          <a:extLst>
            <a:ext uri="{FF2B5EF4-FFF2-40B4-BE49-F238E27FC236}">
              <a16:creationId xmlns:a16="http://schemas.microsoft.com/office/drawing/2014/main" id="{DCC758E6-BE2C-9AED-CB3D-52AF949258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23</xdr:row>
      <xdr:rowOff>0</xdr:rowOff>
    </xdr:from>
    <xdr:to>
      <xdr:col>12</xdr:col>
      <xdr:colOff>0</xdr:colOff>
      <xdr:row>39</xdr:row>
      <xdr:rowOff>0</xdr:rowOff>
    </xdr:to>
    <xdr:graphicFrame macro="">
      <xdr:nvGraphicFramePr>
        <xdr:cNvPr id="3" name="Gasto por Categoria">
          <a:extLst>
            <a:ext uri="{FF2B5EF4-FFF2-40B4-BE49-F238E27FC236}">
              <a16:creationId xmlns:a16="http://schemas.microsoft.com/office/drawing/2014/main" id="{6ED7B0E0-1151-8594-FDF7-EB24925A6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showGridLines="0" workbookViewId="0">
      <pane xSplit="1" ySplit="9" topLeftCell="B10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10" customWidth="1"/>
    <col min="3" max="3" width="20" customWidth="1"/>
    <col min="4" max="4" width="22" customWidth="1"/>
    <col min="5" max="5" width="18" customWidth="1"/>
    <col min="6" max="6" width="24" customWidth="1"/>
    <col min="7" max="7" width="18" customWidth="1"/>
    <col min="8" max="8" width="42" customWidth="1"/>
    <col min="9" max="9" width="24" customWidth="1"/>
    <col min="10" max="10" width="16" customWidth="1"/>
    <col min="11" max="14" width="12" customWidth="1"/>
  </cols>
  <sheetData>
    <row r="1" spans="1:14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9" x14ac:dyDescent="0.2">
      <c r="A2" s="1"/>
      <c r="B2" s="57" t="s">
        <v>0</v>
      </c>
      <c r="C2" s="52"/>
      <c r="D2" s="52"/>
      <c r="E2" s="52"/>
      <c r="F2" s="52"/>
      <c r="G2" s="52"/>
      <c r="H2" s="52"/>
      <c r="I2" s="52"/>
      <c r="J2" s="52"/>
      <c r="K2" s="52"/>
      <c r="L2" s="1"/>
      <c r="M2" s="1"/>
      <c r="N2" s="1"/>
    </row>
    <row r="3" spans="1:14" x14ac:dyDescent="0.2">
      <c r="A3" s="1"/>
      <c r="B3" s="59" t="s">
        <v>1</v>
      </c>
      <c r="C3" s="52"/>
      <c r="D3" s="52"/>
      <c r="E3" s="52"/>
      <c r="F3" s="52"/>
      <c r="G3" s="52"/>
      <c r="H3" s="52"/>
      <c r="I3" s="52"/>
      <c r="J3" s="52"/>
      <c r="K3" s="52"/>
      <c r="L3" s="1"/>
      <c r="M3" s="1"/>
      <c r="N3" s="1"/>
    </row>
    <row r="4" spans="1:14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x14ac:dyDescent="0.2">
      <c r="A5" s="1"/>
      <c r="B5" s="48" t="s">
        <v>2</v>
      </c>
      <c r="C5" s="49"/>
      <c r="D5" s="50"/>
      <c r="E5" s="48" t="s">
        <v>3</v>
      </c>
      <c r="F5" s="49"/>
      <c r="G5" s="50"/>
      <c r="H5" s="48" t="s">
        <v>4</v>
      </c>
      <c r="I5" s="49"/>
      <c r="J5" s="50"/>
      <c r="K5" s="1"/>
      <c r="L5" s="1"/>
      <c r="M5" s="1"/>
      <c r="N5" s="1"/>
    </row>
    <row r="6" spans="1:14" ht="28" x14ac:dyDescent="0.2">
      <c r="A6" s="1"/>
      <c r="B6" s="58">
        <f>(C14-100)/100</f>
        <v>0.4024328031531999</v>
      </c>
      <c r="C6" s="49"/>
      <c r="D6" s="50"/>
      <c r="E6" s="56">
        <f>(E14-100)/100</f>
        <v>0.28244257047735916</v>
      </c>
      <c r="F6" s="49"/>
      <c r="G6" s="50"/>
      <c r="H6" s="60">
        <f>C24</f>
        <v>79744.572604999004</v>
      </c>
      <c r="I6" s="49"/>
      <c r="J6" s="50"/>
      <c r="K6" s="1"/>
      <c r="L6" s="1"/>
      <c r="M6" s="1"/>
      <c r="N6" s="1"/>
    </row>
    <row r="7" spans="1:14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x14ac:dyDescent="0.2">
      <c r="A8" s="1"/>
      <c r="B8" s="51" t="s">
        <v>5</v>
      </c>
      <c r="C8" s="52"/>
      <c r="D8" s="52"/>
      <c r="E8" s="52"/>
      <c r="F8" s="52"/>
      <c r="G8" s="52"/>
      <c r="H8" s="53" t="s">
        <v>6</v>
      </c>
      <c r="I8" s="54"/>
      <c r="J8" s="55"/>
      <c r="K8" s="1"/>
      <c r="L8" s="1"/>
      <c r="M8" s="1"/>
      <c r="N8" s="1"/>
    </row>
    <row r="9" spans="1:14" x14ac:dyDescent="0.2">
      <c r="A9" s="1"/>
      <c r="B9" s="2" t="s">
        <v>7</v>
      </c>
      <c r="C9" s="3" t="s">
        <v>8</v>
      </c>
      <c r="D9" s="3" t="s">
        <v>9</v>
      </c>
      <c r="E9" s="3" t="s">
        <v>10</v>
      </c>
      <c r="F9" s="3" t="s">
        <v>11</v>
      </c>
      <c r="G9" s="3" t="s">
        <v>12</v>
      </c>
      <c r="H9" s="4" t="s">
        <v>13</v>
      </c>
      <c r="I9" s="5" t="s">
        <v>14</v>
      </c>
      <c r="J9" s="6"/>
      <c r="K9" s="1"/>
      <c r="L9" s="1"/>
      <c r="M9" s="1"/>
      <c r="N9" s="1"/>
    </row>
    <row r="10" spans="1:14" x14ac:dyDescent="0.2">
      <c r="A10" s="1"/>
      <c r="B10" s="7">
        <v>2022</v>
      </c>
      <c r="C10" s="8">
        <v>100</v>
      </c>
      <c r="D10" s="9">
        <v>0</v>
      </c>
      <c r="E10" s="8">
        <v>100</v>
      </c>
      <c r="F10" s="10">
        <v>0</v>
      </c>
      <c r="G10" s="11">
        <f t="shared" ref="G10:G15" si="0">D10-F10</f>
        <v>0</v>
      </c>
      <c r="H10" s="12" t="s">
        <v>15</v>
      </c>
      <c r="I10" s="13" t="s">
        <v>16</v>
      </c>
      <c r="J10" s="13" t="s">
        <v>17</v>
      </c>
      <c r="K10" s="1"/>
      <c r="L10" s="1"/>
      <c r="M10" s="1"/>
      <c r="N10" s="1"/>
    </row>
    <row r="11" spans="1:14" x14ac:dyDescent="0.2">
      <c r="A11" s="1"/>
      <c r="B11" s="7">
        <v>2023</v>
      </c>
      <c r="C11" s="8">
        <f>C10*(1+D11)</f>
        <v>105.44</v>
      </c>
      <c r="D11" s="9">
        <v>5.4399999999999997E-2</v>
      </c>
      <c r="E11" s="8">
        <f>E10*(1+F11)</f>
        <v>110.89</v>
      </c>
      <c r="F11" s="10">
        <v>0.1089</v>
      </c>
      <c r="G11" s="11">
        <f t="shared" si="0"/>
        <v>-5.45E-2</v>
      </c>
      <c r="H11" s="14" t="s">
        <v>18</v>
      </c>
      <c r="I11" s="15">
        <v>0.02</v>
      </c>
      <c r="J11" s="15">
        <v>0.02</v>
      </c>
      <c r="K11" s="1"/>
      <c r="L11" s="1"/>
      <c r="M11" s="1"/>
      <c r="N11" s="1"/>
    </row>
    <row r="12" spans="1:14" x14ac:dyDescent="0.2">
      <c r="A12" s="1"/>
      <c r="B12" s="7">
        <v>2024</v>
      </c>
      <c r="C12" s="8">
        <f>C11*(1+D12)</f>
        <v>125.69502399999999</v>
      </c>
      <c r="D12" s="16">
        <v>0.19209999999999999</v>
      </c>
      <c r="E12" s="8">
        <f>E11*(1+F12)</f>
        <v>123.908486</v>
      </c>
      <c r="F12" s="10">
        <v>0.1174</v>
      </c>
      <c r="G12" s="11">
        <f t="shared" si="0"/>
        <v>7.4699999999999989E-2</v>
      </c>
      <c r="H12" s="14" t="s">
        <v>14</v>
      </c>
      <c r="I12" s="15">
        <v>0.05</v>
      </c>
      <c r="J12" s="15">
        <v>3.5000000000000003E-2</v>
      </c>
      <c r="K12" s="1"/>
      <c r="L12" s="1"/>
      <c r="M12" s="1"/>
      <c r="N12" s="1"/>
    </row>
    <row r="13" spans="1:14" x14ac:dyDescent="0.2">
      <c r="A13" s="1"/>
      <c r="B13" s="7">
        <v>2025</v>
      </c>
      <c r="C13" s="8">
        <f>C12*(1+D13)</f>
        <v>130.45886540960001</v>
      </c>
      <c r="D13" s="9">
        <v>3.7900000000000003E-2</v>
      </c>
      <c r="E13" s="8">
        <f>E12*(1+F13)</f>
        <v>126.43621911439999</v>
      </c>
      <c r="F13" s="10">
        <v>2.0400000000000001E-2</v>
      </c>
      <c r="G13" s="11">
        <f t="shared" si="0"/>
        <v>1.7500000000000002E-2</v>
      </c>
      <c r="H13" s="14" t="s">
        <v>19</v>
      </c>
      <c r="I13" s="15">
        <v>0.08</v>
      </c>
      <c r="J13" s="15">
        <v>0.06</v>
      </c>
      <c r="K13" s="1"/>
      <c r="L13" s="1"/>
      <c r="M13" s="1"/>
      <c r="N13" s="1"/>
    </row>
    <row r="14" spans="1:14" x14ac:dyDescent="0.2">
      <c r="A14" s="1"/>
      <c r="B14" s="7">
        <v>2026</v>
      </c>
      <c r="C14" s="8">
        <f>C13*(1+D14)</f>
        <v>140.24328031531999</v>
      </c>
      <c r="D14" s="16">
        <v>7.4999999999999997E-2</v>
      </c>
      <c r="E14" s="8">
        <f>E13*(1+F14)</f>
        <v>128.24425704773591</v>
      </c>
      <c r="F14" s="10">
        <v>1.43E-2</v>
      </c>
      <c r="G14" s="11">
        <f t="shared" si="0"/>
        <v>6.0699999999999997E-2</v>
      </c>
      <c r="H14" s="1"/>
      <c r="I14" s="1"/>
      <c r="J14" s="1"/>
      <c r="K14" s="1"/>
      <c r="L14" s="1"/>
      <c r="M14" s="1"/>
      <c r="N14" s="1"/>
    </row>
    <row r="15" spans="1:14" x14ac:dyDescent="0.2">
      <c r="A15" s="1"/>
      <c r="B15" s="17">
        <v>2027</v>
      </c>
      <c r="C15" s="18">
        <f>C14*(1+D15)</f>
        <v>147.25544433108601</v>
      </c>
      <c r="D15" s="19">
        <f>VLOOKUP($I$9, $H$11:$J$13, 2, FALSE)</f>
        <v>0.05</v>
      </c>
      <c r="E15" s="18">
        <f>E14*(1+F15)</f>
        <v>132.73280604440666</v>
      </c>
      <c r="F15" s="19">
        <f>VLOOKUP($I$9, $H$11:$J$13, 3, FALSE)</f>
        <v>3.5000000000000003E-2</v>
      </c>
      <c r="G15" s="20">
        <f t="shared" si="0"/>
        <v>1.4999999999999999E-2</v>
      </c>
      <c r="H15" s="1"/>
      <c r="I15" s="1"/>
      <c r="J15" s="1"/>
      <c r="K15" s="1"/>
      <c r="L15" s="1"/>
      <c r="M15" s="1"/>
      <c r="N15" s="1"/>
    </row>
    <row r="16" spans="1:14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x14ac:dyDescent="0.2">
      <c r="A17" s="1"/>
      <c r="B17" s="51" t="s">
        <v>20</v>
      </c>
      <c r="C17" s="52"/>
      <c r="D17" s="52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x14ac:dyDescent="0.2">
      <c r="A18" s="1"/>
      <c r="B18" s="21" t="s">
        <v>21</v>
      </c>
      <c r="C18" s="22" t="s">
        <v>22</v>
      </c>
      <c r="D18" s="22" t="s">
        <v>23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x14ac:dyDescent="0.2">
      <c r="A19" s="1"/>
      <c r="B19" s="23" t="s">
        <v>24</v>
      </c>
      <c r="C19" s="24">
        <f>SUMIF('Registro de Compras'!$H$5:$H$4500, $B19, 'Registro de Compras'!$G$5:$G$4500)</f>
        <v>68656.567604999014</v>
      </c>
      <c r="D19" s="25">
        <f>C19/$C$24</f>
        <v>0.86095599189022542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x14ac:dyDescent="0.2">
      <c r="A20" s="1"/>
      <c r="B20" s="23" t="s">
        <v>25</v>
      </c>
      <c r="C20" s="24">
        <f>SUMIF('Registro de Compras'!$H$5:$H$4500, $B20, 'Registro de Compras'!$G$5:$G$4500)</f>
        <v>3808.049999999992</v>
      </c>
      <c r="D20" s="25">
        <f>C20/$C$24</f>
        <v>4.7753093102179019E-2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x14ac:dyDescent="0.2">
      <c r="A21" s="1"/>
      <c r="B21" s="23" t="s">
        <v>26</v>
      </c>
      <c r="C21" s="24">
        <f>SUMIF('Registro de Compras'!$H$5:$H$4500, $B21, 'Registro de Compras'!$G$5:$G$4500)</f>
        <v>1647.48</v>
      </c>
      <c r="D21" s="25">
        <f>C21/$C$24</f>
        <v>2.0659462408313456E-2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x14ac:dyDescent="0.2">
      <c r="A22" s="1"/>
      <c r="B22" s="23" t="s">
        <v>27</v>
      </c>
      <c r="C22" s="24">
        <f>SUMIF('Registro de Compras'!$H$5:$H$4500, $B22, 'Registro de Compras'!$G$5:$G$4500)</f>
        <v>1060.0849999999998</v>
      </c>
      <c r="D22" s="25">
        <f>C22/$C$24</f>
        <v>1.3293506571926194E-2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x14ac:dyDescent="0.2">
      <c r="A23" s="1"/>
      <c r="B23" s="23" t="s">
        <v>28</v>
      </c>
      <c r="C23" s="24">
        <f>SUMIF('Registro de Compras'!$H$5:$H$4500, $B23, 'Registro de Compras'!$G$5:$G$4500)</f>
        <v>4572.3899999999958</v>
      </c>
      <c r="D23" s="25">
        <f>C23/$C$24</f>
        <v>5.7337946027355889E-2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x14ac:dyDescent="0.2">
      <c r="A24" s="1"/>
      <c r="B24" s="26" t="s">
        <v>29</v>
      </c>
      <c r="C24" s="27">
        <f>SUM(C19:C23)</f>
        <v>79744.572604999004</v>
      </c>
      <c r="D24" s="28">
        <f>SUM(D19:D23)</f>
        <v>0.99999999999999989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x14ac:dyDescent="0.2">
      <c r="A26" s="1"/>
      <c r="B26" s="51" t="s">
        <v>30</v>
      </c>
      <c r="C26" s="52"/>
      <c r="D26" s="52"/>
      <c r="E26" s="52"/>
      <c r="F26" s="52"/>
      <c r="G26" s="52"/>
      <c r="H26" s="52"/>
      <c r="I26" s="52"/>
      <c r="J26" s="1"/>
      <c r="K26" s="1"/>
      <c r="L26" s="1"/>
      <c r="M26" s="1"/>
      <c r="N26" s="1"/>
    </row>
    <row r="27" spans="1:14" x14ac:dyDescent="0.2">
      <c r="A27" s="1"/>
      <c r="B27" s="29" t="s">
        <v>31</v>
      </c>
      <c r="C27" s="29" t="s">
        <v>21</v>
      </c>
      <c r="D27" s="22" t="s">
        <v>32</v>
      </c>
      <c r="E27" s="22" t="s">
        <v>33</v>
      </c>
      <c r="F27" s="22" t="s">
        <v>34</v>
      </c>
      <c r="G27" s="22" t="s">
        <v>35</v>
      </c>
      <c r="H27" s="22" t="s">
        <v>36</v>
      </c>
      <c r="I27" s="22" t="s">
        <v>37</v>
      </c>
      <c r="J27" s="1"/>
      <c r="K27" s="1"/>
      <c r="L27" s="1"/>
      <c r="M27" s="1"/>
      <c r="N27" s="1"/>
    </row>
    <row r="28" spans="1:14" x14ac:dyDescent="0.2">
      <c r="A28" s="1"/>
      <c r="B28" s="23" t="s">
        <v>38</v>
      </c>
      <c r="C28" s="30" t="s">
        <v>24</v>
      </c>
      <c r="D28" s="24">
        <v>3.99</v>
      </c>
      <c r="E28" s="24">
        <v>7.87</v>
      </c>
      <c r="F28" s="24">
        <v>5.49</v>
      </c>
      <c r="G28" s="24">
        <v>6.99</v>
      </c>
      <c r="H28" s="24">
        <v>9.99</v>
      </c>
      <c r="I28" s="31">
        <f t="shared" ref="I28:I33" si="1">(H28-D28)/D28</f>
        <v>1.5037593984962405</v>
      </c>
      <c r="J28" s="1"/>
      <c r="K28" s="1"/>
      <c r="L28" s="1"/>
      <c r="M28" s="1"/>
      <c r="N28" s="1"/>
    </row>
    <row r="29" spans="1:14" x14ac:dyDescent="0.2">
      <c r="A29" s="1"/>
      <c r="B29" s="23" t="s">
        <v>39</v>
      </c>
      <c r="C29" s="30" t="s">
        <v>24</v>
      </c>
      <c r="D29" s="24">
        <v>7.99</v>
      </c>
      <c r="E29" s="24">
        <v>8.2899999999999991</v>
      </c>
      <c r="F29" s="24">
        <v>9.99</v>
      </c>
      <c r="G29" s="24">
        <v>14.99</v>
      </c>
      <c r="H29" s="24">
        <v>14.49</v>
      </c>
      <c r="I29" s="31">
        <f t="shared" si="1"/>
        <v>0.81351689612015021</v>
      </c>
      <c r="J29" s="1"/>
      <c r="K29" s="1"/>
      <c r="L29" s="1"/>
      <c r="M29" s="1"/>
      <c r="N29" s="1"/>
    </row>
    <row r="30" spans="1:14" x14ac:dyDescent="0.2">
      <c r="A30" s="1"/>
      <c r="B30" s="23" t="s">
        <v>40</v>
      </c>
      <c r="C30" s="30" t="s">
        <v>25</v>
      </c>
      <c r="D30" s="24">
        <v>9.48</v>
      </c>
      <c r="E30" s="24">
        <v>10.89</v>
      </c>
      <c r="F30" s="24">
        <v>12.99</v>
      </c>
      <c r="G30" s="24">
        <v>14.99</v>
      </c>
      <c r="H30" s="24">
        <v>15.59</v>
      </c>
      <c r="I30" s="31">
        <f t="shared" si="1"/>
        <v>0.64451476793248941</v>
      </c>
      <c r="J30" s="1"/>
      <c r="K30" s="1"/>
      <c r="L30" s="1"/>
      <c r="M30" s="1"/>
      <c r="N30" s="1"/>
    </row>
    <row r="31" spans="1:14" x14ac:dyDescent="0.2">
      <c r="A31" s="1"/>
      <c r="B31" s="23" t="s">
        <v>41</v>
      </c>
      <c r="C31" s="30" t="s">
        <v>26</v>
      </c>
      <c r="D31" s="24">
        <v>11</v>
      </c>
      <c r="E31" s="24">
        <v>9.9</v>
      </c>
      <c r="F31" s="24">
        <v>13.5</v>
      </c>
      <c r="G31" s="24">
        <v>16</v>
      </c>
      <c r="H31" s="24">
        <v>18</v>
      </c>
      <c r="I31" s="31">
        <f t="shared" si="1"/>
        <v>0.63636363636363635</v>
      </c>
      <c r="J31" s="1"/>
      <c r="K31" s="1"/>
      <c r="L31" s="1"/>
      <c r="M31" s="1"/>
      <c r="N31" s="1"/>
    </row>
    <row r="32" spans="1:14" x14ac:dyDescent="0.2">
      <c r="A32" s="1"/>
      <c r="B32" s="23" t="s">
        <v>42</v>
      </c>
      <c r="C32" s="30" t="s">
        <v>24</v>
      </c>
      <c r="D32" s="24">
        <v>6.49</v>
      </c>
      <c r="E32" s="24">
        <v>7.35</v>
      </c>
      <c r="F32" s="24">
        <v>7.74</v>
      </c>
      <c r="G32" s="24">
        <v>9.99</v>
      </c>
      <c r="H32" s="24">
        <v>9.99</v>
      </c>
      <c r="I32" s="31">
        <f t="shared" si="1"/>
        <v>0.53929121725731899</v>
      </c>
      <c r="J32" s="1"/>
      <c r="K32" s="1"/>
      <c r="L32" s="1"/>
      <c r="M32" s="1"/>
      <c r="N32" s="1"/>
    </row>
    <row r="33" spans="1:14" x14ac:dyDescent="0.2">
      <c r="A33" s="1"/>
      <c r="B33" s="23" t="s">
        <v>43</v>
      </c>
      <c r="C33" s="30" t="s">
        <v>24</v>
      </c>
      <c r="D33" s="24">
        <v>1.95</v>
      </c>
      <c r="E33" s="24">
        <v>1.99</v>
      </c>
      <c r="F33" s="24">
        <v>2.39</v>
      </c>
      <c r="G33" s="24">
        <v>2.5499999999999998</v>
      </c>
      <c r="H33" s="24">
        <v>2.59</v>
      </c>
      <c r="I33" s="31">
        <f t="shared" si="1"/>
        <v>0.32820512820512815</v>
      </c>
      <c r="J33" s="1"/>
      <c r="K33" s="1"/>
      <c r="L33" s="1"/>
      <c r="M33" s="1"/>
      <c r="N33" s="1"/>
    </row>
    <row r="34" spans="1:14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</sheetData>
  <mergeCells count="12">
    <mergeCell ref="B2:K2"/>
    <mergeCell ref="B6:D6"/>
    <mergeCell ref="B3:K3"/>
    <mergeCell ref="H6:J6"/>
    <mergeCell ref="B5:D5"/>
    <mergeCell ref="B26:I26"/>
    <mergeCell ref="E5:G5"/>
    <mergeCell ref="H5:J5"/>
    <mergeCell ref="B8:G8"/>
    <mergeCell ref="H8:J8"/>
    <mergeCell ref="B17:D17"/>
    <mergeCell ref="E6:G6"/>
  </mergeCells>
  <dataValidations count="1">
    <dataValidation type="list" allowBlank="1" sqref="I9" xr:uid="{00000000-0002-0000-0000-000000000000}">
      <formula1>"Otimista,Conservador,Pessimista"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57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15" customWidth="1"/>
    <col min="3" max="3" width="16" customWidth="1"/>
    <col min="4" max="4" width="46" customWidth="1"/>
    <col min="5" max="5" width="12" customWidth="1"/>
    <col min="6" max="7" width="16" customWidth="1"/>
    <col min="8" max="9" width="28" customWidth="1"/>
    <col min="10" max="10" width="12" customWidth="1"/>
  </cols>
  <sheetData>
    <row r="1" spans="1:10" x14ac:dyDescent="0.2">
      <c r="A1" s="32"/>
      <c r="B1" s="32"/>
      <c r="C1" s="32"/>
      <c r="D1" s="32"/>
      <c r="E1" s="32"/>
      <c r="F1" s="32"/>
      <c r="G1" s="32"/>
      <c r="H1" s="32"/>
      <c r="I1" s="32"/>
      <c r="J1" s="32"/>
    </row>
    <row r="2" spans="1:10" ht="17" x14ac:dyDescent="0.2">
      <c r="A2" s="32"/>
      <c r="B2" s="62" t="s">
        <v>44</v>
      </c>
      <c r="C2" s="52"/>
      <c r="D2" s="52"/>
      <c r="E2" s="52"/>
      <c r="F2" s="52"/>
      <c r="G2" s="52"/>
      <c r="H2" s="52"/>
      <c r="I2" s="52"/>
      <c r="J2" s="32"/>
    </row>
    <row r="3" spans="1:10" x14ac:dyDescent="0.2">
      <c r="A3" s="32"/>
      <c r="B3" s="61" t="s">
        <v>45</v>
      </c>
      <c r="C3" s="52"/>
      <c r="D3" s="52"/>
      <c r="E3" s="52"/>
      <c r="F3" s="52"/>
      <c r="G3" s="52"/>
      <c r="H3" s="52"/>
      <c r="I3" s="52"/>
      <c r="J3" s="32"/>
    </row>
    <row r="4" spans="1:10" x14ac:dyDescent="0.2">
      <c r="A4" s="32"/>
      <c r="B4" s="33" t="s">
        <v>46</v>
      </c>
      <c r="C4" s="33" t="s">
        <v>47</v>
      </c>
      <c r="D4" s="34" t="s">
        <v>31</v>
      </c>
      <c r="E4" s="35" t="s">
        <v>48</v>
      </c>
      <c r="F4" s="35" t="s">
        <v>49</v>
      </c>
      <c r="G4" s="35" t="s">
        <v>50</v>
      </c>
      <c r="H4" s="34" t="s">
        <v>21</v>
      </c>
      <c r="I4" s="34" t="s">
        <v>51</v>
      </c>
      <c r="J4" s="32"/>
    </row>
    <row r="5" spans="1:10" x14ac:dyDescent="0.2">
      <c r="A5" s="32"/>
      <c r="B5" s="36" t="s">
        <v>52</v>
      </c>
      <c r="C5" s="37" t="s">
        <v>53</v>
      </c>
      <c r="D5" s="38" t="s">
        <v>54</v>
      </c>
      <c r="E5" s="39">
        <v>1</v>
      </c>
      <c r="F5" s="40">
        <v>4.99</v>
      </c>
      <c r="G5" s="40">
        <f t="shared" ref="G5:G68" si="0">E5*F5</f>
        <v>4.99</v>
      </c>
      <c r="H5" s="41" t="s">
        <v>26</v>
      </c>
      <c r="I5" s="41" t="s">
        <v>55</v>
      </c>
      <c r="J5" s="32"/>
    </row>
    <row r="6" spans="1:10" x14ac:dyDescent="0.2">
      <c r="A6" s="32"/>
      <c r="B6" s="42" t="s">
        <v>56</v>
      </c>
      <c r="C6" s="43" t="s">
        <v>53</v>
      </c>
      <c r="D6" s="44" t="s">
        <v>57</v>
      </c>
      <c r="E6" s="45">
        <v>1</v>
      </c>
      <c r="F6" s="46">
        <v>5.99</v>
      </c>
      <c r="G6" s="46">
        <f t="shared" si="0"/>
        <v>5.99</v>
      </c>
      <c r="H6" s="47" t="s">
        <v>24</v>
      </c>
      <c r="I6" s="47" t="s">
        <v>58</v>
      </c>
      <c r="J6" s="32"/>
    </row>
    <row r="7" spans="1:10" x14ac:dyDescent="0.2">
      <c r="A7" s="32"/>
      <c r="B7" s="36" t="s">
        <v>59</v>
      </c>
      <c r="C7" s="37" t="s">
        <v>60</v>
      </c>
      <c r="D7" s="38" t="s">
        <v>61</v>
      </c>
      <c r="E7" s="39">
        <v>1</v>
      </c>
      <c r="F7" s="40">
        <v>88</v>
      </c>
      <c r="G7" s="40">
        <f t="shared" si="0"/>
        <v>88</v>
      </c>
      <c r="H7" s="41" t="s">
        <v>24</v>
      </c>
      <c r="I7" s="41" t="s">
        <v>58</v>
      </c>
      <c r="J7" s="32"/>
    </row>
    <row r="8" spans="1:10" x14ac:dyDescent="0.2">
      <c r="A8" s="32"/>
      <c r="B8" s="42" t="s">
        <v>62</v>
      </c>
      <c r="C8" s="43" t="s">
        <v>60</v>
      </c>
      <c r="D8" s="44" t="s">
        <v>41</v>
      </c>
      <c r="E8" s="45">
        <v>1</v>
      </c>
      <c r="F8" s="46">
        <v>6.9</v>
      </c>
      <c r="G8" s="46">
        <f t="shared" si="0"/>
        <v>6.9</v>
      </c>
      <c r="H8" s="47" t="s">
        <v>26</v>
      </c>
      <c r="I8" s="47" t="s">
        <v>58</v>
      </c>
      <c r="J8" s="32"/>
    </row>
    <row r="9" spans="1:10" x14ac:dyDescent="0.2">
      <c r="A9" s="32"/>
      <c r="B9" s="36" t="s">
        <v>63</v>
      </c>
      <c r="C9" s="37" t="s">
        <v>64</v>
      </c>
      <c r="D9" s="38" t="s">
        <v>65</v>
      </c>
      <c r="E9" s="39">
        <v>1</v>
      </c>
      <c r="F9" s="40">
        <v>9.8699999999999992</v>
      </c>
      <c r="G9" s="40">
        <f t="shared" si="0"/>
        <v>9.8699999999999992</v>
      </c>
      <c r="H9" s="41" t="s">
        <v>25</v>
      </c>
      <c r="I9" s="41" t="s">
        <v>58</v>
      </c>
      <c r="J9" s="32"/>
    </row>
    <row r="10" spans="1:10" x14ac:dyDescent="0.2">
      <c r="A10" s="32"/>
      <c r="B10" s="42" t="s">
        <v>66</v>
      </c>
      <c r="C10" s="43" t="s">
        <v>64</v>
      </c>
      <c r="D10" s="44" t="s">
        <v>65</v>
      </c>
      <c r="E10" s="45">
        <v>1</v>
      </c>
      <c r="F10" s="46">
        <v>9.8699999999999992</v>
      </c>
      <c r="G10" s="46">
        <f t="shared" si="0"/>
        <v>9.8699999999999992</v>
      </c>
      <c r="H10" s="47" t="s">
        <v>25</v>
      </c>
      <c r="I10" s="47" t="s">
        <v>58</v>
      </c>
      <c r="J10" s="32"/>
    </row>
    <row r="11" spans="1:10" x14ac:dyDescent="0.2">
      <c r="A11" s="32"/>
      <c r="B11" s="36" t="s">
        <v>67</v>
      </c>
      <c r="C11" s="37" t="s">
        <v>64</v>
      </c>
      <c r="D11" s="38" t="s">
        <v>68</v>
      </c>
      <c r="E11" s="39">
        <v>1</v>
      </c>
      <c r="F11" s="40">
        <v>27.35</v>
      </c>
      <c r="G11" s="40">
        <f t="shared" si="0"/>
        <v>27.35</v>
      </c>
      <c r="H11" s="41" t="s">
        <v>25</v>
      </c>
      <c r="I11" s="41" t="s">
        <v>58</v>
      </c>
      <c r="J11" s="32"/>
    </row>
    <row r="12" spans="1:10" x14ac:dyDescent="0.2">
      <c r="A12" s="32"/>
      <c r="B12" s="42" t="s">
        <v>69</v>
      </c>
      <c r="C12" s="43" t="s">
        <v>64</v>
      </c>
      <c r="D12" s="44" t="s">
        <v>70</v>
      </c>
      <c r="E12" s="45">
        <v>1</v>
      </c>
      <c r="F12" s="46">
        <v>27.28</v>
      </c>
      <c r="G12" s="46">
        <f t="shared" si="0"/>
        <v>27.28</v>
      </c>
      <c r="H12" s="47" t="s">
        <v>24</v>
      </c>
      <c r="I12" s="47" t="s">
        <v>71</v>
      </c>
      <c r="J12" s="32"/>
    </row>
    <row r="13" spans="1:10" x14ac:dyDescent="0.2">
      <c r="A13" s="32"/>
      <c r="B13" s="36" t="s">
        <v>72</v>
      </c>
      <c r="C13" s="37" t="s">
        <v>73</v>
      </c>
      <c r="D13" s="38" t="s">
        <v>74</v>
      </c>
      <c r="E13" s="39">
        <v>1</v>
      </c>
      <c r="F13" s="40">
        <v>52.68</v>
      </c>
      <c r="G13" s="40">
        <f t="shared" si="0"/>
        <v>52.68</v>
      </c>
      <c r="H13" s="41" t="s">
        <v>24</v>
      </c>
      <c r="I13" s="41" t="s">
        <v>58</v>
      </c>
      <c r="J13" s="32"/>
    </row>
    <row r="14" spans="1:10" x14ac:dyDescent="0.2">
      <c r="A14" s="32"/>
      <c r="B14" s="42" t="s">
        <v>75</v>
      </c>
      <c r="C14" s="43" t="s">
        <v>73</v>
      </c>
      <c r="D14" s="44" t="s">
        <v>76</v>
      </c>
      <c r="E14" s="45">
        <v>1</v>
      </c>
      <c r="F14" s="46">
        <v>6.19</v>
      </c>
      <c r="G14" s="46">
        <f t="shared" si="0"/>
        <v>6.19</v>
      </c>
      <c r="H14" s="47" t="s">
        <v>24</v>
      </c>
      <c r="I14" s="47" t="s">
        <v>58</v>
      </c>
      <c r="J14" s="32"/>
    </row>
    <row r="15" spans="1:10" x14ac:dyDescent="0.2">
      <c r="A15" s="32"/>
      <c r="B15" s="36" t="s">
        <v>77</v>
      </c>
      <c r="C15" s="37" t="s">
        <v>73</v>
      </c>
      <c r="D15" s="38" t="s">
        <v>38</v>
      </c>
      <c r="E15" s="39">
        <v>1</v>
      </c>
      <c r="F15" s="40">
        <v>7.49</v>
      </c>
      <c r="G15" s="40">
        <f t="shared" si="0"/>
        <v>7.49</v>
      </c>
      <c r="H15" s="41" t="s">
        <v>24</v>
      </c>
      <c r="I15" s="41" t="s">
        <v>58</v>
      </c>
      <c r="J15" s="32"/>
    </row>
    <row r="16" spans="1:10" x14ac:dyDescent="0.2">
      <c r="A16" s="32"/>
      <c r="B16" s="42" t="s">
        <v>78</v>
      </c>
      <c r="C16" s="43" t="s">
        <v>73</v>
      </c>
      <c r="D16" s="44" t="s">
        <v>79</v>
      </c>
      <c r="E16" s="45">
        <v>1</v>
      </c>
      <c r="F16" s="46">
        <v>2.39</v>
      </c>
      <c r="G16" s="46">
        <f t="shared" si="0"/>
        <v>2.39</v>
      </c>
      <c r="H16" s="47" t="s">
        <v>24</v>
      </c>
      <c r="I16" s="47" t="s">
        <v>58</v>
      </c>
      <c r="J16" s="32"/>
    </row>
    <row r="17" spans="1:10" x14ac:dyDescent="0.2">
      <c r="A17" s="32"/>
      <c r="B17" s="36" t="s">
        <v>80</v>
      </c>
      <c r="C17" s="37" t="s">
        <v>73</v>
      </c>
      <c r="D17" s="38" t="s">
        <v>81</v>
      </c>
      <c r="E17" s="39">
        <v>1</v>
      </c>
      <c r="F17" s="40">
        <v>3.49</v>
      </c>
      <c r="G17" s="40">
        <f t="shared" si="0"/>
        <v>3.49</v>
      </c>
      <c r="H17" s="41" t="s">
        <v>24</v>
      </c>
      <c r="I17" s="41" t="s">
        <v>58</v>
      </c>
      <c r="J17" s="32"/>
    </row>
    <row r="18" spans="1:10" x14ac:dyDescent="0.2">
      <c r="A18" s="32"/>
      <c r="B18" s="42" t="s">
        <v>82</v>
      </c>
      <c r="C18" s="43" t="s">
        <v>73</v>
      </c>
      <c r="D18" s="44" t="s">
        <v>83</v>
      </c>
      <c r="E18" s="45">
        <v>1</v>
      </c>
      <c r="F18" s="46">
        <v>9.99</v>
      </c>
      <c r="G18" s="46">
        <f t="shared" si="0"/>
        <v>9.99</v>
      </c>
      <c r="H18" s="47" t="s">
        <v>24</v>
      </c>
      <c r="I18" s="47" t="s">
        <v>58</v>
      </c>
      <c r="J18" s="32"/>
    </row>
    <row r="19" spans="1:10" x14ac:dyDescent="0.2">
      <c r="A19" s="32"/>
      <c r="B19" s="36" t="s">
        <v>84</v>
      </c>
      <c r="C19" s="37" t="s">
        <v>73</v>
      </c>
      <c r="D19" s="38" t="s">
        <v>85</v>
      </c>
      <c r="E19" s="39">
        <v>1</v>
      </c>
      <c r="F19" s="40">
        <v>16.98</v>
      </c>
      <c r="G19" s="40">
        <f t="shared" si="0"/>
        <v>16.98</v>
      </c>
      <c r="H19" s="41" t="s">
        <v>24</v>
      </c>
      <c r="I19" s="41" t="s">
        <v>58</v>
      </c>
      <c r="J19" s="32"/>
    </row>
    <row r="20" spans="1:10" x14ac:dyDescent="0.2">
      <c r="A20" s="32"/>
      <c r="B20" s="42" t="s">
        <v>86</v>
      </c>
      <c r="C20" s="43" t="s">
        <v>73</v>
      </c>
      <c r="D20" s="44" t="s">
        <v>83</v>
      </c>
      <c r="E20" s="45">
        <v>1</v>
      </c>
      <c r="F20" s="46">
        <v>9.99</v>
      </c>
      <c r="G20" s="46">
        <f t="shared" si="0"/>
        <v>9.99</v>
      </c>
      <c r="H20" s="47" t="s">
        <v>24</v>
      </c>
      <c r="I20" s="47" t="s">
        <v>58</v>
      </c>
      <c r="J20" s="32"/>
    </row>
    <row r="21" spans="1:10" x14ac:dyDescent="0.2">
      <c r="A21" s="32"/>
      <c r="B21" s="36" t="s">
        <v>87</v>
      </c>
      <c r="C21" s="37" t="s">
        <v>73</v>
      </c>
      <c r="D21" s="38" t="s">
        <v>88</v>
      </c>
      <c r="E21" s="39">
        <v>1</v>
      </c>
      <c r="F21" s="40">
        <v>21.48</v>
      </c>
      <c r="G21" s="40">
        <f t="shared" si="0"/>
        <v>21.48</v>
      </c>
      <c r="H21" s="41" t="s">
        <v>24</v>
      </c>
      <c r="I21" s="41" t="s">
        <v>58</v>
      </c>
      <c r="J21" s="32"/>
    </row>
    <row r="22" spans="1:10" x14ac:dyDescent="0.2">
      <c r="A22" s="32"/>
      <c r="B22" s="42" t="s">
        <v>89</v>
      </c>
      <c r="C22" s="43" t="s">
        <v>73</v>
      </c>
      <c r="D22" s="44" t="s">
        <v>90</v>
      </c>
      <c r="E22" s="45">
        <v>1</v>
      </c>
      <c r="F22" s="46">
        <v>12.63</v>
      </c>
      <c r="G22" s="46">
        <f t="shared" si="0"/>
        <v>12.63</v>
      </c>
      <c r="H22" s="47" t="s">
        <v>24</v>
      </c>
      <c r="I22" s="47" t="s">
        <v>58</v>
      </c>
      <c r="J22" s="32"/>
    </row>
    <row r="23" spans="1:10" x14ac:dyDescent="0.2">
      <c r="A23" s="32"/>
      <c r="B23" s="36" t="s">
        <v>91</v>
      </c>
      <c r="C23" s="37" t="s">
        <v>73</v>
      </c>
      <c r="D23" s="38" t="s">
        <v>90</v>
      </c>
      <c r="E23" s="39">
        <v>1</v>
      </c>
      <c r="F23" s="40">
        <v>12.63</v>
      </c>
      <c r="G23" s="40">
        <f t="shared" si="0"/>
        <v>12.63</v>
      </c>
      <c r="H23" s="41" t="s">
        <v>24</v>
      </c>
      <c r="I23" s="41" t="s">
        <v>58</v>
      </c>
      <c r="J23" s="32"/>
    </row>
    <row r="24" spans="1:10" x14ac:dyDescent="0.2">
      <c r="A24" s="32"/>
      <c r="B24" s="42" t="s">
        <v>92</v>
      </c>
      <c r="C24" s="43" t="s">
        <v>73</v>
      </c>
      <c r="D24" s="44" t="s">
        <v>83</v>
      </c>
      <c r="E24" s="45">
        <v>1</v>
      </c>
      <c r="F24" s="46">
        <v>9.99</v>
      </c>
      <c r="G24" s="46">
        <f t="shared" si="0"/>
        <v>9.99</v>
      </c>
      <c r="H24" s="47" t="s">
        <v>24</v>
      </c>
      <c r="I24" s="47" t="s">
        <v>58</v>
      </c>
      <c r="J24" s="32"/>
    </row>
    <row r="25" spans="1:10" x14ac:dyDescent="0.2">
      <c r="A25" s="32"/>
      <c r="B25" s="36" t="s">
        <v>93</v>
      </c>
      <c r="C25" s="37" t="s">
        <v>73</v>
      </c>
      <c r="D25" s="38" t="s">
        <v>42</v>
      </c>
      <c r="E25" s="39">
        <v>1</v>
      </c>
      <c r="F25" s="40">
        <v>5.64</v>
      </c>
      <c r="G25" s="40">
        <f t="shared" si="0"/>
        <v>5.64</v>
      </c>
      <c r="H25" s="41" t="s">
        <v>24</v>
      </c>
      <c r="I25" s="41" t="s">
        <v>58</v>
      </c>
      <c r="J25" s="32"/>
    </row>
    <row r="26" spans="1:10" x14ac:dyDescent="0.2">
      <c r="A26" s="32"/>
      <c r="B26" s="42" t="s">
        <v>94</v>
      </c>
      <c r="C26" s="43" t="s">
        <v>73</v>
      </c>
      <c r="D26" s="44" t="s">
        <v>95</v>
      </c>
      <c r="E26" s="45">
        <v>1</v>
      </c>
      <c r="F26" s="46">
        <v>3.69</v>
      </c>
      <c r="G26" s="46">
        <f t="shared" si="0"/>
        <v>3.69</v>
      </c>
      <c r="H26" s="47" t="s">
        <v>24</v>
      </c>
      <c r="I26" s="47" t="s">
        <v>58</v>
      </c>
      <c r="J26" s="32"/>
    </row>
    <row r="27" spans="1:10" x14ac:dyDescent="0.2">
      <c r="A27" s="32"/>
      <c r="B27" s="36" t="s">
        <v>96</v>
      </c>
      <c r="C27" s="37" t="s">
        <v>73</v>
      </c>
      <c r="D27" s="38" t="s">
        <v>97</v>
      </c>
      <c r="E27" s="39">
        <v>1</v>
      </c>
      <c r="F27" s="40">
        <v>41.4</v>
      </c>
      <c r="G27" s="40">
        <f t="shared" si="0"/>
        <v>41.4</v>
      </c>
      <c r="H27" s="41" t="s">
        <v>24</v>
      </c>
      <c r="I27" s="41" t="s">
        <v>58</v>
      </c>
      <c r="J27" s="32"/>
    </row>
    <row r="28" spans="1:10" x14ac:dyDescent="0.2">
      <c r="A28" s="32"/>
      <c r="B28" s="42" t="s">
        <v>98</v>
      </c>
      <c r="C28" s="43" t="s">
        <v>73</v>
      </c>
      <c r="D28" s="44" t="s">
        <v>99</v>
      </c>
      <c r="E28" s="45">
        <v>1</v>
      </c>
      <c r="F28" s="46">
        <v>67.53</v>
      </c>
      <c r="G28" s="46">
        <f t="shared" si="0"/>
        <v>67.53</v>
      </c>
      <c r="H28" s="47" t="s">
        <v>24</v>
      </c>
      <c r="I28" s="47" t="s">
        <v>58</v>
      </c>
      <c r="J28" s="32"/>
    </row>
    <row r="29" spans="1:10" x14ac:dyDescent="0.2">
      <c r="A29" s="32"/>
      <c r="B29" s="36" t="s">
        <v>100</v>
      </c>
      <c r="C29" s="37" t="s">
        <v>73</v>
      </c>
      <c r="D29" s="38" t="s">
        <v>101</v>
      </c>
      <c r="E29" s="39">
        <v>1</v>
      </c>
      <c r="F29" s="40">
        <v>71.900000000000006</v>
      </c>
      <c r="G29" s="40">
        <f t="shared" si="0"/>
        <v>71.900000000000006</v>
      </c>
      <c r="H29" s="41" t="s">
        <v>24</v>
      </c>
      <c r="I29" s="41" t="s">
        <v>58</v>
      </c>
      <c r="J29" s="32"/>
    </row>
    <row r="30" spans="1:10" x14ac:dyDescent="0.2">
      <c r="A30" s="32"/>
      <c r="B30" s="42" t="s">
        <v>102</v>
      </c>
      <c r="C30" s="43" t="s">
        <v>73</v>
      </c>
      <c r="D30" s="44" t="s">
        <v>103</v>
      </c>
      <c r="E30" s="45">
        <v>1</v>
      </c>
      <c r="F30" s="46">
        <v>29.98</v>
      </c>
      <c r="G30" s="46">
        <f t="shared" si="0"/>
        <v>29.98</v>
      </c>
      <c r="H30" s="47" t="s">
        <v>24</v>
      </c>
      <c r="I30" s="47" t="s">
        <v>58</v>
      </c>
      <c r="J30" s="32"/>
    </row>
    <row r="31" spans="1:10" x14ac:dyDescent="0.2">
      <c r="A31" s="32"/>
      <c r="B31" s="36" t="s">
        <v>104</v>
      </c>
      <c r="C31" s="37" t="s">
        <v>73</v>
      </c>
      <c r="D31" s="38" t="s">
        <v>105</v>
      </c>
      <c r="E31" s="39">
        <v>1</v>
      </c>
      <c r="F31" s="40">
        <v>98.9</v>
      </c>
      <c r="G31" s="40">
        <f t="shared" si="0"/>
        <v>98.9</v>
      </c>
      <c r="H31" s="41" t="s">
        <v>24</v>
      </c>
      <c r="I31" s="41" t="s">
        <v>58</v>
      </c>
      <c r="J31" s="32"/>
    </row>
    <row r="32" spans="1:10" x14ac:dyDescent="0.2">
      <c r="A32" s="32"/>
      <c r="B32" s="42" t="s">
        <v>106</v>
      </c>
      <c r="C32" s="43" t="s">
        <v>73</v>
      </c>
      <c r="D32" s="44" t="s">
        <v>107</v>
      </c>
      <c r="E32" s="45">
        <v>1</v>
      </c>
      <c r="F32" s="46">
        <v>17.989999999999998</v>
      </c>
      <c r="G32" s="46">
        <f t="shared" si="0"/>
        <v>17.989999999999998</v>
      </c>
      <c r="H32" s="47" t="s">
        <v>24</v>
      </c>
      <c r="I32" s="47" t="s">
        <v>58</v>
      </c>
      <c r="J32" s="32"/>
    </row>
    <row r="33" spans="1:10" x14ac:dyDescent="0.2">
      <c r="A33" s="32"/>
      <c r="B33" s="36" t="s">
        <v>108</v>
      </c>
      <c r="C33" s="37" t="s">
        <v>73</v>
      </c>
      <c r="D33" s="38" t="s">
        <v>109</v>
      </c>
      <c r="E33" s="39">
        <v>1</v>
      </c>
      <c r="F33" s="40">
        <v>22.39</v>
      </c>
      <c r="G33" s="40">
        <f t="shared" si="0"/>
        <v>22.39</v>
      </c>
      <c r="H33" s="41" t="s">
        <v>24</v>
      </c>
      <c r="I33" s="41" t="s">
        <v>58</v>
      </c>
      <c r="J33" s="32"/>
    </row>
    <row r="34" spans="1:10" x14ac:dyDescent="0.2">
      <c r="A34" s="32"/>
      <c r="B34" s="42" t="s">
        <v>110</v>
      </c>
      <c r="C34" s="43" t="s">
        <v>73</v>
      </c>
      <c r="D34" s="44" t="s">
        <v>111</v>
      </c>
      <c r="E34" s="45">
        <v>1</v>
      </c>
      <c r="F34" s="46">
        <v>10.99</v>
      </c>
      <c r="G34" s="46">
        <f t="shared" si="0"/>
        <v>10.99</v>
      </c>
      <c r="H34" s="47" t="s">
        <v>24</v>
      </c>
      <c r="I34" s="47" t="s">
        <v>58</v>
      </c>
      <c r="J34" s="32"/>
    </row>
    <row r="35" spans="1:10" x14ac:dyDescent="0.2">
      <c r="A35" s="32"/>
      <c r="B35" s="36" t="s">
        <v>112</v>
      </c>
      <c r="C35" s="37" t="s">
        <v>73</v>
      </c>
      <c r="D35" s="38" t="s">
        <v>113</v>
      </c>
      <c r="E35" s="39">
        <v>1</v>
      </c>
      <c r="F35" s="40">
        <v>8.68</v>
      </c>
      <c r="G35" s="40">
        <f t="shared" si="0"/>
        <v>8.68</v>
      </c>
      <c r="H35" s="41" t="s">
        <v>24</v>
      </c>
      <c r="I35" s="41" t="s">
        <v>58</v>
      </c>
      <c r="J35" s="32"/>
    </row>
    <row r="36" spans="1:10" x14ac:dyDescent="0.2">
      <c r="A36" s="32"/>
      <c r="B36" s="42" t="s">
        <v>114</v>
      </c>
      <c r="C36" s="43" t="s">
        <v>73</v>
      </c>
      <c r="D36" s="44" t="s">
        <v>113</v>
      </c>
      <c r="E36" s="45">
        <v>1</v>
      </c>
      <c r="F36" s="46">
        <v>8.68</v>
      </c>
      <c r="G36" s="46">
        <f t="shared" si="0"/>
        <v>8.68</v>
      </c>
      <c r="H36" s="47" t="s">
        <v>24</v>
      </c>
      <c r="I36" s="47" t="s">
        <v>58</v>
      </c>
      <c r="J36" s="32"/>
    </row>
    <row r="37" spans="1:10" x14ac:dyDescent="0.2">
      <c r="A37" s="32"/>
      <c r="B37" s="36" t="s">
        <v>115</v>
      </c>
      <c r="C37" s="37" t="s">
        <v>73</v>
      </c>
      <c r="D37" s="38" t="s">
        <v>116</v>
      </c>
      <c r="E37" s="39">
        <v>1</v>
      </c>
      <c r="F37" s="40">
        <v>15.03</v>
      </c>
      <c r="G37" s="40">
        <f t="shared" si="0"/>
        <v>15.03</v>
      </c>
      <c r="H37" s="41" t="s">
        <v>24</v>
      </c>
      <c r="I37" s="41" t="s">
        <v>58</v>
      </c>
      <c r="J37" s="32"/>
    </row>
    <row r="38" spans="1:10" x14ac:dyDescent="0.2">
      <c r="A38" s="32"/>
      <c r="B38" s="42" t="s">
        <v>117</v>
      </c>
      <c r="C38" s="43" t="s">
        <v>73</v>
      </c>
      <c r="D38" s="44" t="s">
        <v>118</v>
      </c>
      <c r="E38" s="45">
        <v>1</v>
      </c>
      <c r="F38" s="46">
        <v>8.64</v>
      </c>
      <c r="G38" s="46">
        <f t="shared" si="0"/>
        <v>8.64</v>
      </c>
      <c r="H38" s="47" t="s">
        <v>24</v>
      </c>
      <c r="I38" s="47" t="s">
        <v>58</v>
      </c>
      <c r="J38" s="32"/>
    </row>
    <row r="39" spans="1:10" x14ac:dyDescent="0.2">
      <c r="A39" s="32"/>
      <c r="B39" s="36" t="s">
        <v>119</v>
      </c>
      <c r="C39" s="37" t="s">
        <v>73</v>
      </c>
      <c r="D39" s="38" t="s">
        <v>118</v>
      </c>
      <c r="E39" s="39">
        <v>1</v>
      </c>
      <c r="F39" s="40">
        <v>8.64</v>
      </c>
      <c r="G39" s="40">
        <f t="shared" si="0"/>
        <v>8.64</v>
      </c>
      <c r="H39" s="41" t="s">
        <v>24</v>
      </c>
      <c r="I39" s="41" t="s">
        <v>58</v>
      </c>
      <c r="J39" s="32"/>
    </row>
    <row r="40" spans="1:10" x14ac:dyDescent="0.2">
      <c r="A40" s="32"/>
      <c r="B40" s="42" t="s">
        <v>120</v>
      </c>
      <c r="C40" s="43" t="s">
        <v>73</v>
      </c>
      <c r="D40" s="44" t="s">
        <v>121</v>
      </c>
      <c r="E40" s="45">
        <v>1</v>
      </c>
      <c r="F40" s="46">
        <v>19.98</v>
      </c>
      <c r="G40" s="46">
        <f t="shared" si="0"/>
        <v>19.98</v>
      </c>
      <c r="H40" s="47" t="s">
        <v>24</v>
      </c>
      <c r="I40" s="47" t="s">
        <v>58</v>
      </c>
      <c r="J40" s="32"/>
    </row>
    <row r="41" spans="1:10" x14ac:dyDescent="0.2">
      <c r="A41" s="32"/>
      <c r="B41" s="36" t="s">
        <v>122</v>
      </c>
      <c r="C41" s="37" t="s">
        <v>73</v>
      </c>
      <c r="D41" s="38" t="s">
        <v>123</v>
      </c>
      <c r="E41" s="39">
        <v>1</v>
      </c>
      <c r="F41" s="40">
        <v>3.21</v>
      </c>
      <c r="G41" s="40">
        <f t="shared" si="0"/>
        <v>3.21</v>
      </c>
      <c r="H41" s="41" t="s">
        <v>24</v>
      </c>
      <c r="I41" s="41" t="s">
        <v>58</v>
      </c>
      <c r="J41" s="32"/>
    </row>
    <row r="42" spans="1:10" x14ac:dyDescent="0.2">
      <c r="A42" s="32"/>
      <c r="B42" s="42" t="s">
        <v>124</v>
      </c>
      <c r="C42" s="43" t="s">
        <v>73</v>
      </c>
      <c r="D42" s="44" t="s">
        <v>125</v>
      </c>
      <c r="E42" s="45">
        <v>1</v>
      </c>
      <c r="F42" s="46">
        <v>3.21</v>
      </c>
      <c r="G42" s="46">
        <f t="shared" si="0"/>
        <v>3.21</v>
      </c>
      <c r="H42" s="47" t="s">
        <v>24</v>
      </c>
      <c r="I42" s="47" t="s">
        <v>58</v>
      </c>
      <c r="J42" s="32"/>
    </row>
    <row r="43" spans="1:10" x14ac:dyDescent="0.2">
      <c r="A43" s="32"/>
      <c r="B43" s="36" t="s">
        <v>126</v>
      </c>
      <c r="C43" s="37" t="s">
        <v>73</v>
      </c>
      <c r="D43" s="38" t="s">
        <v>127</v>
      </c>
      <c r="E43" s="39">
        <v>1</v>
      </c>
      <c r="F43" s="40">
        <v>3.21</v>
      </c>
      <c r="G43" s="40">
        <f t="shared" si="0"/>
        <v>3.21</v>
      </c>
      <c r="H43" s="41" t="s">
        <v>24</v>
      </c>
      <c r="I43" s="41" t="s">
        <v>58</v>
      </c>
      <c r="J43" s="32"/>
    </row>
    <row r="44" spans="1:10" x14ac:dyDescent="0.2">
      <c r="A44" s="32"/>
      <c r="B44" s="42" t="s">
        <v>128</v>
      </c>
      <c r="C44" s="43" t="s">
        <v>73</v>
      </c>
      <c r="D44" s="44" t="s">
        <v>123</v>
      </c>
      <c r="E44" s="45">
        <v>1</v>
      </c>
      <c r="F44" s="46">
        <v>3.21</v>
      </c>
      <c r="G44" s="46">
        <f t="shared" si="0"/>
        <v>3.21</v>
      </c>
      <c r="H44" s="47" t="s">
        <v>24</v>
      </c>
      <c r="I44" s="47" t="s">
        <v>58</v>
      </c>
      <c r="J44" s="32"/>
    </row>
    <row r="45" spans="1:10" x14ac:dyDescent="0.2">
      <c r="A45" s="32"/>
      <c r="B45" s="36" t="s">
        <v>129</v>
      </c>
      <c r="C45" s="37" t="s">
        <v>73</v>
      </c>
      <c r="D45" s="38" t="s">
        <v>130</v>
      </c>
      <c r="E45" s="39">
        <v>1</v>
      </c>
      <c r="F45" s="40">
        <v>9.25</v>
      </c>
      <c r="G45" s="40">
        <f t="shared" si="0"/>
        <v>9.25</v>
      </c>
      <c r="H45" s="41" t="s">
        <v>24</v>
      </c>
      <c r="I45" s="41" t="s">
        <v>58</v>
      </c>
      <c r="J45" s="32"/>
    </row>
    <row r="46" spans="1:10" x14ac:dyDescent="0.2">
      <c r="A46" s="32"/>
      <c r="B46" s="42" t="s">
        <v>131</v>
      </c>
      <c r="C46" s="43" t="s">
        <v>73</v>
      </c>
      <c r="D46" s="44" t="s">
        <v>132</v>
      </c>
      <c r="E46" s="45">
        <v>1</v>
      </c>
      <c r="F46" s="46">
        <v>6.68</v>
      </c>
      <c r="G46" s="46">
        <f t="shared" si="0"/>
        <v>6.68</v>
      </c>
      <c r="H46" s="47" t="s">
        <v>24</v>
      </c>
      <c r="I46" s="47" t="s">
        <v>58</v>
      </c>
      <c r="J46" s="32"/>
    </row>
    <row r="47" spans="1:10" x14ac:dyDescent="0.2">
      <c r="A47" s="32"/>
      <c r="B47" s="36" t="s">
        <v>133</v>
      </c>
      <c r="C47" s="37" t="s">
        <v>73</v>
      </c>
      <c r="D47" s="38" t="s">
        <v>132</v>
      </c>
      <c r="E47" s="39">
        <v>1</v>
      </c>
      <c r="F47" s="40">
        <v>6.68</v>
      </c>
      <c r="G47" s="40">
        <f t="shared" si="0"/>
        <v>6.68</v>
      </c>
      <c r="H47" s="41" t="s">
        <v>24</v>
      </c>
      <c r="I47" s="41" t="s">
        <v>58</v>
      </c>
      <c r="J47" s="32"/>
    </row>
    <row r="48" spans="1:10" x14ac:dyDescent="0.2">
      <c r="A48" s="32"/>
      <c r="B48" s="42" t="s">
        <v>134</v>
      </c>
      <c r="C48" s="43" t="s">
        <v>73</v>
      </c>
      <c r="D48" s="44" t="s">
        <v>135</v>
      </c>
      <c r="E48" s="45">
        <v>1</v>
      </c>
      <c r="F48" s="46">
        <v>4.09</v>
      </c>
      <c r="G48" s="46">
        <f t="shared" si="0"/>
        <v>4.09</v>
      </c>
      <c r="H48" s="47" t="s">
        <v>24</v>
      </c>
      <c r="I48" s="47" t="s">
        <v>58</v>
      </c>
      <c r="J48" s="32"/>
    </row>
    <row r="49" spans="1:10" x14ac:dyDescent="0.2">
      <c r="A49" s="32"/>
      <c r="B49" s="36" t="s">
        <v>136</v>
      </c>
      <c r="C49" s="37" t="s">
        <v>73</v>
      </c>
      <c r="D49" s="38" t="s">
        <v>137</v>
      </c>
      <c r="E49" s="39">
        <v>1</v>
      </c>
      <c r="F49" s="40">
        <v>5.83</v>
      </c>
      <c r="G49" s="40">
        <f t="shared" si="0"/>
        <v>5.83</v>
      </c>
      <c r="H49" s="41" t="s">
        <v>24</v>
      </c>
      <c r="I49" s="41" t="s">
        <v>58</v>
      </c>
      <c r="J49" s="32"/>
    </row>
    <row r="50" spans="1:10" x14ac:dyDescent="0.2">
      <c r="A50" s="32"/>
      <c r="B50" s="42" t="s">
        <v>138</v>
      </c>
      <c r="C50" s="43" t="s">
        <v>73</v>
      </c>
      <c r="D50" s="44" t="s">
        <v>139</v>
      </c>
      <c r="E50" s="45">
        <v>1</v>
      </c>
      <c r="F50" s="46">
        <v>2.29</v>
      </c>
      <c r="G50" s="46">
        <f t="shared" si="0"/>
        <v>2.29</v>
      </c>
      <c r="H50" s="47" t="s">
        <v>24</v>
      </c>
      <c r="I50" s="47" t="s">
        <v>58</v>
      </c>
      <c r="J50" s="32"/>
    </row>
    <row r="51" spans="1:10" x14ac:dyDescent="0.2">
      <c r="A51" s="32"/>
      <c r="B51" s="36" t="s">
        <v>140</v>
      </c>
      <c r="C51" s="37" t="s">
        <v>73</v>
      </c>
      <c r="D51" s="38" t="s">
        <v>141</v>
      </c>
      <c r="E51" s="39">
        <v>1</v>
      </c>
      <c r="F51" s="40">
        <v>3.1</v>
      </c>
      <c r="G51" s="40">
        <f t="shared" si="0"/>
        <v>3.1</v>
      </c>
      <c r="H51" s="41" t="s">
        <v>24</v>
      </c>
      <c r="I51" s="41" t="s">
        <v>58</v>
      </c>
      <c r="J51" s="32"/>
    </row>
    <row r="52" spans="1:10" x14ac:dyDescent="0.2">
      <c r="A52" s="32"/>
      <c r="B52" s="42" t="s">
        <v>142</v>
      </c>
      <c r="C52" s="43" t="s">
        <v>73</v>
      </c>
      <c r="D52" s="44" t="s">
        <v>39</v>
      </c>
      <c r="E52" s="45">
        <v>1</v>
      </c>
      <c r="F52" s="46">
        <v>7.49</v>
      </c>
      <c r="G52" s="46">
        <f t="shared" si="0"/>
        <v>7.49</v>
      </c>
      <c r="H52" s="47" t="s">
        <v>24</v>
      </c>
      <c r="I52" s="47" t="s">
        <v>58</v>
      </c>
      <c r="J52" s="32"/>
    </row>
    <row r="53" spans="1:10" x14ac:dyDescent="0.2">
      <c r="A53" s="32"/>
      <c r="B53" s="36" t="s">
        <v>143</v>
      </c>
      <c r="C53" s="37" t="s">
        <v>73</v>
      </c>
      <c r="D53" s="38" t="s">
        <v>144</v>
      </c>
      <c r="E53" s="39">
        <v>1</v>
      </c>
      <c r="F53" s="40">
        <v>18.89</v>
      </c>
      <c r="G53" s="40">
        <f t="shared" si="0"/>
        <v>18.89</v>
      </c>
      <c r="H53" s="41" t="s">
        <v>24</v>
      </c>
      <c r="I53" s="41" t="s">
        <v>58</v>
      </c>
      <c r="J53" s="32"/>
    </row>
    <row r="54" spans="1:10" x14ac:dyDescent="0.2">
      <c r="A54" s="32"/>
      <c r="B54" s="42" t="s">
        <v>145</v>
      </c>
      <c r="C54" s="43" t="s">
        <v>73</v>
      </c>
      <c r="D54" s="44" t="s">
        <v>146</v>
      </c>
      <c r="E54" s="45">
        <v>1</v>
      </c>
      <c r="F54" s="46">
        <v>18.89</v>
      </c>
      <c r="G54" s="46">
        <f t="shared" si="0"/>
        <v>18.89</v>
      </c>
      <c r="H54" s="47" t="s">
        <v>24</v>
      </c>
      <c r="I54" s="47" t="s">
        <v>58</v>
      </c>
      <c r="J54" s="32"/>
    </row>
    <row r="55" spans="1:10" x14ac:dyDescent="0.2">
      <c r="A55" s="32"/>
      <c r="B55" s="36" t="s">
        <v>147</v>
      </c>
      <c r="C55" s="37" t="s">
        <v>73</v>
      </c>
      <c r="D55" s="38" t="s">
        <v>148</v>
      </c>
      <c r="E55" s="39">
        <v>1</v>
      </c>
      <c r="F55" s="40">
        <v>18.89</v>
      </c>
      <c r="G55" s="40">
        <f t="shared" si="0"/>
        <v>18.89</v>
      </c>
      <c r="H55" s="41" t="s">
        <v>24</v>
      </c>
      <c r="I55" s="41" t="s">
        <v>58</v>
      </c>
      <c r="J55" s="32"/>
    </row>
    <row r="56" spans="1:10" x14ac:dyDescent="0.2">
      <c r="A56" s="32"/>
      <c r="B56" s="42" t="s">
        <v>149</v>
      </c>
      <c r="C56" s="43" t="s">
        <v>73</v>
      </c>
      <c r="D56" s="44" t="s">
        <v>150</v>
      </c>
      <c r="E56" s="45">
        <v>1</v>
      </c>
      <c r="F56" s="46">
        <v>18.89</v>
      </c>
      <c r="G56" s="46">
        <f t="shared" si="0"/>
        <v>18.89</v>
      </c>
      <c r="H56" s="47" t="s">
        <v>24</v>
      </c>
      <c r="I56" s="47" t="s">
        <v>58</v>
      </c>
      <c r="J56" s="32"/>
    </row>
    <row r="57" spans="1:10" x14ac:dyDescent="0.2">
      <c r="A57" s="32"/>
      <c r="B57" s="36" t="s">
        <v>151</v>
      </c>
      <c r="C57" s="37" t="s">
        <v>73</v>
      </c>
      <c r="D57" s="38" t="s">
        <v>152</v>
      </c>
      <c r="E57" s="39">
        <v>1</v>
      </c>
      <c r="F57" s="40">
        <v>18.89</v>
      </c>
      <c r="G57" s="40">
        <f t="shared" si="0"/>
        <v>18.89</v>
      </c>
      <c r="H57" s="41" t="s">
        <v>24</v>
      </c>
      <c r="I57" s="41" t="s">
        <v>58</v>
      </c>
      <c r="J57" s="32"/>
    </row>
    <row r="58" spans="1:10" x14ac:dyDescent="0.2">
      <c r="A58" s="32"/>
      <c r="B58" s="42" t="s">
        <v>153</v>
      </c>
      <c r="C58" s="43" t="s">
        <v>73</v>
      </c>
      <c r="D58" s="44" t="s">
        <v>152</v>
      </c>
      <c r="E58" s="45">
        <v>1</v>
      </c>
      <c r="F58" s="46">
        <v>18.89</v>
      </c>
      <c r="G58" s="46">
        <f t="shared" si="0"/>
        <v>18.89</v>
      </c>
      <c r="H58" s="47" t="s">
        <v>24</v>
      </c>
      <c r="I58" s="47" t="s">
        <v>58</v>
      </c>
      <c r="J58" s="32"/>
    </row>
    <row r="59" spans="1:10" x14ac:dyDescent="0.2">
      <c r="A59" s="32"/>
      <c r="B59" s="36" t="s">
        <v>154</v>
      </c>
      <c r="C59" s="37" t="s">
        <v>73</v>
      </c>
      <c r="D59" s="38" t="s">
        <v>155</v>
      </c>
      <c r="E59" s="39">
        <v>1</v>
      </c>
      <c r="F59" s="40">
        <v>2.34</v>
      </c>
      <c r="G59" s="40">
        <f t="shared" si="0"/>
        <v>2.34</v>
      </c>
      <c r="H59" s="41" t="s">
        <v>24</v>
      </c>
      <c r="I59" s="41" t="s">
        <v>58</v>
      </c>
      <c r="J59" s="32"/>
    </row>
    <row r="60" spans="1:10" x14ac:dyDescent="0.2">
      <c r="A60" s="32"/>
      <c r="B60" s="42" t="s">
        <v>156</v>
      </c>
      <c r="C60" s="43" t="s">
        <v>73</v>
      </c>
      <c r="D60" s="44" t="s">
        <v>157</v>
      </c>
      <c r="E60" s="45">
        <v>1</v>
      </c>
      <c r="F60" s="46">
        <v>2.34</v>
      </c>
      <c r="G60" s="46">
        <f t="shared" si="0"/>
        <v>2.34</v>
      </c>
      <c r="H60" s="47" t="s">
        <v>24</v>
      </c>
      <c r="I60" s="47" t="s">
        <v>58</v>
      </c>
      <c r="J60" s="32"/>
    </row>
    <row r="61" spans="1:10" x14ac:dyDescent="0.2">
      <c r="A61" s="32"/>
      <c r="B61" s="36" t="s">
        <v>158</v>
      </c>
      <c r="C61" s="37" t="s">
        <v>73</v>
      </c>
      <c r="D61" s="38" t="s">
        <v>155</v>
      </c>
      <c r="E61" s="39">
        <v>1</v>
      </c>
      <c r="F61" s="40">
        <v>2.34</v>
      </c>
      <c r="G61" s="40">
        <f t="shared" si="0"/>
        <v>2.34</v>
      </c>
      <c r="H61" s="41" t="s">
        <v>24</v>
      </c>
      <c r="I61" s="41" t="s">
        <v>58</v>
      </c>
      <c r="J61" s="32"/>
    </row>
    <row r="62" spans="1:10" x14ac:dyDescent="0.2">
      <c r="A62" s="32"/>
      <c r="B62" s="42" t="s">
        <v>159</v>
      </c>
      <c r="C62" s="43" t="s">
        <v>73</v>
      </c>
      <c r="D62" s="44" t="s">
        <v>160</v>
      </c>
      <c r="E62" s="45">
        <v>1</v>
      </c>
      <c r="F62" s="46">
        <v>6.62</v>
      </c>
      <c r="G62" s="46">
        <f t="shared" si="0"/>
        <v>6.62</v>
      </c>
      <c r="H62" s="47" t="s">
        <v>24</v>
      </c>
      <c r="I62" s="47" t="s">
        <v>58</v>
      </c>
      <c r="J62" s="32"/>
    </row>
    <row r="63" spans="1:10" x14ac:dyDescent="0.2">
      <c r="A63" s="32"/>
      <c r="B63" s="36" t="s">
        <v>161</v>
      </c>
      <c r="C63" s="37" t="s">
        <v>73</v>
      </c>
      <c r="D63" s="38" t="s">
        <v>162</v>
      </c>
      <c r="E63" s="39">
        <v>1</v>
      </c>
      <c r="F63" s="40">
        <v>5.32</v>
      </c>
      <c r="G63" s="40">
        <f t="shared" si="0"/>
        <v>5.32</v>
      </c>
      <c r="H63" s="41" t="s">
        <v>24</v>
      </c>
      <c r="I63" s="41" t="s">
        <v>58</v>
      </c>
      <c r="J63" s="32"/>
    </row>
    <row r="64" spans="1:10" x14ac:dyDescent="0.2">
      <c r="A64" s="32"/>
      <c r="B64" s="42" t="s">
        <v>163</v>
      </c>
      <c r="C64" s="43" t="s">
        <v>73</v>
      </c>
      <c r="D64" s="44" t="s">
        <v>164</v>
      </c>
      <c r="E64" s="45">
        <v>1</v>
      </c>
      <c r="F64" s="46">
        <v>10.98</v>
      </c>
      <c r="G64" s="46">
        <f t="shared" si="0"/>
        <v>10.98</v>
      </c>
      <c r="H64" s="47" t="s">
        <v>24</v>
      </c>
      <c r="I64" s="47" t="s">
        <v>58</v>
      </c>
      <c r="J64" s="32"/>
    </row>
    <row r="65" spans="1:10" x14ac:dyDescent="0.2">
      <c r="A65" s="32"/>
      <c r="B65" s="36" t="s">
        <v>165</v>
      </c>
      <c r="C65" s="37" t="s">
        <v>73</v>
      </c>
      <c r="D65" s="38" t="s">
        <v>166</v>
      </c>
      <c r="E65" s="39">
        <v>1</v>
      </c>
      <c r="F65" s="40">
        <v>16.98</v>
      </c>
      <c r="G65" s="40">
        <f t="shared" si="0"/>
        <v>16.98</v>
      </c>
      <c r="H65" s="41" t="s">
        <v>25</v>
      </c>
      <c r="I65" s="41" t="s">
        <v>58</v>
      </c>
      <c r="J65" s="32"/>
    </row>
    <row r="66" spans="1:10" x14ac:dyDescent="0.2">
      <c r="A66" s="32"/>
      <c r="B66" s="42" t="s">
        <v>167</v>
      </c>
      <c r="C66" s="43" t="s">
        <v>73</v>
      </c>
      <c r="D66" s="44" t="s">
        <v>168</v>
      </c>
      <c r="E66" s="45">
        <v>1</v>
      </c>
      <c r="F66" s="46">
        <v>4.6900000000000004</v>
      </c>
      <c r="G66" s="46">
        <f t="shared" si="0"/>
        <v>4.6900000000000004</v>
      </c>
      <c r="H66" s="47" t="s">
        <v>24</v>
      </c>
      <c r="I66" s="47" t="s">
        <v>58</v>
      </c>
      <c r="J66" s="32"/>
    </row>
    <row r="67" spans="1:10" x14ac:dyDescent="0.2">
      <c r="A67" s="32"/>
      <c r="B67" s="36" t="s">
        <v>169</v>
      </c>
      <c r="C67" s="37" t="s">
        <v>73</v>
      </c>
      <c r="D67" s="38" t="s">
        <v>170</v>
      </c>
      <c r="E67" s="39">
        <v>1</v>
      </c>
      <c r="F67" s="40">
        <v>7.97</v>
      </c>
      <c r="G67" s="40">
        <f t="shared" si="0"/>
        <v>7.97</v>
      </c>
      <c r="H67" s="41" t="s">
        <v>24</v>
      </c>
      <c r="I67" s="41" t="s">
        <v>58</v>
      </c>
      <c r="J67" s="32"/>
    </row>
    <row r="68" spans="1:10" x14ac:dyDescent="0.2">
      <c r="A68" s="32"/>
      <c r="B68" s="42" t="s">
        <v>171</v>
      </c>
      <c r="C68" s="43" t="s">
        <v>73</v>
      </c>
      <c r="D68" s="44" t="s">
        <v>172</v>
      </c>
      <c r="E68" s="45">
        <v>1</v>
      </c>
      <c r="F68" s="46">
        <v>5.96</v>
      </c>
      <c r="G68" s="46">
        <f t="shared" si="0"/>
        <v>5.96</v>
      </c>
      <c r="H68" s="47" t="s">
        <v>24</v>
      </c>
      <c r="I68" s="47" t="s">
        <v>58</v>
      </c>
      <c r="J68" s="32"/>
    </row>
    <row r="69" spans="1:10" x14ac:dyDescent="0.2">
      <c r="A69" s="32"/>
      <c r="B69" s="36" t="s">
        <v>173</v>
      </c>
      <c r="C69" s="37" t="s">
        <v>73</v>
      </c>
      <c r="D69" s="38" t="s">
        <v>174</v>
      </c>
      <c r="E69" s="39">
        <v>1</v>
      </c>
      <c r="F69" s="40">
        <v>10.56</v>
      </c>
      <c r="G69" s="40">
        <f t="shared" ref="G69:G132" si="1">E69*F69</f>
        <v>10.56</v>
      </c>
      <c r="H69" s="41" t="s">
        <v>24</v>
      </c>
      <c r="I69" s="41" t="s">
        <v>58</v>
      </c>
      <c r="J69" s="32"/>
    </row>
    <row r="70" spans="1:10" x14ac:dyDescent="0.2">
      <c r="A70" s="32"/>
      <c r="B70" s="42" t="s">
        <v>175</v>
      </c>
      <c r="C70" s="43" t="s">
        <v>73</v>
      </c>
      <c r="D70" s="44" t="s">
        <v>176</v>
      </c>
      <c r="E70" s="45">
        <v>1</v>
      </c>
      <c r="F70" s="46">
        <v>1.98</v>
      </c>
      <c r="G70" s="46">
        <f t="shared" si="1"/>
        <v>1.98</v>
      </c>
      <c r="H70" s="47" t="s">
        <v>24</v>
      </c>
      <c r="I70" s="47" t="s">
        <v>58</v>
      </c>
      <c r="J70" s="32"/>
    </row>
    <row r="71" spans="1:10" x14ac:dyDescent="0.2">
      <c r="A71" s="32"/>
      <c r="B71" s="36" t="s">
        <v>177</v>
      </c>
      <c r="C71" s="37" t="s">
        <v>73</v>
      </c>
      <c r="D71" s="38" t="s">
        <v>176</v>
      </c>
      <c r="E71" s="39">
        <v>1</v>
      </c>
      <c r="F71" s="40">
        <v>1.98</v>
      </c>
      <c r="G71" s="40">
        <f t="shared" si="1"/>
        <v>1.98</v>
      </c>
      <c r="H71" s="41" t="s">
        <v>24</v>
      </c>
      <c r="I71" s="41" t="s">
        <v>58</v>
      </c>
      <c r="J71" s="32"/>
    </row>
    <row r="72" spans="1:10" x14ac:dyDescent="0.2">
      <c r="A72" s="32"/>
      <c r="B72" s="42" t="s">
        <v>178</v>
      </c>
      <c r="C72" s="43" t="s">
        <v>73</v>
      </c>
      <c r="D72" s="44" t="s">
        <v>179</v>
      </c>
      <c r="E72" s="45">
        <v>1</v>
      </c>
      <c r="F72" s="46">
        <v>3.87</v>
      </c>
      <c r="G72" s="46">
        <f t="shared" si="1"/>
        <v>3.87</v>
      </c>
      <c r="H72" s="47" t="s">
        <v>25</v>
      </c>
      <c r="I72" s="47" t="s">
        <v>58</v>
      </c>
      <c r="J72" s="32"/>
    </row>
    <row r="73" spans="1:10" x14ac:dyDescent="0.2">
      <c r="A73" s="32"/>
      <c r="B73" s="36" t="s">
        <v>180</v>
      </c>
      <c r="C73" s="37" t="s">
        <v>73</v>
      </c>
      <c r="D73" s="38" t="s">
        <v>181</v>
      </c>
      <c r="E73" s="39">
        <v>1</v>
      </c>
      <c r="F73" s="40">
        <v>3.87</v>
      </c>
      <c r="G73" s="40">
        <f t="shared" si="1"/>
        <v>3.87</v>
      </c>
      <c r="H73" s="41" t="s">
        <v>25</v>
      </c>
      <c r="I73" s="41" t="s">
        <v>58</v>
      </c>
      <c r="J73" s="32"/>
    </row>
    <row r="74" spans="1:10" x14ac:dyDescent="0.2">
      <c r="A74" s="32"/>
      <c r="B74" s="42" t="s">
        <v>182</v>
      </c>
      <c r="C74" s="43" t="s">
        <v>73</v>
      </c>
      <c r="D74" s="44" t="s">
        <v>183</v>
      </c>
      <c r="E74" s="45">
        <v>1</v>
      </c>
      <c r="F74" s="46">
        <v>4.9800000000000004</v>
      </c>
      <c r="G74" s="46">
        <f t="shared" si="1"/>
        <v>4.9800000000000004</v>
      </c>
      <c r="H74" s="47" t="s">
        <v>25</v>
      </c>
      <c r="I74" s="47" t="s">
        <v>58</v>
      </c>
      <c r="J74" s="32"/>
    </row>
    <row r="75" spans="1:10" x14ac:dyDescent="0.2">
      <c r="A75" s="32"/>
      <c r="B75" s="36" t="s">
        <v>184</v>
      </c>
      <c r="C75" s="37" t="s">
        <v>73</v>
      </c>
      <c r="D75" s="38" t="s">
        <v>181</v>
      </c>
      <c r="E75" s="39">
        <v>1</v>
      </c>
      <c r="F75" s="40">
        <v>3.87</v>
      </c>
      <c r="G75" s="40">
        <f t="shared" si="1"/>
        <v>3.87</v>
      </c>
      <c r="H75" s="41" t="s">
        <v>25</v>
      </c>
      <c r="I75" s="41" t="s">
        <v>58</v>
      </c>
      <c r="J75" s="32"/>
    </row>
    <row r="76" spans="1:10" x14ac:dyDescent="0.2">
      <c r="A76" s="32"/>
      <c r="B76" s="42" t="s">
        <v>185</v>
      </c>
      <c r="C76" s="43" t="s">
        <v>73</v>
      </c>
      <c r="D76" s="44" t="s">
        <v>186</v>
      </c>
      <c r="E76" s="45">
        <v>1</v>
      </c>
      <c r="F76" s="46">
        <v>6.96</v>
      </c>
      <c r="G76" s="46">
        <f t="shared" si="1"/>
        <v>6.96</v>
      </c>
      <c r="H76" s="47" t="s">
        <v>24</v>
      </c>
      <c r="I76" s="47" t="s">
        <v>58</v>
      </c>
      <c r="J76" s="32"/>
    </row>
    <row r="77" spans="1:10" x14ac:dyDescent="0.2">
      <c r="A77" s="32"/>
      <c r="B77" s="36" t="s">
        <v>187</v>
      </c>
      <c r="C77" s="37" t="s">
        <v>73</v>
      </c>
      <c r="D77" s="38" t="s">
        <v>188</v>
      </c>
      <c r="E77" s="39">
        <v>1</v>
      </c>
      <c r="F77" s="40">
        <v>3.87</v>
      </c>
      <c r="G77" s="40">
        <f t="shared" si="1"/>
        <v>3.87</v>
      </c>
      <c r="H77" s="41" t="s">
        <v>25</v>
      </c>
      <c r="I77" s="41" t="s">
        <v>58</v>
      </c>
      <c r="J77" s="32"/>
    </row>
    <row r="78" spans="1:10" x14ac:dyDescent="0.2">
      <c r="A78" s="32"/>
      <c r="B78" s="42" t="s">
        <v>189</v>
      </c>
      <c r="C78" s="43" t="s">
        <v>73</v>
      </c>
      <c r="D78" s="44" t="s">
        <v>190</v>
      </c>
      <c r="E78" s="45">
        <v>1</v>
      </c>
      <c r="F78" s="46">
        <v>3.99</v>
      </c>
      <c r="G78" s="46">
        <f t="shared" si="1"/>
        <v>3.99</v>
      </c>
      <c r="H78" s="47" t="s">
        <v>24</v>
      </c>
      <c r="I78" s="47" t="s">
        <v>58</v>
      </c>
      <c r="J78" s="32"/>
    </row>
    <row r="79" spans="1:10" x14ac:dyDescent="0.2">
      <c r="A79" s="32"/>
      <c r="B79" s="36" t="s">
        <v>191</v>
      </c>
      <c r="C79" s="37" t="s">
        <v>73</v>
      </c>
      <c r="D79" s="38" t="s">
        <v>192</v>
      </c>
      <c r="E79" s="39">
        <v>1</v>
      </c>
      <c r="F79" s="40">
        <v>14.35</v>
      </c>
      <c r="G79" s="40">
        <f t="shared" si="1"/>
        <v>14.35</v>
      </c>
      <c r="H79" s="41" t="s">
        <v>24</v>
      </c>
      <c r="I79" s="41" t="s">
        <v>58</v>
      </c>
      <c r="J79" s="32"/>
    </row>
    <row r="80" spans="1:10" x14ac:dyDescent="0.2">
      <c r="A80" s="32"/>
      <c r="B80" s="42" t="s">
        <v>193</v>
      </c>
      <c r="C80" s="43" t="s">
        <v>73</v>
      </c>
      <c r="D80" s="44" t="s">
        <v>194</v>
      </c>
      <c r="E80" s="45">
        <v>1</v>
      </c>
      <c r="F80" s="46">
        <v>3.48</v>
      </c>
      <c r="G80" s="46">
        <f t="shared" si="1"/>
        <v>3.48</v>
      </c>
      <c r="H80" s="47" t="s">
        <v>25</v>
      </c>
      <c r="I80" s="47" t="s">
        <v>58</v>
      </c>
      <c r="J80" s="32"/>
    </row>
    <row r="81" spans="1:10" x14ac:dyDescent="0.2">
      <c r="A81" s="32"/>
      <c r="B81" s="36" t="s">
        <v>195</v>
      </c>
      <c r="C81" s="37" t="s">
        <v>73</v>
      </c>
      <c r="D81" s="38" t="s">
        <v>196</v>
      </c>
      <c r="E81" s="39">
        <v>1</v>
      </c>
      <c r="F81" s="40">
        <v>3.87</v>
      </c>
      <c r="G81" s="40">
        <f t="shared" si="1"/>
        <v>3.87</v>
      </c>
      <c r="H81" s="41" t="s">
        <v>25</v>
      </c>
      <c r="I81" s="41" t="s">
        <v>58</v>
      </c>
      <c r="J81" s="32"/>
    </row>
    <row r="82" spans="1:10" x14ac:dyDescent="0.2">
      <c r="A82" s="32"/>
      <c r="B82" s="42" t="s">
        <v>197</v>
      </c>
      <c r="C82" s="43" t="s">
        <v>73</v>
      </c>
      <c r="D82" s="44" t="s">
        <v>188</v>
      </c>
      <c r="E82" s="45">
        <v>1</v>
      </c>
      <c r="F82" s="46">
        <v>3.87</v>
      </c>
      <c r="G82" s="46">
        <f t="shared" si="1"/>
        <v>3.87</v>
      </c>
      <c r="H82" s="47" t="s">
        <v>25</v>
      </c>
      <c r="I82" s="47" t="s">
        <v>58</v>
      </c>
      <c r="J82" s="32"/>
    </row>
    <row r="83" spans="1:10" x14ac:dyDescent="0.2">
      <c r="A83" s="32"/>
      <c r="B83" s="36" t="s">
        <v>198</v>
      </c>
      <c r="C83" s="37" t="s">
        <v>73</v>
      </c>
      <c r="D83" s="38" t="s">
        <v>199</v>
      </c>
      <c r="E83" s="39">
        <v>1</v>
      </c>
      <c r="F83" s="40">
        <v>9.98</v>
      </c>
      <c r="G83" s="40">
        <f t="shared" si="1"/>
        <v>9.98</v>
      </c>
      <c r="H83" s="41" t="s">
        <v>24</v>
      </c>
      <c r="I83" s="41" t="s">
        <v>58</v>
      </c>
      <c r="J83" s="32"/>
    </row>
    <row r="84" spans="1:10" x14ac:dyDescent="0.2">
      <c r="A84" s="32"/>
      <c r="B84" s="42" t="s">
        <v>200</v>
      </c>
      <c r="C84" s="43" t="s">
        <v>73</v>
      </c>
      <c r="D84" s="44" t="s">
        <v>201</v>
      </c>
      <c r="E84" s="45">
        <v>1</v>
      </c>
      <c r="F84" s="46">
        <v>10.19</v>
      </c>
      <c r="G84" s="46">
        <f t="shared" si="1"/>
        <v>10.19</v>
      </c>
      <c r="H84" s="47" t="s">
        <v>25</v>
      </c>
      <c r="I84" s="47" t="s">
        <v>58</v>
      </c>
      <c r="J84" s="32"/>
    </row>
    <row r="85" spans="1:10" x14ac:dyDescent="0.2">
      <c r="A85" s="32"/>
      <c r="B85" s="36" t="s">
        <v>202</v>
      </c>
      <c r="C85" s="37" t="s">
        <v>73</v>
      </c>
      <c r="D85" s="38" t="s">
        <v>203</v>
      </c>
      <c r="E85" s="39">
        <v>1</v>
      </c>
      <c r="F85" s="40">
        <v>10.19</v>
      </c>
      <c r="G85" s="40">
        <f t="shared" si="1"/>
        <v>10.19</v>
      </c>
      <c r="H85" s="41" t="s">
        <v>25</v>
      </c>
      <c r="I85" s="41" t="s">
        <v>58</v>
      </c>
      <c r="J85" s="32"/>
    </row>
    <row r="86" spans="1:10" x14ac:dyDescent="0.2">
      <c r="A86" s="32"/>
      <c r="B86" s="42" t="s">
        <v>204</v>
      </c>
      <c r="C86" s="43" t="s">
        <v>73</v>
      </c>
      <c r="D86" s="44" t="s">
        <v>205</v>
      </c>
      <c r="E86" s="45">
        <v>1</v>
      </c>
      <c r="F86" s="46">
        <v>9.98</v>
      </c>
      <c r="G86" s="46">
        <f t="shared" si="1"/>
        <v>9.98</v>
      </c>
      <c r="H86" s="47" t="s">
        <v>24</v>
      </c>
      <c r="I86" s="47" t="s">
        <v>58</v>
      </c>
      <c r="J86" s="32"/>
    </row>
    <row r="87" spans="1:10" x14ac:dyDescent="0.2">
      <c r="A87" s="32"/>
      <c r="B87" s="36" t="s">
        <v>206</v>
      </c>
      <c r="C87" s="37" t="s">
        <v>73</v>
      </c>
      <c r="D87" s="38" t="s">
        <v>207</v>
      </c>
      <c r="E87" s="39">
        <v>1</v>
      </c>
      <c r="F87" s="40">
        <v>1.17</v>
      </c>
      <c r="G87" s="40">
        <f t="shared" si="1"/>
        <v>1.17</v>
      </c>
      <c r="H87" s="41" t="s">
        <v>24</v>
      </c>
      <c r="I87" s="41" t="s">
        <v>58</v>
      </c>
      <c r="J87" s="32"/>
    </row>
    <row r="88" spans="1:10" x14ac:dyDescent="0.2">
      <c r="A88" s="32"/>
      <c r="B88" s="42" t="s">
        <v>208</v>
      </c>
      <c r="C88" s="43" t="s">
        <v>73</v>
      </c>
      <c r="D88" s="44" t="s">
        <v>199</v>
      </c>
      <c r="E88" s="45">
        <v>1</v>
      </c>
      <c r="F88" s="46">
        <v>9.98</v>
      </c>
      <c r="G88" s="46">
        <f t="shared" si="1"/>
        <v>9.98</v>
      </c>
      <c r="H88" s="47" t="s">
        <v>24</v>
      </c>
      <c r="I88" s="47" t="s">
        <v>58</v>
      </c>
      <c r="J88" s="32"/>
    </row>
    <row r="89" spans="1:10" x14ac:dyDescent="0.2">
      <c r="A89" s="32"/>
      <c r="B89" s="36" t="s">
        <v>209</v>
      </c>
      <c r="C89" s="37" t="s">
        <v>73</v>
      </c>
      <c r="D89" s="38" t="s">
        <v>210</v>
      </c>
      <c r="E89" s="39">
        <v>1</v>
      </c>
      <c r="F89" s="40">
        <v>5.46</v>
      </c>
      <c r="G89" s="40">
        <f t="shared" si="1"/>
        <v>5.46</v>
      </c>
      <c r="H89" s="41" t="s">
        <v>25</v>
      </c>
      <c r="I89" s="41" t="s">
        <v>58</v>
      </c>
      <c r="J89" s="32"/>
    </row>
    <row r="90" spans="1:10" x14ac:dyDescent="0.2">
      <c r="A90" s="32"/>
      <c r="B90" s="42" t="s">
        <v>211</v>
      </c>
      <c r="C90" s="43" t="s">
        <v>73</v>
      </c>
      <c r="D90" s="44" t="s">
        <v>212</v>
      </c>
      <c r="E90" s="45">
        <v>1</v>
      </c>
      <c r="F90" s="46">
        <v>5.46</v>
      </c>
      <c r="G90" s="46">
        <f t="shared" si="1"/>
        <v>5.46</v>
      </c>
      <c r="H90" s="47" t="s">
        <v>25</v>
      </c>
      <c r="I90" s="47" t="s">
        <v>58</v>
      </c>
      <c r="J90" s="32"/>
    </row>
    <row r="91" spans="1:10" x14ac:dyDescent="0.2">
      <c r="A91" s="32"/>
      <c r="B91" s="36" t="s">
        <v>213</v>
      </c>
      <c r="C91" s="37" t="s">
        <v>73</v>
      </c>
      <c r="D91" s="38" t="s">
        <v>214</v>
      </c>
      <c r="E91" s="39">
        <v>1</v>
      </c>
      <c r="F91" s="40">
        <v>2.57</v>
      </c>
      <c r="G91" s="40">
        <f t="shared" si="1"/>
        <v>2.57</v>
      </c>
      <c r="H91" s="41" t="s">
        <v>24</v>
      </c>
      <c r="I91" s="41" t="s">
        <v>58</v>
      </c>
      <c r="J91" s="32"/>
    </row>
    <row r="92" spans="1:10" x14ac:dyDescent="0.2">
      <c r="A92" s="32"/>
      <c r="B92" s="42" t="s">
        <v>215</v>
      </c>
      <c r="C92" s="43" t="s">
        <v>73</v>
      </c>
      <c r="D92" s="44" t="s">
        <v>216</v>
      </c>
      <c r="E92" s="45">
        <v>1</v>
      </c>
      <c r="F92" s="46">
        <v>9.98</v>
      </c>
      <c r="G92" s="46">
        <f t="shared" si="1"/>
        <v>9.98</v>
      </c>
      <c r="H92" s="47" t="s">
        <v>25</v>
      </c>
      <c r="I92" s="47" t="s">
        <v>58</v>
      </c>
      <c r="J92" s="32"/>
    </row>
    <row r="93" spans="1:10" x14ac:dyDescent="0.2">
      <c r="A93" s="32"/>
      <c r="B93" s="36" t="s">
        <v>217</v>
      </c>
      <c r="C93" s="37" t="s">
        <v>73</v>
      </c>
      <c r="D93" s="38" t="s">
        <v>207</v>
      </c>
      <c r="E93" s="39">
        <v>1</v>
      </c>
      <c r="F93" s="40">
        <v>1.17</v>
      </c>
      <c r="G93" s="40">
        <f t="shared" si="1"/>
        <v>1.17</v>
      </c>
      <c r="H93" s="41" t="s">
        <v>24</v>
      </c>
      <c r="I93" s="41" t="s">
        <v>58</v>
      </c>
      <c r="J93" s="32"/>
    </row>
    <row r="94" spans="1:10" x14ac:dyDescent="0.2">
      <c r="A94" s="32"/>
      <c r="B94" s="42" t="s">
        <v>218</v>
      </c>
      <c r="C94" s="43" t="s">
        <v>73</v>
      </c>
      <c r="D94" s="44" t="s">
        <v>219</v>
      </c>
      <c r="E94" s="45">
        <v>1</v>
      </c>
      <c r="F94" s="46">
        <v>1.17</v>
      </c>
      <c r="G94" s="46">
        <f t="shared" si="1"/>
        <v>1.17</v>
      </c>
      <c r="H94" s="47" t="s">
        <v>24</v>
      </c>
      <c r="I94" s="47" t="s">
        <v>58</v>
      </c>
      <c r="J94" s="32"/>
    </row>
    <row r="95" spans="1:10" x14ac:dyDescent="0.2">
      <c r="A95" s="32"/>
      <c r="B95" s="36" t="s">
        <v>220</v>
      </c>
      <c r="C95" s="37" t="s">
        <v>73</v>
      </c>
      <c r="D95" s="38" t="s">
        <v>205</v>
      </c>
      <c r="E95" s="39">
        <v>1</v>
      </c>
      <c r="F95" s="40">
        <v>9.98</v>
      </c>
      <c r="G95" s="40">
        <f t="shared" si="1"/>
        <v>9.98</v>
      </c>
      <c r="H95" s="41" t="s">
        <v>24</v>
      </c>
      <c r="I95" s="41" t="s">
        <v>58</v>
      </c>
      <c r="J95" s="32"/>
    </row>
    <row r="96" spans="1:10" x14ac:dyDescent="0.2">
      <c r="A96" s="32"/>
      <c r="B96" s="42" t="s">
        <v>221</v>
      </c>
      <c r="C96" s="43" t="s">
        <v>73</v>
      </c>
      <c r="D96" s="44" t="s">
        <v>219</v>
      </c>
      <c r="E96" s="45">
        <v>1</v>
      </c>
      <c r="F96" s="46">
        <v>1.17</v>
      </c>
      <c r="G96" s="46">
        <f t="shared" si="1"/>
        <v>1.17</v>
      </c>
      <c r="H96" s="47" t="s">
        <v>24</v>
      </c>
      <c r="I96" s="47" t="s">
        <v>58</v>
      </c>
      <c r="J96" s="32"/>
    </row>
    <row r="97" spans="1:10" x14ac:dyDescent="0.2">
      <c r="A97" s="32"/>
      <c r="B97" s="36" t="s">
        <v>222</v>
      </c>
      <c r="C97" s="37" t="s">
        <v>73</v>
      </c>
      <c r="D97" s="38" t="s">
        <v>219</v>
      </c>
      <c r="E97" s="39">
        <v>1</v>
      </c>
      <c r="F97" s="40">
        <v>1.17</v>
      </c>
      <c r="G97" s="40">
        <f t="shared" si="1"/>
        <v>1.17</v>
      </c>
      <c r="H97" s="41" t="s">
        <v>24</v>
      </c>
      <c r="I97" s="41" t="s">
        <v>58</v>
      </c>
      <c r="J97" s="32"/>
    </row>
    <row r="98" spans="1:10" x14ac:dyDescent="0.2">
      <c r="A98" s="32"/>
      <c r="B98" s="42" t="s">
        <v>223</v>
      </c>
      <c r="C98" s="43" t="s">
        <v>73</v>
      </c>
      <c r="D98" s="44" t="s">
        <v>219</v>
      </c>
      <c r="E98" s="45">
        <v>1</v>
      </c>
      <c r="F98" s="46">
        <v>1.17</v>
      </c>
      <c r="G98" s="46">
        <f t="shared" si="1"/>
        <v>1.17</v>
      </c>
      <c r="H98" s="47" t="s">
        <v>24</v>
      </c>
      <c r="I98" s="47" t="s">
        <v>58</v>
      </c>
      <c r="J98" s="32"/>
    </row>
    <row r="99" spans="1:10" x14ac:dyDescent="0.2">
      <c r="A99" s="32"/>
      <c r="B99" s="36" t="s">
        <v>224</v>
      </c>
      <c r="C99" s="37" t="s">
        <v>73</v>
      </c>
      <c r="D99" s="38" t="s">
        <v>214</v>
      </c>
      <c r="E99" s="39">
        <v>1</v>
      </c>
      <c r="F99" s="40">
        <v>2.57</v>
      </c>
      <c r="G99" s="40">
        <f t="shared" si="1"/>
        <v>2.57</v>
      </c>
      <c r="H99" s="41" t="s">
        <v>24</v>
      </c>
      <c r="I99" s="41" t="s">
        <v>58</v>
      </c>
      <c r="J99" s="32"/>
    </row>
    <row r="100" spans="1:10" x14ac:dyDescent="0.2">
      <c r="A100" s="32"/>
      <c r="B100" s="42" t="s">
        <v>225</v>
      </c>
      <c r="C100" s="43" t="s">
        <v>73</v>
      </c>
      <c r="D100" s="44" t="s">
        <v>186</v>
      </c>
      <c r="E100" s="45">
        <v>1</v>
      </c>
      <c r="F100" s="46">
        <v>6.96</v>
      </c>
      <c r="G100" s="46">
        <f t="shared" si="1"/>
        <v>6.96</v>
      </c>
      <c r="H100" s="47" t="s">
        <v>24</v>
      </c>
      <c r="I100" s="47" t="s">
        <v>58</v>
      </c>
      <c r="J100" s="32"/>
    </row>
    <row r="101" spans="1:10" x14ac:dyDescent="0.2">
      <c r="A101" s="32"/>
      <c r="B101" s="36" t="s">
        <v>226</v>
      </c>
      <c r="C101" s="37" t="s">
        <v>227</v>
      </c>
      <c r="D101" s="38" t="s">
        <v>228</v>
      </c>
      <c r="E101" s="39">
        <v>1</v>
      </c>
      <c r="F101" s="40">
        <v>38</v>
      </c>
      <c r="G101" s="40">
        <f t="shared" si="1"/>
        <v>38</v>
      </c>
      <c r="H101" s="41" t="s">
        <v>24</v>
      </c>
      <c r="I101" s="41" t="s">
        <v>58</v>
      </c>
      <c r="J101" s="32"/>
    </row>
    <row r="102" spans="1:10" x14ac:dyDescent="0.2">
      <c r="A102" s="32"/>
      <c r="B102" s="42" t="s">
        <v>229</v>
      </c>
      <c r="C102" s="43" t="s">
        <v>227</v>
      </c>
      <c r="D102" s="44" t="s">
        <v>228</v>
      </c>
      <c r="E102" s="45">
        <v>1</v>
      </c>
      <c r="F102" s="46">
        <v>48</v>
      </c>
      <c r="G102" s="46">
        <f t="shared" si="1"/>
        <v>48</v>
      </c>
      <c r="H102" s="47" t="s">
        <v>24</v>
      </c>
      <c r="I102" s="47" t="s">
        <v>58</v>
      </c>
      <c r="J102" s="32"/>
    </row>
    <row r="103" spans="1:10" x14ac:dyDescent="0.2">
      <c r="A103" s="32"/>
      <c r="B103" s="36" t="s">
        <v>230</v>
      </c>
      <c r="C103" s="37" t="s">
        <v>227</v>
      </c>
      <c r="D103" s="38" t="s">
        <v>231</v>
      </c>
      <c r="E103" s="39">
        <v>1</v>
      </c>
      <c r="F103" s="40">
        <v>42</v>
      </c>
      <c r="G103" s="40">
        <f t="shared" si="1"/>
        <v>42</v>
      </c>
      <c r="H103" s="41" t="s">
        <v>26</v>
      </c>
      <c r="I103" s="41" t="s">
        <v>58</v>
      </c>
      <c r="J103" s="32"/>
    </row>
    <row r="104" spans="1:10" x14ac:dyDescent="0.2">
      <c r="A104" s="32"/>
      <c r="B104" s="42" t="s">
        <v>232</v>
      </c>
      <c r="C104" s="43" t="s">
        <v>227</v>
      </c>
      <c r="D104" s="44" t="s">
        <v>233</v>
      </c>
      <c r="E104" s="45">
        <v>1</v>
      </c>
      <c r="F104" s="46">
        <v>12</v>
      </c>
      <c r="G104" s="46">
        <f t="shared" si="1"/>
        <v>12</v>
      </c>
      <c r="H104" s="47" t="s">
        <v>26</v>
      </c>
      <c r="I104" s="47" t="s">
        <v>58</v>
      </c>
      <c r="J104" s="32"/>
    </row>
    <row r="105" spans="1:10" x14ac:dyDescent="0.2">
      <c r="A105" s="32"/>
      <c r="B105" s="36" t="s">
        <v>234</v>
      </c>
      <c r="C105" s="37" t="s">
        <v>235</v>
      </c>
      <c r="D105" s="38" t="s">
        <v>236</v>
      </c>
      <c r="E105" s="39">
        <v>1</v>
      </c>
      <c r="F105" s="40">
        <v>8</v>
      </c>
      <c r="G105" s="40">
        <f t="shared" si="1"/>
        <v>8</v>
      </c>
      <c r="H105" s="41" t="s">
        <v>24</v>
      </c>
      <c r="I105" s="41" t="s">
        <v>58</v>
      </c>
      <c r="J105" s="32"/>
    </row>
    <row r="106" spans="1:10" x14ac:dyDescent="0.2">
      <c r="A106" s="32"/>
      <c r="B106" s="42" t="s">
        <v>237</v>
      </c>
      <c r="C106" s="43" t="s">
        <v>235</v>
      </c>
      <c r="D106" s="44" t="s">
        <v>238</v>
      </c>
      <c r="E106" s="45">
        <v>1</v>
      </c>
      <c r="F106" s="46">
        <v>9</v>
      </c>
      <c r="G106" s="46">
        <f t="shared" si="1"/>
        <v>9</v>
      </c>
      <c r="H106" s="47" t="s">
        <v>24</v>
      </c>
      <c r="I106" s="47" t="s">
        <v>58</v>
      </c>
      <c r="J106" s="32"/>
    </row>
    <row r="107" spans="1:10" x14ac:dyDescent="0.2">
      <c r="A107" s="32"/>
      <c r="B107" s="36" t="s">
        <v>239</v>
      </c>
      <c r="C107" s="37" t="s">
        <v>235</v>
      </c>
      <c r="D107" s="38" t="s">
        <v>240</v>
      </c>
      <c r="E107" s="39">
        <v>1</v>
      </c>
      <c r="F107" s="40">
        <v>29.99</v>
      </c>
      <c r="G107" s="40">
        <f t="shared" si="1"/>
        <v>29.99</v>
      </c>
      <c r="H107" s="41" t="s">
        <v>24</v>
      </c>
      <c r="I107" s="41" t="s">
        <v>58</v>
      </c>
      <c r="J107" s="32"/>
    </row>
    <row r="108" spans="1:10" x14ac:dyDescent="0.2">
      <c r="A108" s="32"/>
      <c r="B108" s="42" t="s">
        <v>241</v>
      </c>
      <c r="C108" s="43" t="s">
        <v>235</v>
      </c>
      <c r="D108" s="44" t="s">
        <v>41</v>
      </c>
      <c r="E108" s="45">
        <v>1</v>
      </c>
      <c r="F108" s="46">
        <v>9.8000000000000007</v>
      </c>
      <c r="G108" s="46">
        <f t="shared" si="1"/>
        <v>9.8000000000000007</v>
      </c>
      <c r="H108" s="47" t="s">
        <v>26</v>
      </c>
      <c r="I108" s="47" t="s">
        <v>58</v>
      </c>
      <c r="J108" s="32"/>
    </row>
    <row r="109" spans="1:10" x14ac:dyDescent="0.2">
      <c r="A109" s="32"/>
      <c r="B109" s="36" t="s">
        <v>242</v>
      </c>
      <c r="C109" s="37" t="s">
        <v>243</v>
      </c>
      <c r="D109" s="38" t="s">
        <v>244</v>
      </c>
      <c r="E109" s="39">
        <v>1</v>
      </c>
      <c r="F109" s="40">
        <v>56.5</v>
      </c>
      <c r="G109" s="40">
        <f t="shared" si="1"/>
        <v>56.5</v>
      </c>
      <c r="H109" s="41" t="s">
        <v>24</v>
      </c>
      <c r="I109" s="41" t="s">
        <v>245</v>
      </c>
      <c r="J109" s="32"/>
    </row>
    <row r="110" spans="1:10" x14ac:dyDescent="0.2">
      <c r="A110" s="32"/>
      <c r="B110" s="42" t="s">
        <v>246</v>
      </c>
      <c r="C110" s="43" t="s">
        <v>243</v>
      </c>
      <c r="D110" s="44" t="s">
        <v>247</v>
      </c>
      <c r="E110" s="45">
        <v>1</v>
      </c>
      <c r="F110" s="46">
        <v>11</v>
      </c>
      <c r="G110" s="46">
        <f t="shared" si="1"/>
        <v>11</v>
      </c>
      <c r="H110" s="47" t="s">
        <v>26</v>
      </c>
      <c r="I110" s="47" t="s">
        <v>58</v>
      </c>
      <c r="J110" s="32"/>
    </row>
    <row r="111" spans="1:10" x14ac:dyDescent="0.2">
      <c r="A111" s="32"/>
      <c r="B111" s="36" t="s">
        <v>248</v>
      </c>
      <c r="C111" s="37" t="s">
        <v>249</v>
      </c>
      <c r="D111" s="38" t="s">
        <v>244</v>
      </c>
      <c r="E111" s="39">
        <v>1</v>
      </c>
      <c r="F111" s="40">
        <v>55</v>
      </c>
      <c r="G111" s="40">
        <f t="shared" si="1"/>
        <v>55</v>
      </c>
      <c r="H111" s="41" t="s">
        <v>24</v>
      </c>
      <c r="I111" s="41" t="s">
        <v>245</v>
      </c>
      <c r="J111" s="32"/>
    </row>
    <row r="112" spans="1:10" x14ac:dyDescent="0.2">
      <c r="A112" s="32"/>
      <c r="B112" s="42" t="s">
        <v>250</v>
      </c>
      <c r="C112" s="43" t="s">
        <v>249</v>
      </c>
      <c r="D112" s="44" t="s">
        <v>247</v>
      </c>
      <c r="E112" s="45">
        <v>1</v>
      </c>
      <c r="F112" s="46">
        <v>11</v>
      </c>
      <c r="G112" s="46">
        <f t="shared" si="1"/>
        <v>11</v>
      </c>
      <c r="H112" s="47" t="s">
        <v>26</v>
      </c>
      <c r="I112" s="47" t="s">
        <v>58</v>
      </c>
      <c r="J112" s="32"/>
    </row>
    <row r="113" spans="1:10" x14ac:dyDescent="0.2">
      <c r="A113" s="32"/>
      <c r="B113" s="36" t="s">
        <v>251</v>
      </c>
      <c r="C113" s="37" t="s">
        <v>252</v>
      </c>
      <c r="D113" s="38" t="s">
        <v>253</v>
      </c>
      <c r="E113" s="39">
        <v>1</v>
      </c>
      <c r="F113" s="40">
        <v>48</v>
      </c>
      <c r="G113" s="40">
        <f t="shared" si="1"/>
        <v>48</v>
      </c>
      <c r="H113" s="41" t="s">
        <v>24</v>
      </c>
      <c r="I113" s="41" t="s">
        <v>58</v>
      </c>
      <c r="J113" s="32"/>
    </row>
    <row r="114" spans="1:10" x14ac:dyDescent="0.2">
      <c r="A114" s="32"/>
      <c r="B114" s="42" t="s">
        <v>254</v>
      </c>
      <c r="C114" s="43" t="s">
        <v>252</v>
      </c>
      <c r="D114" s="44" t="s">
        <v>41</v>
      </c>
      <c r="E114" s="45">
        <v>1</v>
      </c>
      <c r="F114" s="46">
        <v>9.8000000000000007</v>
      </c>
      <c r="G114" s="46">
        <f t="shared" si="1"/>
        <v>9.8000000000000007</v>
      </c>
      <c r="H114" s="47" t="s">
        <v>26</v>
      </c>
      <c r="I114" s="47" t="s">
        <v>58</v>
      </c>
      <c r="J114" s="32"/>
    </row>
    <row r="115" spans="1:10" x14ac:dyDescent="0.2">
      <c r="A115" s="32"/>
      <c r="B115" s="36" t="s">
        <v>255</v>
      </c>
      <c r="C115" s="37" t="s">
        <v>256</v>
      </c>
      <c r="D115" s="38" t="s">
        <v>253</v>
      </c>
      <c r="E115" s="39">
        <v>1</v>
      </c>
      <c r="F115" s="40">
        <v>48</v>
      </c>
      <c r="G115" s="40">
        <f t="shared" si="1"/>
        <v>48</v>
      </c>
      <c r="H115" s="41" t="s">
        <v>24</v>
      </c>
      <c r="I115" s="41" t="s">
        <v>58</v>
      </c>
      <c r="J115" s="32"/>
    </row>
    <row r="116" spans="1:10" x14ac:dyDescent="0.2">
      <c r="A116" s="32"/>
      <c r="B116" s="42" t="s">
        <v>257</v>
      </c>
      <c r="C116" s="43" t="s">
        <v>256</v>
      </c>
      <c r="D116" s="44" t="s">
        <v>41</v>
      </c>
      <c r="E116" s="45">
        <v>1</v>
      </c>
      <c r="F116" s="46">
        <v>9.8000000000000007</v>
      </c>
      <c r="G116" s="46">
        <f t="shared" si="1"/>
        <v>9.8000000000000007</v>
      </c>
      <c r="H116" s="47" t="s">
        <v>26</v>
      </c>
      <c r="I116" s="47" t="s">
        <v>58</v>
      </c>
      <c r="J116" s="32"/>
    </row>
    <row r="117" spans="1:10" x14ac:dyDescent="0.2">
      <c r="A117" s="32"/>
      <c r="B117" s="36" t="s">
        <v>258</v>
      </c>
      <c r="C117" s="37" t="s">
        <v>259</v>
      </c>
      <c r="D117" s="38" t="s">
        <v>260</v>
      </c>
      <c r="E117" s="39">
        <v>1</v>
      </c>
      <c r="F117" s="40">
        <v>35</v>
      </c>
      <c r="G117" s="40">
        <f t="shared" si="1"/>
        <v>35</v>
      </c>
      <c r="H117" s="41" t="s">
        <v>24</v>
      </c>
      <c r="I117" s="41" t="s">
        <v>58</v>
      </c>
      <c r="J117" s="32"/>
    </row>
    <row r="118" spans="1:10" x14ac:dyDescent="0.2">
      <c r="A118" s="32"/>
      <c r="B118" s="42" t="s">
        <v>261</v>
      </c>
      <c r="C118" s="43" t="s">
        <v>259</v>
      </c>
      <c r="D118" s="44" t="s">
        <v>236</v>
      </c>
      <c r="E118" s="45">
        <v>1</v>
      </c>
      <c r="F118" s="46">
        <v>9</v>
      </c>
      <c r="G118" s="46">
        <f t="shared" si="1"/>
        <v>9</v>
      </c>
      <c r="H118" s="47" t="s">
        <v>24</v>
      </c>
      <c r="I118" s="47" t="s">
        <v>58</v>
      </c>
      <c r="J118" s="32"/>
    </row>
    <row r="119" spans="1:10" x14ac:dyDescent="0.2">
      <c r="A119" s="32"/>
      <c r="B119" s="36" t="s">
        <v>262</v>
      </c>
      <c r="C119" s="37" t="s">
        <v>259</v>
      </c>
      <c r="D119" s="38" t="s">
        <v>238</v>
      </c>
      <c r="E119" s="39">
        <v>1</v>
      </c>
      <c r="F119" s="40">
        <v>9</v>
      </c>
      <c r="G119" s="40">
        <f t="shared" si="1"/>
        <v>9</v>
      </c>
      <c r="H119" s="41" t="s">
        <v>24</v>
      </c>
      <c r="I119" s="41" t="s">
        <v>58</v>
      </c>
      <c r="J119" s="32"/>
    </row>
    <row r="120" spans="1:10" x14ac:dyDescent="0.2">
      <c r="A120" s="32"/>
      <c r="B120" s="42" t="s">
        <v>263</v>
      </c>
      <c r="C120" s="43" t="s">
        <v>259</v>
      </c>
      <c r="D120" s="44" t="s">
        <v>41</v>
      </c>
      <c r="E120" s="45">
        <v>1</v>
      </c>
      <c r="F120" s="46">
        <v>9.8000000000000007</v>
      </c>
      <c r="G120" s="46">
        <f t="shared" si="1"/>
        <v>9.8000000000000007</v>
      </c>
      <c r="H120" s="47" t="s">
        <v>26</v>
      </c>
      <c r="I120" s="47" t="s">
        <v>58</v>
      </c>
      <c r="J120" s="32"/>
    </row>
    <row r="121" spans="1:10" x14ac:dyDescent="0.2">
      <c r="A121" s="32"/>
      <c r="B121" s="36" t="s">
        <v>264</v>
      </c>
      <c r="C121" s="37" t="s">
        <v>265</v>
      </c>
      <c r="D121" s="38" t="s">
        <v>266</v>
      </c>
      <c r="E121" s="39">
        <v>1</v>
      </c>
      <c r="F121" s="40">
        <v>74</v>
      </c>
      <c r="G121" s="40">
        <f t="shared" si="1"/>
        <v>74</v>
      </c>
      <c r="H121" s="41" t="s">
        <v>24</v>
      </c>
      <c r="I121" s="41" t="s">
        <v>245</v>
      </c>
      <c r="J121" s="32"/>
    </row>
    <row r="122" spans="1:10" x14ac:dyDescent="0.2">
      <c r="A122" s="32"/>
      <c r="B122" s="42" t="s">
        <v>267</v>
      </c>
      <c r="C122" s="43" t="s">
        <v>265</v>
      </c>
      <c r="D122" s="44" t="s">
        <v>247</v>
      </c>
      <c r="E122" s="45">
        <v>1</v>
      </c>
      <c r="F122" s="46">
        <v>11</v>
      </c>
      <c r="G122" s="46">
        <f t="shared" si="1"/>
        <v>11</v>
      </c>
      <c r="H122" s="47" t="s">
        <v>26</v>
      </c>
      <c r="I122" s="47" t="s">
        <v>58</v>
      </c>
      <c r="J122" s="32"/>
    </row>
    <row r="123" spans="1:10" x14ac:dyDescent="0.2">
      <c r="A123" s="32"/>
      <c r="B123" s="36" t="s">
        <v>268</v>
      </c>
      <c r="C123" s="37" t="s">
        <v>269</v>
      </c>
      <c r="D123" s="38" t="s">
        <v>270</v>
      </c>
      <c r="E123" s="39">
        <v>1</v>
      </c>
      <c r="F123" s="40">
        <v>239</v>
      </c>
      <c r="G123" s="40">
        <f t="shared" si="1"/>
        <v>239</v>
      </c>
      <c r="H123" s="41" t="s">
        <v>24</v>
      </c>
      <c r="I123" s="41" t="s">
        <v>58</v>
      </c>
      <c r="J123" s="32"/>
    </row>
    <row r="124" spans="1:10" x14ac:dyDescent="0.2">
      <c r="A124" s="32"/>
      <c r="B124" s="42" t="s">
        <v>271</v>
      </c>
      <c r="C124" s="43" t="s">
        <v>269</v>
      </c>
      <c r="D124" s="44" t="s">
        <v>272</v>
      </c>
      <c r="E124" s="45">
        <v>1</v>
      </c>
      <c r="F124" s="46">
        <v>9.9</v>
      </c>
      <c r="G124" s="46">
        <f t="shared" si="1"/>
        <v>9.9</v>
      </c>
      <c r="H124" s="47" t="s">
        <v>27</v>
      </c>
      <c r="I124" s="47" t="s">
        <v>58</v>
      </c>
      <c r="J124" s="32"/>
    </row>
    <row r="125" spans="1:10" x14ac:dyDescent="0.2">
      <c r="A125" s="32"/>
      <c r="B125" s="36" t="s">
        <v>273</v>
      </c>
      <c r="C125" s="37" t="s">
        <v>269</v>
      </c>
      <c r="D125" s="38" t="s">
        <v>272</v>
      </c>
      <c r="E125" s="39">
        <v>1</v>
      </c>
      <c r="F125" s="40">
        <v>9.9</v>
      </c>
      <c r="G125" s="40">
        <f t="shared" si="1"/>
        <v>9.9</v>
      </c>
      <c r="H125" s="41" t="s">
        <v>27</v>
      </c>
      <c r="I125" s="41" t="s">
        <v>58</v>
      </c>
      <c r="J125" s="32"/>
    </row>
    <row r="126" spans="1:10" x14ac:dyDescent="0.2">
      <c r="A126" s="32"/>
      <c r="B126" s="42" t="s">
        <v>274</v>
      </c>
      <c r="C126" s="43" t="s">
        <v>269</v>
      </c>
      <c r="D126" s="44" t="s">
        <v>275</v>
      </c>
      <c r="E126" s="45">
        <v>1</v>
      </c>
      <c r="F126" s="46">
        <v>40.4</v>
      </c>
      <c r="G126" s="46">
        <f t="shared" si="1"/>
        <v>40.4</v>
      </c>
      <c r="H126" s="47" t="s">
        <v>25</v>
      </c>
      <c r="I126" s="47" t="s">
        <v>58</v>
      </c>
      <c r="J126" s="32"/>
    </row>
    <row r="127" spans="1:10" x14ac:dyDescent="0.2">
      <c r="A127" s="32"/>
      <c r="B127" s="36" t="s">
        <v>276</v>
      </c>
      <c r="C127" s="37" t="s">
        <v>269</v>
      </c>
      <c r="D127" s="38" t="s">
        <v>277</v>
      </c>
      <c r="E127" s="39">
        <v>1</v>
      </c>
      <c r="F127" s="40">
        <v>29.9</v>
      </c>
      <c r="G127" s="40">
        <f t="shared" si="1"/>
        <v>29.9</v>
      </c>
      <c r="H127" s="41" t="s">
        <v>25</v>
      </c>
      <c r="I127" s="41" t="s">
        <v>58</v>
      </c>
      <c r="J127" s="32"/>
    </row>
    <row r="128" spans="1:10" x14ac:dyDescent="0.2">
      <c r="A128" s="32"/>
      <c r="B128" s="42" t="s">
        <v>278</v>
      </c>
      <c r="C128" s="43" t="s">
        <v>269</v>
      </c>
      <c r="D128" s="44" t="s">
        <v>279</v>
      </c>
      <c r="E128" s="45">
        <v>1</v>
      </c>
      <c r="F128" s="46">
        <v>10.9</v>
      </c>
      <c r="G128" s="46">
        <f t="shared" si="1"/>
        <v>10.9</v>
      </c>
      <c r="H128" s="47" t="s">
        <v>24</v>
      </c>
      <c r="I128" s="47" t="s">
        <v>58</v>
      </c>
      <c r="J128" s="32"/>
    </row>
    <row r="129" spans="1:10" x14ac:dyDescent="0.2">
      <c r="A129" s="32"/>
      <c r="B129" s="36" t="s">
        <v>280</v>
      </c>
      <c r="C129" s="37" t="s">
        <v>269</v>
      </c>
      <c r="D129" s="38" t="s">
        <v>281</v>
      </c>
      <c r="E129" s="39">
        <v>1</v>
      </c>
      <c r="F129" s="40">
        <v>32.9</v>
      </c>
      <c r="G129" s="40">
        <f t="shared" si="1"/>
        <v>32.9</v>
      </c>
      <c r="H129" s="41" t="s">
        <v>24</v>
      </c>
      <c r="I129" s="41" t="s">
        <v>58</v>
      </c>
      <c r="J129" s="32"/>
    </row>
    <row r="130" spans="1:10" x14ac:dyDescent="0.2">
      <c r="A130" s="32"/>
      <c r="B130" s="42" t="s">
        <v>282</v>
      </c>
      <c r="C130" s="43" t="s">
        <v>269</v>
      </c>
      <c r="D130" s="44" t="s">
        <v>283</v>
      </c>
      <c r="E130" s="45">
        <v>1</v>
      </c>
      <c r="F130" s="46">
        <v>79.900000000000006</v>
      </c>
      <c r="G130" s="46">
        <f t="shared" si="1"/>
        <v>79.900000000000006</v>
      </c>
      <c r="H130" s="47" t="s">
        <v>27</v>
      </c>
      <c r="I130" s="47" t="s">
        <v>58</v>
      </c>
      <c r="J130" s="32"/>
    </row>
    <row r="131" spans="1:10" x14ac:dyDescent="0.2">
      <c r="A131" s="32"/>
      <c r="B131" s="36" t="s">
        <v>284</v>
      </c>
      <c r="C131" s="37" t="s">
        <v>269</v>
      </c>
      <c r="D131" s="38" t="s">
        <v>285</v>
      </c>
      <c r="E131" s="39">
        <v>1</v>
      </c>
      <c r="F131" s="40">
        <v>28.9</v>
      </c>
      <c r="G131" s="40">
        <f t="shared" si="1"/>
        <v>28.9</v>
      </c>
      <c r="H131" s="41" t="s">
        <v>24</v>
      </c>
      <c r="I131" s="41" t="s">
        <v>58</v>
      </c>
      <c r="J131" s="32"/>
    </row>
    <row r="132" spans="1:10" x14ac:dyDescent="0.2">
      <c r="A132" s="32"/>
      <c r="B132" s="42" t="s">
        <v>286</v>
      </c>
      <c r="C132" s="43" t="s">
        <v>269</v>
      </c>
      <c r="D132" s="44" t="s">
        <v>287</v>
      </c>
      <c r="E132" s="45">
        <v>1</v>
      </c>
      <c r="F132" s="46">
        <v>26.9</v>
      </c>
      <c r="G132" s="46">
        <f t="shared" si="1"/>
        <v>26.9</v>
      </c>
      <c r="H132" s="47" t="s">
        <v>27</v>
      </c>
      <c r="I132" s="47" t="s">
        <v>58</v>
      </c>
      <c r="J132" s="32"/>
    </row>
    <row r="133" spans="1:10" x14ac:dyDescent="0.2">
      <c r="A133" s="32"/>
      <c r="B133" s="36" t="s">
        <v>288</v>
      </c>
      <c r="C133" s="37" t="s">
        <v>269</v>
      </c>
      <c r="D133" s="38" t="s">
        <v>289</v>
      </c>
      <c r="E133" s="39">
        <v>1</v>
      </c>
      <c r="F133" s="40">
        <v>21.4</v>
      </c>
      <c r="G133" s="40">
        <f t="shared" ref="G133:G196" si="2">E133*F133</f>
        <v>21.4</v>
      </c>
      <c r="H133" s="41" t="s">
        <v>27</v>
      </c>
      <c r="I133" s="41" t="s">
        <v>58</v>
      </c>
      <c r="J133" s="32"/>
    </row>
    <row r="134" spans="1:10" x14ac:dyDescent="0.2">
      <c r="A134" s="32"/>
      <c r="B134" s="42" t="s">
        <v>290</v>
      </c>
      <c r="C134" s="43" t="s">
        <v>269</v>
      </c>
      <c r="D134" s="44" t="s">
        <v>289</v>
      </c>
      <c r="E134" s="45">
        <v>1</v>
      </c>
      <c r="F134" s="46">
        <v>21.4</v>
      </c>
      <c r="G134" s="46">
        <f t="shared" si="2"/>
        <v>21.4</v>
      </c>
      <c r="H134" s="47" t="s">
        <v>27</v>
      </c>
      <c r="I134" s="47" t="s">
        <v>58</v>
      </c>
      <c r="J134" s="32"/>
    </row>
    <row r="135" spans="1:10" x14ac:dyDescent="0.2">
      <c r="A135" s="32"/>
      <c r="B135" s="36" t="s">
        <v>291</v>
      </c>
      <c r="C135" s="37" t="s">
        <v>269</v>
      </c>
      <c r="D135" s="38" t="s">
        <v>292</v>
      </c>
      <c r="E135" s="39">
        <v>1</v>
      </c>
      <c r="F135" s="40">
        <v>17.600000000000001</v>
      </c>
      <c r="G135" s="40">
        <f t="shared" si="2"/>
        <v>17.600000000000001</v>
      </c>
      <c r="H135" s="41" t="s">
        <v>27</v>
      </c>
      <c r="I135" s="41" t="s">
        <v>58</v>
      </c>
      <c r="J135" s="32"/>
    </row>
    <row r="136" spans="1:10" x14ac:dyDescent="0.2">
      <c r="A136" s="32"/>
      <c r="B136" s="42" t="s">
        <v>293</v>
      </c>
      <c r="C136" s="43" t="s">
        <v>269</v>
      </c>
      <c r="D136" s="44" t="s">
        <v>294</v>
      </c>
      <c r="E136" s="45">
        <v>1</v>
      </c>
      <c r="F136" s="46">
        <v>20.9</v>
      </c>
      <c r="G136" s="46">
        <f t="shared" si="2"/>
        <v>20.9</v>
      </c>
      <c r="H136" s="47" t="s">
        <v>24</v>
      </c>
      <c r="I136" s="47" t="s">
        <v>58</v>
      </c>
      <c r="J136" s="32"/>
    </row>
    <row r="137" spans="1:10" x14ac:dyDescent="0.2">
      <c r="A137" s="32"/>
      <c r="B137" s="36" t="s">
        <v>295</v>
      </c>
      <c r="C137" s="37" t="s">
        <v>269</v>
      </c>
      <c r="D137" s="38" t="s">
        <v>296</v>
      </c>
      <c r="E137" s="39">
        <v>1</v>
      </c>
      <c r="F137" s="40">
        <v>10.9</v>
      </c>
      <c r="G137" s="40">
        <f t="shared" si="2"/>
        <v>10.9</v>
      </c>
      <c r="H137" s="41" t="s">
        <v>24</v>
      </c>
      <c r="I137" s="41" t="s">
        <v>58</v>
      </c>
      <c r="J137" s="32"/>
    </row>
    <row r="138" spans="1:10" x14ac:dyDescent="0.2">
      <c r="A138" s="32"/>
      <c r="B138" s="42" t="s">
        <v>297</v>
      </c>
      <c r="C138" s="43" t="s">
        <v>269</v>
      </c>
      <c r="D138" s="44" t="s">
        <v>298</v>
      </c>
      <c r="E138" s="45">
        <v>1</v>
      </c>
      <c r="F138" s="46">
        <v>6.9</v>
      </c>
      <c r="G138" s="46">
        <f t="shared" si="2"/>
        <v>6.9</v>
      </c>
      <c r="H138" s="47" t="s">
        <v>27</v>
      </c>
      <c r="I138" s="47" t="s">
        <v>58</v>
      </c>
      <c r="J138" s="32"/>
    </row>
    <row r="139" spans="1:10" x14ac:dyDescent="0.2">
      <c r="A139" s="32"/>
      <c r="B139" s="36" t="s">
        <v>299</v>
      </c>
      <c r="C139" s="37" t="s">
        <v>269</v>
      </c>
      <c r="D139" s="38" t="s">
        <v>298</v>
      </c>
      <c r="E139" s="39">
        <v>1</v>
      </c>
      <c r="F139" s="40">
        <v>6.9</v>
      </c>
      <c r="G139" s="40">
        <f t="shared" si="2"/>
        <v>6.9</v>
      </c>
      <c r="H139" s="41" t="s">
        <v>27</v>
      </c>
      <c r="I139" s="41" t="s">
        <v>58</v>
      </c>
      <c r="J139" s="32"/>
    </row>
    <row r="140" spans="1:10" x14ac:dyDescent="0.2">
      <c r="A140" s="32"/>
      <c r="B140" s="42" t="s">
        <v>300</v>
      </c>
      <c r="C140" s="43" t="s">
        <v>269</v>
      </c>
      <c r="D140" s="44" t="s">
        <v>301</v>
      </c>
      <c r="E140" s="45">
        <v>1</v>
      </c>
      <c r="F140" s="46">
        <v>17.600000000000001</v>
      </c>
      <c r="G140" s="46">
        <f t="shared" si="2"/>
        <v>17.600000000000001</v>
      </c>
      <c r="H140" s="47" t="s">
        <v>27</v>
      </c>
      <c r="I140" s="47" t="s">
        <v>58</v>
      </c>
      <c r="J140" s="32"/>
    </row>
    <row r="141" spans="1:10" x14ac:dyDescent="0.2">
      <c r="A141" s="32"/>
      <c r="B141" s="36" t="s">
        <v>302</v>
      </c>
      <c r="C141" s="37" t="s">
        <v>269</v>
      </c>
      <c r="D141" s="38" t="s">
        <v>303</v>
      </c>
      <c r="E141" s="39">
        <v>1</v>
      </c>
      <c r="F141" s="40">
        <v>59.9</v>
      </c>
      <c r="G141" s="40">
        <f t="shared" si="2"/>
        <v>59.9</v>
      </c>
      <c r="H141" s="41" t="s">
        <v>24</v>
      </c>
      <c r="I141" s="41" t="s">
        <v>58</v>
      </c>
      <c r="J141" s="32"/>
    </row>
    <row r="142" spans="1:10" x14ac:dyDescent="0.2">
      <c r="A142" s="32"/>
      <c r="B142" s="42" t="s">
        <v>304</v>
      </c>
      <c r="C142" s="43" t="s">
        <v>269</v>
      </c>
      <c r="D142" s="44" t="s">
        <v>305</v>
      </c>
      <c r="E142" s="45">
        <v>1</v>
      </c>
      <c r="F142" s="46">
        <v>0.9</v>
      </c>
      <c r="G142" s="46">
        <f t="shared" si="2"/>
        <v>0.9</v>
      </c>
      <c r="H142" s="47" t="s">
        <v>24</v>
      </c>
      <c r="I142" s="47" t="s">
        <v>58</v>
      </c>
      <c r="J142" s="32"/>
    </row>
    <row r="143" spans="1:10" x14ac:dyDescent="0.2">
      <c r="A143" s="32"/>
      <c r="B143" s="36" t="s">
        <v>306</v>
      </c>
      <c r="C143" s="37" t="s">
        <v>307</v>
      </c>
      <c r="D143" s="38" t="s">
        <v>308</v>
      </c>
      <c r="E143" s="39">
        <v>1</v>
      </c>
      <c r="F143" s="40">
        <v>39.9</v>
      </c>
      <c r="G143" s="40">
        <f t="shared" si="2"/>
        <v>39.9</v>
      </c>
      <c r="H143" s="41" t="s">
        <v>24</v>
      </c>
      <c r="I143" s="41" t="s">
        <v>58</v>
      </c>
      <c r="J143" s="32"/>
    </row>
    <row r="144" spans="1:10" x14ac:dyDescent="0.2">
      <c r="A144" s="32"/>
      <c r="B144" s="42" t="s">
        <v>309</v>
      </c>
      <c r="C144" s="43" t="s">
        <v>307</v>
      </c>
      <c r="D144" s="44" t="s">
        <v>310</v>
      </c>
      <c r="E144" s="45">
        <v>1</v>
      </c>
      <c r="F144" s="46">
        <v>6.9</v>
      </c>
      <c r="G144" s="46">
        <f t="shared" si="2"/>
        <v>6.9</v>
      </c>
      <c r="H144" s="47" t="s">
        <v>24</v>
      </c>
      <c r="I144" s="47" t="s">
        <v>58</v>
      </c>
      <c r="J144" s="32"/>
    </row>
    <row r="145" spans="1:10" x14ac:dyDescent="0.2">
      <c r="A145" s="32"/>
      <c r="B145" s="36" t="s">
        <v>311</v>
      </c>
      <c r="C145" s="37" t="s">
        <v>307</v>
      </c>
      <c r="D145" s="38" t="s">
        <v>310</v>
      </c>
      <c r="E145" s="39">
        <v>1</v>
      </c>
      <c r="F145" s="40">
        <v>6.9</v>
      </c>
      <c r="G145" s="40">
        <f t="shared" si="2"/>
        <v>6.9</v>
      </c>
      <c r="H145" s="41" t="s">
        <v>24</v>
      </c>
      <c r="I145" s="41" t="s">
        <v>58</v>
      </c>
      <c r="J145" s="32"/>
    </row>
    <row r="146" spans="1:10" x14ac:dyDescent="0.2">
      <c r="A146" s="32"/>
      <c r="B146" s="42" t="s">
        <v>312</v>
      </c>
      <c r="C146" s="43" t="s">
        <v>307</v>
      </c>
      <c r="D146" s="44" t="s">
        <v>313</v>
      </c>
      <c r="E146" s="45">
        <v>1</v>
      </c>
      <c r="F146" s="46">
        <v>26.2</v>
      </c>
      <c r="G146" s="46">
        <f t="shared" si="2"/>
        <v>26.2</v>
      </c>
      <c r="H146" s="47" t="s">
        <v>24</v>
      </c>
      <c r="I146" s="47" t="s">
        <v>58</v>
      </c>
      <c r="J146" s="32"/>
    </row>
    <row r="147" spans="1:10" x14ac:dyDescent="0.2">
      <c r="A147" s="32"/>
      <c r="B147" s="36" t="s">
        <v>314</v>
      </c>
      <c r="C147" s="37" t="s">
        <v>315</v>
      </c>
      <c r="D147" s="38" t="s">
        <v>316</v>
      </c>
      <c r="E147" s="39">
        <v>1</v>
      </c>
      <c r="F147" s="40">
        <v>52</v>
      </c>
      <c r="G147" s="40">
        <f t="shared" si="2"/>
        <v>52</v>
      </c>
      <c r="H147" s="41" t="s">
        <v>24</v>
      </c>
      <c r="I147" s="41" t="s">
        <v>58</v>
      </c>
      <c r="J147" s="32"/>
    </row>
    <row r="148" spans="1:10" x14ac:dyDescent="0.2">
      <c r="A148" s="32"/>
      <c r="B148" s="42" t="s">
        <v>317</v>
      </c>
      <c r="C148" s="43" t="s">
        <v>315</v>
      </c>
      <c r="D148" s="44" t="s">
        <v>318</v>
      </c>
      <c r="E148" s="45">
        <v>1</v>
      </c>
      <c r="F148" s="46">
        <v>5.5</v>
      </c>
      <c r="G148" s="46">
        <f t="shared" si="2"/>
        <v>5.5</v>
      </c>
      <c r="H148" s="47" t="s">
        <v>24</v>
      </c>
      <c r="I148" s="47" t="s">
        <v>58</v>
      </c>
      <c r="J148" s="32"/>
    </row>
    <row r="149" spans="1:10" x14ac:dyDescent="0.2">
      <c r="A149" s="32"/>
      <c r="B149" s="36" t="s">
        <v>319</v>
      </c>
      <c r="C149" s="37" t="s">
        <v>315</v>
      </c>
      <c r="D149" s="38" t="s">
        <v>41</v>
      </c>
      <c r="E149" s="39">
        <v>1</v>
      </c>
      <c r="F149" s="40">
        <v>9.8000000000000007</v>
      </c>
      <c r="G149" s="40">
        <f t="shared" si="2"/>
        <v>9.8000000000000007</v>
      </c>
      <c r="H149" s="41" t="s">
        <v>26</v>
      </c>
      <c r="I149" s="41" t="s">
        <v>58</v>
      </c>
      <c r="J149" s="32"/>
    </row>
    <row r="150" spans="1:10" x14ac:dyDescent="0.2">
      <c r="A150" s="32"/>
      <c r="B150" s="42" t="s">
        <v>320</v>
      </c>
      <c r="C150" s="43" t="s">
        <v>321</v>
      </c>
      <c r="D150" s="44" t="s">
        <v>316</v>
      </c>
      <c r="E150" s="45">
        <v>1</v>
      </c>
      <c r="F150" s="46">
        <v>52</v>
      </c>
      <c r="G150" s="46">
        <f t="shared" si="2"/>
        <v>52</v>
      </c>
      <c r="H150" s="47" t="s">
        <v>24</v>
      </c>
      <c r="I150" s="47" t="s">
        <v>58</v>
      </c>
      <c r="J150" s="32"/>
    </row>
    <row r="151" spans="1:10" x14ac:dyDescent="0.2">
      <c r="A151" s="32"/>
      <c r="B151" s="36" t="s">
        <v>322</v>
      </c>
      <c r="C151" s="37" t="s">
        <v>321</v>
      </c>
      <c r="D151" s="38" t="s">
        <v>41</v>
      </c>
      <c r="E151" s="39">
        <v>1</v>
      </c>
      <c r="F151" s="40">
        <v>9.8000000000000007</v>
      </c>
      <c r="G151" s="40">
        <f t="shared" si="2"/>
        <v>9.8000000000000007</v>
      </c>
      <c r="H151" s="41" t="s">
        <v>26</v>
      </c>
      <c r="I151" s="41" t="s">
        <v>58</v>
      </c>
      <c r="J151" s="32"/>
    </row>
    <row r="152" spans="1:10" x14ac:dyDescent="0.2">
      <c r="A152" s="32"/>
      <c r="B152" s="42" t="s">
        <v>323</v>
      </c>
      <c r="C152" s="43" t="s">
        <v>324</v>
      </c>
      <c r="D152" s="44" t="s">
        <v>236</v>
      </c>
      <c r="E152" s="45">
        <v>1</v>
      </c>
      <c r="F152" s="46">
        <v>9</v>
      </c>
      <c r="G152" s="46">
        <f t="shared" si="2"/>
        <v>9</v>
      </c>
      <c r="H152" s="47" t="s">
        <v>24</v>
      </c>
      <c r="I152" s="47" t="s">
        <v>58</v>
      </c>
      <c r="J152" s="32"/>
    </row>
    <row r="153" spans="1:10" x14ac:dyDescent="0.2">
      <c r="A153" s="32"/>
      <c r="B153" s="36" t="s">
        <v>325</v>
      </c>
      <c r="C153" s="37" t="s">
        <v>324</v>
      </c>
      <c r="D153" s="38" t="s">
        <v>41</v>
      </c>
      <c r="E153" s="39">
        <v>1</v>
      </c>
      <c r="F153" s="40">
        <v>9.8000000000000007</v>
      </c>
      <c r="G153" s="40">
        <f t="shared" si="2"/>
        <v>9.8000000000000007</v>
      </c>
      <c r="H153" s="41" t="s">
        <v>26</v>
      </c>
      <c r="I153" s="41" t="s">
        <v>58</v>
      </c>
      <c r="J153" s="32"/>
    </row>
    <row r="154" spans="1:10" x14ac:dyDescent="0.2">
      <c r="A154" s="32"/>
      <c r="B154" s="42" t="s">
        <v>326</v>
      </c>
      <c r="C154" s="43" t="s">
        <v>269</v>
      </c>
      <c r="D154" s="44" t="s">
        <v>327</v>
      </c>
      <c r="E154" s="45">
        <v>1</v>
      </c>
      <c r="F154" s="46">
        <v>43</v>
      </c>
      <c r="G154" s="46">
        <f t="shared" si="2"/>
        <v>43</v>
      </c>
      <c r="H154" s="47" t="s">
        <v>24</v>
      </c>
      <c r="I154" s="47" t="s">
        <v>58</v>
      </c>
      <c r="J154" s="32"/>
    </row>
    <row r="155" spans="1:10" x14ac:dyDescent="0.2">
      <c r="A155" s="32"/>
      <c r="B155" s="36" t="s">
        <v>328</v>
      </c>
      <c r="C155" s="37" t="s">
        <v>269</v>
      </c>
      <c r="D155" s="38" t="s">
        <v>41</v>
      </c>
      <c r="E155" s="39">
        <v>1</v>
      </c>
      <c r="F155" s="40">
        <v>9.8000000000000007</v>
      </c>
      <c r="G155" s="40">
        <f t="shared" si="2"/>
        <v>9.8000000000000007</v>
      </c>
      <c r="H155" s="41" t="s">
        <v>26</v>
      </c>
      <c r="I155" s="41" t="s">
        <v>58</v>
      </c>
      <c r="J155" s="32"/>
    </row>
    <row r="156" spans="1:10" x14ac:dyDescent="0.2">
      <c r="A156" s="32"/>
      <c r="B156" s="42" t="s">
        <v>329</v>
      </c>
      <c r="C156" s="43" t="s">
        <v>330</v>
      </c>
      <c r="D156" s="44" t="s">
        <v>331</v>
      </c>
      <c r="E156" s="45">
        <v>1</v>
      </c>
      <c r="F156" s="46">
        <v>8</v>
      </c>
      <c r="G156" s="46">
        <f t="shared" si="2"/>
        <v>8</v>
      </c>
      <c r="H156" s="47" t="s">
        <v>24</v>
      </c>
      <c r="I156" s="47" t="s">
        <v>58</v>
      </c>
      <c r="J156" s="32"/>
    </row>
    <row r="157" spans="1:10" x14ac:dyDescent="0.2">
      <c r="A157" s="32"/>
      <c r="B157" s="36" t="s">
        <v>332</v>
      </c>
      <c r="C157" s="37" t="s">
        <v>330</v>
      </c>
      <c r="D157" s="38" t="s">
        <v>333</v>
      </c>
      <c r="E157" s="39">
        <v>1</v>
      </c>
      <c r="F157" s="40">
        <v>59.5</v>
      </c>
      <c r="G157" s="40">
        <f t="shared" si="2"/>
        <v>59.5</v>
      </c>
      <c r="H157" s="41" t="s">
        <v>24</v>
      </c>
      <c r="I157" s="41" t="s">
        <v>245</v>
      </c>
      <c r="J157" s="32"/>
    </row>
    <row r="158" spans="1:10" x14ac:dyDescent="0.2">
      <c r="A158" s="32"/>
      <c r="B158" s="42" t="s">
        <v>334</v>
      </c>
      <c r="C158" s="43" t="s">
        <v>330</v>
      </c>
      <c r="D158" s="44" t="s">
        <v>247</v>
      </c>
      <c r="E158" s="45">
        <v>1</v>
      </c>
      <c r="F158" s="46">
        <v>11</v>
      </c>
      <c r="G158" s="46">
        <f t="shared" si="2"/>
        <v>11</v>
      </c>
      <c r="H158" s="47" t="s">
        <v>26</v>
      </c>
      <c r="I158" s="47" t="s">
        <v>58</v>
      </c>
      <c r="J158" s="32"/>
    </row>
    <row r="159" spans="1:10" x14ac:dyDescent="0.2">
      <c r="A159" s="32"/>
      <c r="B159" s="36" t="s">
        <v>335</v>
      </c>
      <c r="C159" s="37" t="s">
        <v>336</v>
      </c>
      <c r="D159" s="38" t="s">
        <v>337</v>
      </c>
      <c r="E159" s="39">
        <v>1</v>
      </c>
      <c r="F159" s="40">
        <v>38</v>
      </c>
      <c r="G159" s="40">
        <f t="shared" si="2"/>
        <v>38</v>
      </c>
      <c r="H159" s="41" t="s">
        <v>24</v>
      </c>
      <c r="I159" s="41" t="s">
        <v>338</v>
      </c>
      <c r="J159" s="32"/>
    </row>
    <row r="160" spans="1:10" x14ac:dyDescent="0.2">
      <c r="A160" s="32"/>
      <c r="B160" s="42" t="s">
        <v>339</v>
      </c>
      <c r="C160" s="43" t="s">
        <v>336</v>
      </c>
      <c r="D160" s="44" t="s">
        <v>340</v>
      </c>
      <c r="E160" s="45">
        <v>1</v>
      </c>
      <c r="F160" s="46">
        <v>53</v>
      </c>
      <c r="G160" s="46">
        <f t="shared" si="2"/>
        <v>53</v>
      </c>
      <c r="H160" s="47" t="s">
        <v>24</v>
      </c>
      <c r="I160" s="47" t="s">
        <v>58</v>
      </c>
      <c r="J160" s="32"/>
    </row>
    <row r="161" spans="1:10" x14ac:dyDescent="0.2">
      <c r="A161" s="32"/>
      <c r="B161" s="36" t="s">
        <v>341</v>
      </c>
      <c r="C161" s="37" t="s">
        <v>336</v>
      </c>
      <c r="D161" s="38" t="s">
        <v>342</v>
      </c>
      <c r="E161" s="39">
        <v>1</v>
      </c>
      <c r="F161" s="40">
        <v>6</v>
      </c>
      <c r="G161" s="40">
        <f t="shared" si="2"/>
        <v>6</v>
      </c>
      <c r="H161" s="41" t="s">
        <v>24</v>
      </c>
      <c r="I161" s="41" t="s">
        <v>58</v>
      </c>
      <c r="J161" s="32"/>
    </row>
    <row r="162" spans="1:10" x14ac:dyDescent="0.2">
      <c r="A162" s="32"/>
      <c r="B162" s="42" t="s">
        <v>343</v>
      </c>
      <c r="C162" s="43" t="s">
        <v>336</v>
      </c>
      <c r="D162" s="44" t="s">
        <v>41</v>
      </c>
      <c r="E162" s="45">
        <v>1</v>
      </c>
      <c r="F162" s="46">
        <v>14</v>
      </c>
      <c r="G162" s="46">
        <f t="shared" si="2"/>
        <v>14</v>
      </c>
      <c r="H162" s="47" t="s">
        <v>26</v>
      </c>
      <c r="I162" s="47" t="s">
        <v>58</v>
      </c>
      <c r="J162" s="32"/>
    </row>
    <row r="163" spans="1:10" x14ac:dyDescent="0.2">
      <c r="A163" s="32"/>
      <c r="B163" s="36" t="s">
        <v>344</v>
      </c>
      <c r="C163" s="37" t="s">
        <v>345</v>
      </c>
      <c r="D163" s="38" t="s">
        <v>346</v>
      </c>
      <c r="E163" s="39">
        <v>1</v>
      </c>
      <c r="F163" s="40">
        <v>49</v>
      </c>
      <c r="G163" s="40">
        <f t="shared" si="2"/>
        <v>49</v>
      </c>
      <c r="H163" s="41" t="s">
        <v>24</v>
      </c>
      <c r="I163" s="41" t="s">
        <v>338</v>
      </c>
      <c r="J163" s="32"/>
    </row>
    <row r="164" spans="1:10" x14ac:dyDescent="0.2">
      <c r="A164" s="32"/>
      <c r="B164" s="42" t="s">
        <v>347</v>
      </c>
      <c r="C164" s="43" t="s">
        <v>345</v>
      </c>
      <c r="D164" s="44" t="s">
        <v>41</v>
      </c>
      <c r="E164" s="45">
        <v>1</v>
      </c>
      <c r="F164" s="46">
        <v>14</v>
      </c>
      <c r="G164" s="46">
        <f t="shared" si="2"/>
        <v>14</v>
      </c>
      <c r="H164" s="47" t="s">
        <v>26</v>
      </c>
      <c r="I164" s="47" t="s">
        <v>58</v>
      </c>
      <c r="J164" s="32"/>
    </row>
    <row r="165" spans="1:10" x14ac:dyDescent="0.2">
      <c r="A165" s="32"/>
      <c r="B165" s="36" t="s">
        <v>348</v>
      </c>
      <c r="C165" s="37" t="s">
        <v>345</v>
      </c>
      <c r="D165" s="38" t="s">
        <v>349</v>
      </c>
      <c r="E165" s="39">
        <v>1</v>
      </c>
      <c r="F165" s="40">
        <v>13.9</v>
      </c>
      <c r="G165" s="40">
        <f t="shared" si="2"/>
        <v>13.9</v>
      </c>
      <c r="H165" s="41" t="s">
        <v>24</v>
      </c>
      <c r="I165" s="41" t="s">
        <v>58</v>
      </c>
      <c r="J165" s="32"/>
    </row>
    <row r="166" spans="1:10" x14ac:dyDescent="0.2">
      <c r="A166" s="32"/>
      <c r="B166" s="42" t="s">
        <v>350</v>
      </c>
      <c r="C166" s="43" t="s">
        <v>345</v>
      </c>
      <c r="D166" s="44" t="s">
        <v>351</v>
      </c>
      <c r="E166" s="45">
        <v>1</v>
      </c>
      <c r="F166" s="46">
        <v>13.9</v>
      </c>
      <c r="G166" s="46">
        <f t="shared" si="2"/>
        <v>13.9</v>
      </c>
      <c r="H166" s="47" t="s">
        <v>24</v>
      </c>
      <c r="I166" s="47" t="s">
        <v>58</v>
      </c>
      <c r="J166" s="32"/>
    </row>
    <row r="167" spans="1:10" x14ac:dyDescent="0.2">
      <c r="A167" s="32"/>
      <c r="B167" s="36" t="s">
        <v>352</v>
      </c>
      <c r="C167" s="37" t="s">
        <v>345</v>
      </c>
      <c r="D167" s="38" t="s">
        <v>353</v>
      </c>
      <c r="E167" s="39">
        <v>1</v>
      </c>
      <c r="F167" s="40">
        <v>11.99</v>
      </c>
      <c r="G167" s="40">
        <f t="shared" si="2"/>
        <v>11.99</v>
      </c>
      <c r="H167" s="41" t="s">
        <v>25</v>
      </c>
      <c r="I167" s="41" t="s">
        <v>58</v>
      </c>
      <c r="J167" s="32"/>
    </row>
    <row r="168" spans="1:10" x14ac:dyDescent="0.2">
      <c r="A168" s="32"/>
      <c r="B168" s="42" t="s">
        <v>354</v>
      </c>
      <c r="C168" s="43" t="s">
        <v>345</v>
      </c>
      <c r="D168" s="44" t="s">
        <v>355</v>
      </c>
      <c r="E168" s="45">
        <v>1</v>
      </c>
      <c r="F168" s="46">
        <v>13.9</v>
      </c>
      <c r="G168" s="46">
        <f t="shared" si="2"/>
        <v>13.9</v>
      </c>
      <c r="H168" s="47" t="s">
        <v>24</v>
      </c>
      <c r="I168" s="47" t="s">
        <v>58</v>
      </c>
      <c r="J168" s="32"/>
    </row>
    <row r="169" spans="1:10" x14ac:dyDescent="0.2">
      <c r="A169" s="32"/>
      <c r="B169" s="36" t="s">
        <v>356</v>
      </c>
      <c r="C169" s="37" t="s">
        <v>345</v>
      </c>
      <c r="D169" s="38" t="s">
        <v>357</v>
      </c>
      <c r="E169" s="39">
        <v>1</v>
      </c>
      <c r="F169" s="40">
        <v>19.899999999999999</v>
      </c>
      <c r="G169" s="40">
        <f t="shared" si="2"/>
        <v>19.899999999999999</v>
      </c>
      <c r="H169" s="41" t="s">
        <v>24</v>
      </c>
      <c r="I169" s="41" t="s">
        <v>58</v>
      </c>
      <c r="J169" s="32"/>
    </row>
    <row r="170" spans="1:10" x14ac:dyDescent="0.2">
      <c r="A170" s="32"/>
      <c r="B170" s="42" t="s">
        <v>358</v>
      </c>
      <c r="C170" s="43" t="s">
        <v>345</v>
      </c>
      <c r="D170" s="44" t="s">
        <v>359</v>
      </c>
      <c r="E170" s="45">
        <v>1</v>
      </c>
      <c r="F170" s="46">
        <v>19.899999999999999</v>
      </c>
      <c r="G170" s="46">
        <f t="shared" si="2"/>
        <v>19.899999999999999</v>
      </c>
      <c r="H170" s="47" t="s">
        <v>24</v>
      </c>
      <c r="I170" s="47" t="s">
        <v>58</v>
      </c>
      <c r="J170" s="32"/>
    </row>
    <row r="171" spans="1:10" x14ac:dyDescent="0.2">
      <c r="A171" s="32"/>
      <c r="B171" s="36" t="s">
        <v>360</v>
      </c>
      <c r="C171" s="37" t="s">
        <v>345</v>
      </c>
      <c r="D171" s="38" t="s">
        <v>361</v>
      </c>
      <c r="E171" s="39">
        <v>1</v>
      </c>
      <c r="F171" s="40">
        <v>6.99</v>
      </c>
      <c r="G171" s="40">
        <f t="shared" si="2"/>
        <v>6.99</v>
      </c>
      <c r="H171" s="41" t="s">
        <v>24</v>
      </c>
      <c r="I171" s="41" t="s">
        <v>58</v>
      </c>
      <c r="J171" s="32"/>
    </row>
    <row r="172" spans="1:10" x14ac:dyDescent="0.2">
      <c r="A172" s="32"/>
      <c r="B172" s="42" t="s">
        <v>362</v>
      </c>
      <c r="C172" s="43" t="s">
        <v>345</v>
      </c>
      <c r="D172" s="44" t="s">
        <v>363</v>
      </c>
      <c r="E172" s="45">
        <v>1</v>
      </c>
      <c r="F172" s="46">
        <v>12.9</v>
      </c>
      <c r="G172" s="46">
        <f t="shared" si="2"/>
        <v>12.9</v>
      </c>
      <c r="H172" s="47" t="s">
        <v>25</v>
      </c>
      <c r="I172" s="47" t="s">
        <v>58</v>
      </c>
      <c r="J172" s="32"/>
    </row>
    <row r="173" spans="1:10" x14ac:dyDescent="0.2">
      <c r="A173" s="32"/>
      <c r="B173" s="36" t="s">
        <v>364</v>
      </c>
      <c r="C173" s="37" t="s">
        <v>345</v>
      </c>
      <c r="D173" s="38" t="s">
        <v>365</v>
      </c>
      <c r="E173" s="39">
        <v>1</v>
      </c>
      <c r="F173" s="40">
        <v>3.488372</v>
      </c>
      <c r="G173" s="40">
        <f t="shared" si="2"/>
        <v>3.488372</v>
      </c>
      <c r="H173" s="41" t="s">
        <v>24</v>
      </c>
      <c r="I173" s="41" t="s">
        <v>58</v>
      </c>
      <c r="J173" s="32"/>
    </row>
    <row r="174" spans="1:10" x14ac:dyDescent="0.2">
      <c r="A174" s="32"/>
      <c r="B174" s="42" t="s">
        <v>366</v>
      </c>
      <c r="C174" s="43" t="s">
        <v>345</v>
      </c>
      <c r="D174" s="44" t="s">
        <v>367</v>
      </c>
      <c r="E174" s="45">
        <v>1</v>
      </c>
      <c r="F174" s="46">
        <v>3.99</v>
      </c>
      <c r="G174" s="46">
        <f t="shared" si="2"/>
        <v>3.99</v>
      </c>
      <c r="H174" s="47" t="s">
        <v>24</v>
      </c>
      <c r="I174" s="47" t="s">
        <v>58</v>
      </c>
      <c r="J174" s="32"/>
    </row>
    <row r="175" spans="1:10" x14ac:dyDescent="0.2">
      <c r="A175" s="32"/>
      <c r="B175" s="36" t="s">
        <v>368</v>
      </c>
      <c r="C175" s="37" t="s">
        <v>345</v>
      </c>
      <c r="D175" s="38" t="s">
        <v>365</v>
      </c>
      <c r="E175" s="39">
        <v>1</v>
      </c>
      <c r="F175" s="40">
        <v>3.4894989999999999</v>
      </c>
      <c r="G175" s="40">
        <f t="shared" si="2"/>
        <v>3.4894989999999999</v>
      </c>
      <c r="H175" s="41" t="s">
        <v>24</v>
      </c>
      <c r="I175" s="41" t="s">
        <v>58</v>
      </c>
      <c r="J175" s="32"/>
    </row>
    <row r="176" spans="1:10" x14ac:dyDescent="0.2">
      <c r="A176" s="32"/>
      <c r="B176" s="42" t="s">
        <v>369</v>
      </c>
      <c r="C176" s="43" t="s">
        <v>345</v>
      </c>
      <c r="D176" s="44" t="s">
        <v>370</v>
      </c>
      <c r="E176" s="45">
        <v>1</v>
      </c>
      <c r="F176" s="46">
        <v>23.9</v>
      </c>
      <c r="G176" s="46">
        <f t="shared" si="2"/>
        <v>23.9</v>
      </c>
      <c r="H176" s="47" t="s">
        <v>24</v>
      </c>
      <c r="I176" s="47" t="s">
        <v>58</v>
      </c>
      <c r="J176" s="32"/>
    </row>
    <row r="177" spans="1:10" x14ac:dyDescent="0.2">
      <c r="A177" s="32"/>
      <c r="B177" s="36" t="s">
        <v>371</v>
      </c>
      <c r="C177" s="37" t="s">
        <v>345</v>
      </c>
      <c r="D177" s="38" t="s">
        <v>76</v>
      </c>
      <c r="E177" s="39">
        <v>1</v>
      </c>
      <c r="F177" s="40">
        <v>7.9926469999999998</v>
      </c>
      <c r="G177" s="40">
        <f t="shared" si="2"/>
        <v>7.9926469999999998</v>
      </c>
      <c r="H177" s="41" t="s">
        <v>24</v>
      </c>
      <c r="I177" s="41" t="s">
        <v>58</v>
      </c>
      <c r="J177" s="32"/>
    </row>
    <row r="178" spans="1:10" x14ac:dyDescent="0.2">
      <c r="A178" s="32"/>
      <c r="B178" s="42" t="s">
        <v>372</v>
      </c>
      <c r="C178" s="43" t="s">
        <v>345</v>
      </c>
      <c r="D178" s="44" t="s">
        <v>373</v>
      </c>
      <c r="E178" s="45">
        <v>1</v>
      </c>
      <c r="F178" s="46">
        <v>2.9864250000000001</v>
      </c>
      <c r="G178" s="46">
        <f t="shared" si="2"/>
        <v>2.9864250000000001</v>
      </c>
      <c r="H178" s="47" t="s">
        <v>24</v>
      </c>
      <c r="I178" s="47" t="s">
        <v>58</v>
      </c>
      <c r="J178" s="32"/>
    </row>
    <row r="179" spans="1:10" x14ac:dyDescent="0.2">
      <c r="A179" s="32"/>
      <c r="B179" s="36" t="s">
        <v>374</v>
      </c>
      <c r="C179" s="37" t="s">
        <v>345</v>
      </c>
      <c r="D179" s="38" t="s">
        <v>365</v>
      </c>
      <c r="E179" s="39">
        <v>1</v>
      </c>
      <c r="F179" s="40">
        <v>3.4929079999999999</v>
      </c>
      <c r="G179" s="40">
        <f t="shared" si="2"/>
        <v>3.4929079999999999</v>
      </c>
      <c r="H179" s="41" t="s">
        <v>24</v>
      </c>
      <c r="I179" s="41" t="s">
        <v>58</v>
      </c>
      <c r="J179" s="32"/>
    </row>
    <row r="180" spans="1:10" x14ac:dyDescent="0.2">
      <c r="A180" s="32"/>
      <c r="B180" s="42" t="s">
        <v>375</v>
      </c>
      <c r="C180" s="43" t="s">
        <v>345</v>
      </c>
      <c r="D180" s="44" t="s">
        <v>365</v>
      </c>
      <c r="E180" s="45">
        <v>1</v>
      </c>
      <c r="F180" s="46">
        <v>3.4920629999999999</v>
      </c>
      <c r="G180" s="46">
        <f t="shared" si="2"/>
        <v>3.4920629999999999</v>
      </c>
      <c r="H180" s="47" t="s">
        <v>24</v>
      </c>
      <c r="I180" s="47" t="s">
        <v>58</v>
      </c>
      <c r="J180" s="32"/>
    </row>
    <row r="181" spans="1:10" x14ac:dyDescent="0.2">
      <c r="A181" s="32"/>
      <c r="B181" s="36" t="s">
        <v>376</v>
      </c>
      <c r="C181" s="37" t="s">
        <v>345</v>
      </c>
      <c r="D181" s="38" t="s">
        <v>377</v>
      </c>
      <c r="E181" s="39">
        <v>1</v>
      </c>
      <c r="F181" s="40">
        <v>6.99</v>
      </c>
      <c r="G181" s="40">
        <f t="shared" si="2"/>
        <v>6.99</v>
      </c>
      <c r="H181" s="41" t="s">
        <v>24</v>
      </c>
      <c r="I181" s="41" t="s">
        <v>58</v>
      </c>
      <c r="J181" s="32"/>
    </row>
    <row r="182" spans="1:10" x14ac:dyDescent="0.2">
      <c r="A182" s="32"/>
      <c r="B182" s="42" t="s">
        <v>378</v>
      </c>
      <c r="C182" s="43" t="s">
        <v>345</v>
      </c>
      <c r="D182" s="44" t="s">
        <v>379</v>
      </c>
      <c r="E182" s="45">
        <v>1</v>
      </c>
      <c r="F182" s="46">
        <v>99.929576999999995</v>
      </c>
      <c r="G182" s="46">
        <f t="shared" si="2"/>
        <v>99.929576999999995</v>
      </c>
      <c r="H182" s="47" t="s">
        <v>24</v>
      </c>
      <c r="I182" s="47" t="s">
        <v>58</v>
      </c>
      <c r="J182" s="32"/>
    </row>
    <row r="183" spans="1:10" x14ac:dyDescent="0.2">
      <c r="A183" s="32"/>
      <c r="B183" s="36" t="s">
        <v>380</v>
      </c>
      <c r="C183" s="37" t="s">
        <v>345</v>
      </c>
      <c r="D183" s="38" t="s">
        <v>381</v>
      </c>
      <c r="E183" s="39">
        <v>1</v>
      </c>
      <c r="F183" s="40">
        <v>69.873418000000001</v>
      </c>
      <c r="G183" s="40">
        <f t="shared" si="2"/>
        <v>69.873418000000001</v>
      </c>
      <c r="H183" s="41" t="s">
        <v>24</v>
      </c>
      <c r="I183" s="41" t="s">
        <v>58</v>
      </c>
      <c r="J183" s="32"/>
    </row>
    <row r="184" spans="1:10" x14ac:dyDescent="0.2">
      <c r="A184" s="32"/>
      <c r="B184" s="42" t="s">
        <v>382</v>
      </c>
      <c r="C184" s="43" t="s">
        <v>345</v>
      </c>
      <c r="D184" s="44" t="s">
        <v>383</v>
      </c>
      <c r="E184" s="45">
        <v>1</v>
      </c>
      <c r="F184" s="46">
        <v>89.895832999999996</v>
      </c>
      <c r="G184" s="46">
        <f t="shared" si="2"/>
        <v>89.895832999999996</v>
      </c>
      <c r="H184" s="47" t="s">
        <v>24</v>
      </c>
      <c r="I184" s="47" t="s">
        <v>58</v>
      </c>
      <c r="J184" s="32"/>
    </row>
    <row r="185" spans="1:10" x14ac:dyDescent="0.2">
      <c r="A185" s="32"/>
      <c r="B185" s="36" t="s">
        <v>384</v>
      </c>
      <c r="C185" s="37" t="s">
        <v>345</v>
      </c>
      <c r="D185" s="38" t="s">
        <v>385</v>
      </c>
      <c r="E185" s="39">
        <v>1</v>
      </c>
      <c r="F185" s="40">
        <v>6.99</v>
      </c>
      <c r="G185" s="40">
        <f t="shared" si="2"/>
        <v>6.99</v>
      </c>
      <c r="H185" s="41" t="s">
        <v>24</v>
      </c>
      <c r="I185" s="41" t="s">
        <v>58</v>
      </c>
      <c r="J185" s="32"/>
    </row>
    <row r="186" spans="1:10" x14ac:dyDescent="0.2">
      <c r="A186" s="32"/>
      <c r="B186" s="42" t="s">
        <v>386</v>
      </c>
      <c r="C186" s="43" t="s">
        <v>345</v>
      </c>
      <c r="D186" s="44" t="s">
        <v>387</v>
      </c>
      <c r="E186" s="45">
        <v>1</v>
      </c>
      <c r="F186" s="46">
        <v>34.980314999999997</v>
      </c>
      <c r="G186" s="46">
        <f t="shared" si="2"/>
        <v>34.980314999999997</v>
      </c>
      <c r="H186" s="47" t="s">
        <v>24</v>
      </c>
      <c r="I186" s="47" t="s">
        <v>58</v>
      </c>
      <c r="J186" s="32"/>
    </row>
    <row r="187" spans="1:10" x14ac:dyDescent="0.2">
      <c r="A187" s="32"/>
      <c r="B187" s="36" t="s">
        <v>388</v>
      </c>
      <c r="C187" s="37" t="s">
        <v>345</v>
      </c>
      <c r="D187" s="38" t="s">
        <v>389</v>
      </c>
      <c r="E187" s="39">
        <v>1</v>
      </c>
      <c r="F187" s="40">
        <v>31.983913999999999</v>
      </c>
      <c r="G187" s="40">
        <f t="shared" si="2"/>
        <v>31.983913999999999</v>
      </c>
      <c r="H187" s="41" t="s">
        <v>24</v>
      </c>
      <c r="I187" s="41" t="s">
        <v>58</v>
      </c>
      <c r="J187" s="32"/>
    </row>
    <row r="188" spans="1:10" x14ac:dyDescent="0.2">
      <c r="A188" s="32"/>
      <c r="B188" s="42" t="s">
        <v>390</v>
      </c>
      <c r="C188" s="43" t="s">
        <v>345</v>
      </c>
      <c r="D188" s="44" t="s">
        <v>391</v>
      </c>
      <c r="E188" s="45">
        <v>1</v>
      </c>
      <c r="F188" s="46">
        <v>9.99</v>
      </c>
      <c r="G188" s="46">
        <f t="shared" si="2"/>
        <v>9.99</v>
      </c>
      <c r="H188" s="47" t="s">
        <v>24</v>
      </c>
      <c r="I188" s="47" t="s">
        <v>58</v>
      </c>
      <c r="J188" s="32"/>
    </row>
    <row r="189" spans="1:10" x14ac:dyDescent="0.2">
      <c r="A189" s="32"/>
      <c r="B189" s="36" t="s">
        <v>392</v>
      </c>
      <c r="C189" s="37" t="s">
        <v>345</v>
      </c>
      <c r="D189" s="38" t="s">
        <v>393</v>
      </c>
      <c r="E189" s="39">
        <v>1</v>
      </c>
      <c r="F189" s="40">
        <v>15.99</v>
      </c>
      <c r="G189" s="40">
        <f t="shared" si="2"/>
        <v>15.99</v>
      </c>
      <c r="H189" s="41" t="s">
        <v>24</v>
      </c>
      <c r="I189" s="41" t="s">
        <v>58</v>
      </c>
      <c r="J189" s="32"/>
    </row>
    <row r="190" spans="1:10" x14ac:dyDescent="0.2">
      <c r="A190" s="32"/>
      <c r="B190" s="42" t="s">
        <v>394</v>
      </c>
      <c r="C190" s="43" t="s">
        <v>345</v>
      </c>
      <c r="D190" s="44" t="s">
        <v>395</v>
      </c>
      <c r="E190" s="45">
        <v>1</v>
      </c>
      <c r="F190" s="46">
        <v>3.19</v>
      </c>
      <c r="G190" s="46">
        <f t="shared" si="2"/>
        <v>3.19</v>
      </c>
      <c r="H190" s="47" t="s">
        <v>24</v>
      </c>
      <c r="I190" s="47" t="s">
        <v>58</v>
      </c>
      <c r="J190" s="32"/>
    </row>
    <row r="191" spans="1:10" x14ac:dyDescent="0.2">
      <c r="A191" s="32"/>
      <c r="B191" s="36" t="s">
        <v>396</v>
      </c>
      <c r="C191" s="37" t="s">
        <v>345</v>
      </c>
      <c r="D191" s="38" t="s">
        <v>397</v>
      </c>
      <c r="E191" s="39">
        <v>1</v>
      </c>
      <c r="F191" s="40">
        <v>29.99</v>
      </c>
      <c r="G191" s="40">
        <f t="shared" si="2"/>
        <v>29.99</v>
      </c>
      <c r="H191" s="41" t="s">
        <v>24</v>
      </c>
      <c r="I191" s="41" t="s">
        <v>58</v>
      </c>
      <c r="J191" s="32"/>
    </row>
    <row r="192" spans="1:10" x14ac:dyDescent="0.2">
      <c r="A192" s="32"/>
      <c r="B192" s="42" t="s">
        <v>398</v>
      </c>
      <c r="C192" s="43" t="s">
        <v>345</v>
      </c>
      <c r="D192" s="44" t="s">
        <v>399</v>
      </c>
      <c r="E192" s="45">
        <v>1</v>
      </c>
      <c r="F192" s="46">
        <v>29.99</v>
      </c>
      <c r="G192" s="46">
        <f t="shared" si="2"/>
        <v>29.99</v>
      </c>
      <c r="H192" s="47" t="s">
        <v>24</v>
      </c>
      <c r="I192" s="47" t="s">
        <v>58</v>
      </c>
      <c r="J192" s="32"/>
    </row>
    <row r="193" spans="1:10" x14ac:dyDescent="0.2">
      <c r="A193" s="32"/>
      <c r="B193" s="36" t="s">
        <v>400</v>
      </c>
      <c r="C193" s="37" t="s">
        <v>345</v>
      </c>
      <c r="D193" s="38" t="s">
        <v>401</v>
      </c>
      <c r="E193" s="39">
        <v>1</v>
      </c>
      <c r="F193" s="40">
        <v>22.9</v>
      </c>
      <c r="G193" s="40">
        <f t="shared" si="2"/>
        <v>22.9</v>
      </c>
      <c r="H193" s="41" t="s">
        <v>24</v>
      </c>
      <c r="I193" s="41" t="s">
        <v>58</v>
      </c>
      <c r="J193" s="32"/>
    </row>
    <row r="194" spans="1:10" x14ac:dyDescent="0.2">
      <c r="A194" s="32"/>
      <c r="B194" s="42" t="s">
        <v>402</v>
      </c>
      <c r="C194" s="43" t="s">
        <v>345</v>
      </c>
      <c r="D194" s="44" t="s">
        <v>403</v>
      </c>
      <c r="E194" s="45">
        <v>1</v>
      </c>
      <c r="F194" s="46">
        <v>10.99</v>
      </c>
      <c r="G194" s="46">
        <f t="shared" si="2"/>
        <v>10.99</v>
      </c>
      <c r="H194" s="47" t="s">
        <v>24</v>
      </c>
      <c r="I194" s="47" t="s">
        <v>58</v>
      </c>
      <c r="J194" s="32"/>
    </row>
    <row r="195" spans="1:10" x14ac:dyDescent="0.2">
      <c r="A195" s="32"/>
      <c r="B195" s="36" t="s">
        <v>404</v>
      </c>
      <c r="C195" s="37" t="s">
        <v>345</v>
      </c>
      <c r="D195" s="38" t="s">
        <v>405</v>
      </c>
      <c r="E195" s="39">
        <v>1</v>
      </c>
      <c r="F195" s="40">
        <v>7.49</v>
      </c>
      <c r="G195" s="40">
        <f t="shared" si="2"/>
        <v>7.49</v>
      </c>
      <c r="H195" s="41" t="s">
        <v>24</v>
      </c>
      <c r="I195" s="41" t="s">
        <v>58</v>
      </c>
      <c r="J195" s="32"/>
    </row>
    <row r="196" spans="1:10" x14ac:dyDescent="0.2">
      <c r="A196" s="32"/>
      <c r="B196" s="42" t="s">
        <v>406</v>
      </c>
      <c r="C196" s="43" t="s">
        <v>345</v>
      </c>
      <c r="D196" s="44" t="s">
        <v>395</v>
      </c>
      <c r="E196" s="45">
        <v>1</v>
      </c>
      <c r="F196" s="46">
        <v>3.19</v>
      </c>
      <c r="G196" s="46">
        <f t="shared" si="2"/>
        <v>3.19</v>
      </c>
      <c r="H196" s="47" t="s">
        <v>24</v>
      </c>
      <c r="I196" s="47" t="s">
        <v>58</v>
      </c>
      <c r="J196" s="32"/>
    </row>
    <row r="197" spans="1:10" x14ac:dyDescent="0.2">
      <c r="A197" s="32"/>
      <c r="B197" s="36" t="s">
        <v>407</v>
      </c>
      <c r="C197" s="37" t="s">
        <v>345</v>
      </c>
      <c r="D197" s="38" t="s">
        <v>408</v>
      </c>
      <c r="E197" s="39">
        <v>1</v>
      </c>
      <c r="F197" s="40">
        <v>3.19</v>
      </c>
      <c r="G197" s="40">
        <f t="shared" ref="G197:G260" si="3">E197*F197</f>
        <v>3.19</v>
      </c>
      <c r="H197" s="41" t="s">
        <v>24</v>
      </c>
      <c r="I197" s="41" t="s">
        <v>58</v>
      </c>
      <c r="J197" s="32"/>
    </row>
    <row r="198" spans="1:10" x14ac:dyDescent="0.2">
      <c r="A198" s="32"/>
      <c r="B198" s="42" t="s">
        <v>409</v>
      </c>
      <c r="C198" s="43" t="s">
        <v>345</v>
      </c>
      <c r="D198" s="44" t="s">
        <v>410</v>
      </c>
      <c r="E198" s="45">
        <v>1</v>
      </c>
      <c r="F198" s="46">
        <v>11.99</v>
      </c>
      <c r="G198" s="46">
        <f t="shared" si="3"/>
        <v>11.99</v>
      </c>
      <c r="H198" s="47" t="s">
        <v>24</v>
      </c>
      <c r="I198" s="47" t="s">
        <v>58</v>
      </c>
      <c r="J198" s="32"/>
    </row>
    <row r="199" spans="1:10" x14ac:dyDescent="0.2">
      <c r="A199" s="32"/>
      <c r="B199" s="36" t="s">
        <v>411</v>
      </c>
      <c r="C199" s="37" t="s">
        <v>345</v>
      </c>
      <c r="D199" s="38" t="s">
        <v>412</v>
      </c>
      <c r="E199" s="39">
        <v>1</v>
      </c>
      <c r="F199" s="40">
        <v>12.79</v>
      </c>
      <c r="G199" s="40">
        <f t="shared" si="3"/>
        <v>12.79</v>
      </c>
      <c r="H199" s="41" t="s">
        <v>24</v>
      </c>
      <c r="I199" s="41" t="s">
        <v>58</v>
      </c>
      <c r="J199" s="32"/>
    </row>
    <row r="200" spans="1:10" x14ac:dyDescent="0.2">
      <c r="A200" s="32"/>
      <c r="B200" s="42" t="s">
        <v>413</v>
      </c>
      <c r="C200" s="43" t="s">
        <v>345</v>
      </c>
      <c r="D200" s="44" t="s">
        <v>414</v>
      </c>
      <c r="E200" s="45">
        <v>1</v>
      </c>
      <c r="F200" s="46">
        <v>9.49</v>
      </c>
      <c r="G200" s="46">
        <f t="shared" si="3"/>
        <v>9.49</v>
      </c>
      <c r="H200" s="47" t="s">
        <v>24</v>
      </c>
      <c r="I200" s="47" t="s">
        <v>58</v>
      </c>
      <c r="J200" s="32"/>
    </row>
    <row r="201" spans="1:10" x14ac:dyDescent="0.2">
      <c r="A201" s="32"/>
      <c r="B201" s="36" t="s">
        <v>415</v>
      </c>
      <c r="C201" s="37" t="s">
        <v>345</v>
      </c>
      <c r="D201" s="38" t="s">
        <v>414</v>
      </c>
      <c r="E201" s="39">
        <v>1</v>
      </c>
      <c r="F201" s="40">
        <v>9.49</v>
      </c>
      <c r="G201" s="40">
        <f t="shared" si="3"/>
        <v>9.49</v>
      </c>
      <c r="H201" s="41" t="s">
        <v>24</v>
      </c>
      <c r="I201" s="41" t="s">
        <v>58</v>
      </c>
      <c r="J201" s="32"/>
    </row>
    <row r="202" spans="1:10" x14ac:dyDescent="0.2">
      <c r="A202" s="32"/>
      <c r="B202" s="42" t="s">
        <v>416</v>
      </c>
      <c r="C202" s="43" t="s">
        <v>345</v>
      </c>
      <c r="D202" s="44" t="s">
        <v>417</v>
      </c>
      <c r="E202" s="45">
        <v>1</v>
      </c>
      <c r="F202" s="46">
        <v>2.09</v>
      </c>
      <c r="G202" s="46">
        <f t="shared" si="3"/>
        <v>2.09</v>
      </c>
      <c r="H202" s="47" t="s">
        <v>24</v>
      </c>
      <c r="I202" s="47" t="s">
        <v>58</v>
      </c>
      <c r="J202" s="32"/>
    </row>
    <row r="203" spans="1:10" x14ac:dyDescent="0.2">
      <c r="A203" s="32"/>
      <c r="B203" s="36" t="s">
        <v>418</v>
      </c>
      <c r="C203" s="37" t="s">
        <v>345</v>
      </c>
      <c r="D203" s="38" t="s">
        <v>419</v>
      </c>
      <c r="E203" s="39">
        <v>1</v>
      </c>
      <c r="F203" s="40">
        <v>10.99</v>
      </c>
      <c r="G203" s="40">
        <f t="shared" si="3"/>
        <v>10.99</v>
      </c>
      <c r="H203" s="41" t="s">
        <v>24</v>
      </c>
      <c r="I203" s="41" t="s">
        <v>58</v>
      </c>
      <c r="J203" s="32"/>
    </row>
    <row r="204" spans="1:10" x14ac:dyDescent="0.2">
      <c r="A204" s="32"/>
      <c r="B204" s="42" t="s">
        <v>420</v>
      </c>
      <c r="C204" s="43" t="s">
        <v>345</v>
      </c>
      <c r="D204" s="44" t="s">
        <v>421</v>
      </c>
      <c r="E204" s="45">
        <v>1</v>
      </c>
      <c r="F204" s="46">
        <v>13.99</v>
      </c>
      <c r="G204" s="46">
        <f t="shared" si="3"/>
        <v>13.99</v>
      </c>
      <c r="H204" s="47" t="s">
        <v>24</v>
      </c>
      <c r="I204" s="47" t="s">
        <v>58</v>
      </c>
      <c r="J204" s="32"/>
    </row>
    <row r="205" spans="1:10" x14ac:dyDescent="0.2">
      <c r="A205" s="32"/>
      <c r="B205" s="36" t="s">
        <v>422</v>
      </c>
      <c r="C205" s="37" t="s">
        <v>345</v>
      </c>
      <c r="D205" s="38" t="s">
        <v>423</v>
      </c>
      <c r="E205" s="39">
        <v>1</v>
      </c>
      <c r="F205" s="40">
        <v>10.99</v>
      </c>
      <c r="G205" s="40">
        <f t="shared" si="3"/>
        <v>10.99</v>
      </c>
      <c r="H205" s="41" t="s">
        <v>24</v>
      </c>
      <c r="I205" s="41" t="s">
        <v>58</v>
      </c>
      <c r="J205" s="32"/>
    </row>
    <row r="206" spans="1:10" x14ac:dyDescent="0.2">
      <c r="A206" s="32"/>
      <c r="B206" s="42" t="s">
        <v>424</v>
      </c>
      <c r="C206" s="43" t="s">
        <v>345</v>
      </c>
      <c r="D206" s="44" t="s">
        <v>425</v>
      </c>
      <c r="E206" s="45">
        <v>1</v>
      </c>
      <c r="F206" s="46">
        <v>3.99</v>
      </c>
      <c r="G206" s="46">
        <f t="shared" si="3"/>
        <v>3.99</v>
      </c>
      <c r="H206" s="47" t="s">
        <v>24</v>
      </c>
      <c r="I206" s="47" t="s">
        <v>58</v>
      </c>
      <c r="J206" s="32"/>
    </row>
    <row r="207" spans="1:10" x14ac:dyDescent="0.2">
      <c r="A207" s="32"/>
      <c r="B207" s="36" t="s">
        <v>426</v>
      </c>
      <c r="C207" s="37" t="s">
        <v>345</v>
      </c>
      <c r="D207" s="38" t="s">
        <v>427</v>
      </c>
      <c r="E207" s="39">
        <v>1</v>
      </c>
      <c r="F207" s="40">
        <v>1.29</v>
      </c>
      <c r="G207" s="40">
        <f t="shared" si="3"/>
        <v>1.29</v>
      </c>
      <c r="H207" s="41" t="s">
        <v>24</v>
      </c>
      <c r="I207" s="41" t="s">
        <v>58</v>
      </c>
      <c r="J207" s="32"/>
    </row>
    <row r="208" spans="1:10" x14ac:dyDescent="0.2">
      <c r="A208" s="32"/>
      <c r="B208" s="42" t="s">
        <v>428</v>
      </c>
      <c r="C208" s="43" t="s">
        <v>345</v>
      </c>
      <c r="D208" s="44" t="s">
        <v>429</v>
      </c>
      <c r="E208" s="45">
        <v>1</v>
      </c>
      <c r="F208" s="46">
        <v>1.99</v>
      </c>
      <c r="G208" s="46">
        <f t="shared" si="3"/>
        <v>1.99</v>
      </c>
      <c r="H208" s="47" t="s">
        <v>24</v>
      </c>
      <c r="I208" s="47" t="s">
        <v>58</v>
      </c>
      <c r="J208" s="32"/>
    </row>
    <row r="209" spans="1:10" x14ac:dyDescent="0.2">
      <c r="A209" s="32"/>
      <c r="B209" s="36" t="s">
        <v>430</v>
      </c>
      <c r="C209" s="37" t="s">
        <v>345</v>
      </c>
      <c r="D209" s="38" t="s">
        <v>429</v>
      </c>
      <c r="E209" s="39">
        <v>1</v>
      </c>
      <c r="F209" s="40">
        <v>1.99</v>
      </c>
      <c r="G209" s="40">
        <f t="shared" si="3"/>
        <v>1.99</v>
      </c>
      <c r="H209" s="41" t="s">
        <v>24</v>
      </c>
      <c r="I209" s="41" t="s">
        <v>58</v>
      </c>
      <c r="J209" s="32"/>
    </row>
    <row r="210" spans="1:10" x14ac:dyDescent="0.2">
      <c r="A210" s="32"/>
      <c r="B210" s="42" t="s">
        <v>431</v>
      </c>
      <c r="C210" s="43" t="s">
        <v>345</v>
      </c>
      <c r="D210" s="44" t="s">
        <v>432</v>
      </c>
      <c r="E210" s="45">
        <v>1</v>
      </c>
      <c r="F210" s="46">
        <v>5.99</v>
      </c>
      <c r="G210" s="46">
        <f t="shared" si="3"/>
        <v>5.99</v>
      </c>
      <c r="H210" s="47" t="s">
        <v>24</v>
      </c>
      <c r="I210" s="47" t="s">
        <v>58</v>
      </c>
      <c r="J210" s="32"/>
    </row>
    <row r="211" spans="1:10" x14ac:dyDescent="0.2">
      <c r="A211" s="32"/>
      <c r="B211" s="36" t="s">
        <v>433</v>
      </c>
      <c r="C211" s="37" t="s">
        <v>345</v>
      </c>
      <c r="D211" s="38" t="s">
        <v>434</v>
      </c>
      <c r="E211" s="39">
        <v>1</v>
      </c>
      <c r="F211" s="40">
        <v>2.99</v>
      </c>
      <c r="G211" s="40">
        <f t="shared" si="3"/>
        <v>2.99</v>
      </c>
      <c r="H211" s="41" t="s">
        <v>24</v>
      </c>
      <c r="I211" s="41" t="s">
        <v>58</v>
      </c>
      <c r="J211" s="32"/>
    </row>
    <row r="212" spans="1:10" x14ac:dyDescent="0.2">
      <c r="A212" s="32"/>
      <c r="B212" s="42" t="s">
        <v>435</v>
      </c>
      <c r="C212" s="43" t="s">
        <v>345</v>
      </c>
      <c r="D212" s="44" t="s">
        <v>436</v>
      </c>
      <c r="E212" s="45">
        <v>1</v>
      </c>
      <c r="F212" s="46">
        <v>6.99</v>
      </c>
      <c r="G212" s="46">
        <f t="shared" si="3"/>
        <v>6.99</v>
      </c>
      <c r="H212" s="47" t="s">
        <v>24</v>
      </c>
      <c r="I212" s="47" t="s">
        <v>58</v>
      </c>
      <c r="J212" s="32"/>
    </row>
    <row r="213" spans="1:10" x14ac:dyDescent="0.2">
      <c r="A213" s="32"/>
      <c r="B213" s="36" t="s">
        <v>437</v>
      </c>
      <c r="C213" s="37" t="s">
        <v>345</v>
      </c>
      <c r="D213" s="38" t="s">
        <v>438</v>
      </c>
      <c r="E213" s="39">
        <v>1</v>
      </c>
      <c r="F213" s="40">
        <v>5.99</v>
      </c>
      <c r="G213" s="40">
        <f t="shared" si="3"/>
        <v>5.99</v>
      </c>
      <c r="H213" s="41" t="s">
        <v>24</v>
      </c>
      <c r="I213" s="41" t="s">
        <v>58</v>
      </c>
      <c r="J213" s="32"/>
    </row>
    <row r="214" spans="1:10" x14ac:dyDescent="0.2">
      <c r="A214" s="32"/>
      <c r="B214" s="42" t="s">
        <v>439</v>
      </c>
      <c r="C214" s="43" t="s">
        <v>345</v>
      </c>
      <c r="D214" s="44" t="s">
        <v>440</v>
      </c>
      <c r="E214" s="45">
        <v>1</v>
      </c>
      <c r="F214" s="46">
        <v>5.89</v>
      </c>
      <c r="G214" s="46">
        <f t="shared" si="3"/>
        <v>5.89</v>
      </c>
      <c r="H214" s="47" t="s">
        <v>24</v>
      </c>
      <c r="I214" s="47" t="s">
        <v>58</v>
      </c>
      <c r="J214" s="32"/>
    </row>
    <row r="215" spans="1:10" x14ac:dyDescent="0.2">
      <c r="A215" s="32"/>
      <c r="B215" s="36" t="s">
        <v>441</v>
      </c>
      <c r="C215" s="37" t="s">
        <v>345</v>
      </c>
      <c r="D215" s="38" t="s">
        <v>442</v>
      </c>
      <c r="E215" s="39">
        <v>1</v>
      </c>
      <c r="F215" s="40">
        <v>6.29</v>
      </c>
      <c r="G215" s="40">
        <f t="shared" si="3"/>
        <v>6.29</v>
      </c>
      <c r="H215" s="41" t="s">
        <v>24</v>
      </c>
      <c r="I215" s="41" t="s">
        <v>58</v>
      </c>
      <c r="J215" s="32"/>
    </row>
    <row r="216" spans="1:10" x14ac:dyDescent="0.2">
      <c r="A216" s="32"/>
      <c r="B216" s="42" t="s">
        <v>443</v>
      </c>
      <c r="C216" s="43" t="s">
        <v>345</v>
      </c>
      <c r="D216" s="44" t="s">
        <v>444</v>
      </c>
      <c r="E216" s="45">
        <v>1</v>
      </c>
      <c r="F216" s="46">
        <v>3.09</v>
      </c>
      <c r="G216" s="46">
        <f t="shared" si="3"/>
        <v>3.09</v>
      </c>
      <c r="H216" s="47" t="s">
        <v>24</v>
      </c>
      <c r="I216" s="47" t="s">
        <v>58</v>
      </c>
      <c r="J216" s="32"/>
    </row>
    <row r="217" spans="1:10" x14ac:dyDescent="0.2">
      <c r="A217" s="32"/>
      <c r="B217" s="36" t="s">
        <v>445</v>
      </c>
      <c r="C217" s="37" t="s">
        <v>345</v>
      </c>
      <c r="D217" s="38" t="s">
        <v>446</v>
      </c>
      <c r="E217" s="39">
        <v>1</v>
      </c>
      <c r="F217" s="40">
        <v>3.99</v>
      </c>
      <c r="G217" s="40">
        <f t="shared" si="3"/>
        <v>3.99</v>
      </c>
      <c r="H217" s="41" t="s">
        <v>24</v>
      </c>
      <c r="I217" s="41" t="s">
        <v>58</v>
      </c>
      <c r="J217" s="32"/>
    </row>
    <row r="218" spans="1:10" x14ac:dyDescent="0.2">
      <c r="A218" s="32"/>
      <c r="B218" s="42" t="s">
        <v>447</v>
      </c>
      <c r="C218" s="43" t="s">
        <v>345</v>
      </c>
      <c r="D218" s="44" t="s">
        <v>448</v>
      </c>
      <c r="E218" s="45">
        <v>1</v>
      </c>
      <c r="F218" s="46">
        <v>3.29</v>
      </c>
      <c r="G218" s="46">
        <f t="shared" si="3"/>
        <v>3.29</v>
      </c>
      <c r="H218" s="47" t="s">
        <v>24</v>
      </c>
      <c r="I218" s="47" t="s">
        <v>58</v>
      </c>
      <c r="J218" s="32"/>
    </row>
    <row r="219" spans="1:10" x14ac:dyDescent="0.2">
      <c r="A219" s="32"/>
      <c r="B219" s="36" t="s">
        <v>449</v>
      </c>
      <c r="C219" s="37" t="s">
        <v>345</v>
      </c>
      <c r="D219" s="38" t="s">
        <v>450</v>
      </c>
      <c r="E219" s="39">
        <v>1</v>
      </c>
      <c r="F219" s="40">
        <v>3.99</v>
      </c>
      <c r="G219" s="40">
        <f t="shared" si="3"/>
        <v>3.99</v>
      </c>
      <c r="H219" s="41" t="s">
        <v>24</v>
      </c>
      <c r="I219" s="41" t="s">
        <v>58</v>
      </c>
      <c r="J219" s="32"/>
    </row>
    <row r="220" spans="1:10" x14ac:dyDescent="0.2">
      <c r="A220" s="32"/>
      <c r="B220" s="42" t="s">
        <v>451</v>
      </c>
      <c r="C220" s="43" t="s">
        <v>345</v>
      </c>
      <c r="D220" s="44" t="s">
        <v>452</v>
      </c>
      <c r="E220" s="45">
        <v>1</v>
      </c>
      <c r="F220" s="46">
        <v>8.49</v>
      </c>
      <c r="G220" s="46">
        <f t="shared" si="3"/>
        <v>8.49</v>
      </c>
      <c r="H220" s="47" t="s">
        <v>24</v>
      </c>
      <c r="I220" s="47" t="s">
        <v>58</v>
      </c>
      <c r="J220" s="32"/>
    </row>
    <row r="221" spans="1:10" x14ac:dyDescent="0.2">
      <c r="A221" s="32"/>
      <c r="B221" s="36" t="s">
        <v>453</v>
      </c>
      <c r="C221" s="37" t="s">
        <v>345</v>
      </c>
      <c r="D221" s="38" t="s">
        <v>454</v>
      </c>
      <c r="E221" s="39">
        <v>1</v>
      </c>
      <c r="F221" s="40">
        <v>8.99</v>
      </c>
      <c r="G221" s="40">
        <f t="shared" si="3"/>
        <v>8.99</v>
      </c>
      <c r="H221" s="41" t="s">
        <v>24</v>
      </c>
      <c r="I221" s="41" t="s">
        <v>58</v>
      </c>
      <c r="J221" s="32"/>
    </row>
    <row r="222" spans="1:10" x14ac:dyDescent="0.2">
      <c r="A222" s="32"/>
      <c r="B222" s="42" t="s">
        <v>455</v>
      </c>
      <c r="C222" s="43" t="s">
        <v>345</v>
      </c>
      <c r="D222" s="44" t="s">
        <v>456</v>
      </c>
      <c r="E222" s="45">
        <v>1</v>
      </c>
      <c r="F222" s="46">
        <v>5.99</v>
      </c>
      <c r="G222" s="46">
        <f t="shared" si="3"/>
        <v>5.99</v>
      </c>
      <c r="H222" s="47" t="s">
        <v>24</v>
      </c>
      <c r="I222" s="47" t="s">
        <v>58</v>
      </c>
      <c r="J222" s="32"/>
    </row>
    <row r="223" spans="1:10" x14ac:dyDescent="0.2">
      <c r="A223" s="32"/>
      <c r="B223" s="36" t="s">
        <v>457</v>
      </c>
      <c r="C223" s="37" t="s">
        <v>345</v>
      </c>
      <c r="D223" s="38" t="s">
        <v>458</v>
      </c>
      <c r="E223" s="39">
        <v>1</v>
      </c>
      <c r="F223" s="40">
        <v>6.59</v>
      </c>
      <c r="G223" s="40">
        <f t="shared" si="3"/>
        <v>6.59</v>
      </c>
      <c r="H223" s="41" t="s">
        <v>24</v>
      </c>
      <c r="I223" s="41" t="s">
        <v>58</v>
      </c>
      <c r="J223" s="32"/>
    </row>
    <row r="224" spans="1:10" x14ac:dyDescent="0.2">
      <c r="A224" s="32"/>
      <c r="B224" s="42" t="s">
        <v>459</v>
      </c>
      <c r="C224" s="43" t="s">
        <v>345</v>
      </c>
      <c r="D224" s="44" t="s">
        <v>460</v>
      </c>
      <c r="E224" s="45">
        <v>1</v>
      </c>
      <c r="F224" s="46">
        <v>5.99</v>
      </c>
      <c r="G224" s="46">
        <f t="shared" si="3"/>
        <v>5.99</v>
      </c>
      <c r="H224" s="47" t="s">
        <v>24</v>
      </c>
      <c r="I224" s="47" t="s">
        <v>58</v>
      </c>
      <c r="J224" s="32"/>
    </row>
    <row r="225" spans="1:10" x14ac:dyDescent="0.2">
      <c r="A225" s="32"/>
      <c r="B225" s="36" t="s">
        <v>461</v>
      </c>
      <c r="C225" s="37" t="s">
        <v>345</v>
      </c>
      <c r="D225" s="38" t="s">
        <v>462</v>
      </c>
      <c r="E225" s="39">
        <v>1</v>
      </c>
      <c r="F225" s="40">
        <v>3.99</v>
      </c>
      <c r="G225" s="40">
        <f t="shared" si="3"/>
        <v>3.99</v>
      </c>
      <c r="H225" s="41" t="s">
        <v>24</v>
      </c>
      <c r="I225" s="41" t="s">
        <v>58</v>
      </c>
      <c r="J225" s="32"/>
    </row>
    <row r="226" spans="1:10" x14ac:dyDescent="0.2">
      <c r="A226" s="32"/>
      <c r="B226" s="42" t="s">
        <v>463</v>
      </c>
      <c r="C226" s="43" t="s">
        <v>464</v>
      </c>
      <c r="D226" s="44" t="s">
        <v>238</v>
      </c>
      <c r="E226" s="45">
        <v>1</v>
      </c>
      <c r="F226" s="46">
        <v>9</v>
      </c>
      <c r="G226" s="46">
        <f t="shared" si="3"/>
        <v>9</v>
      </c>
      <c r="H226" s="47" t="s">
        <v>24</v>
      </c>
      <c r="I226" s="47" t="s">
        <v>58</v>
      </c>
      <c r="J226" s="32"/>
    </row>
    <row r="227" spans="1:10" x14ac:dyDescent="0.2">
      <c r="A227" s="32"/>
      <c r="B227" s="36" t="s">
        <v>465</v>
      </c>
      <c r="C227" s="37" t="s">
        <v>464</v>
      </c>
      <c r="D227" s="38" t="s">
        <v>466</v>
      </c>
      <c r="E227" s="39">
        <v>1</v>
      </c>
      <c r="F227" s="40">
        <v>64.900000000000006</v>
      </c>
      <c r="G227" s="40">
        <f t="shared" si="3"/>
        <v>64.900000000000006</v>
      </c>
      <c r="H227" s="41" t="s">
        <v>24</v>
      </c>
      <c r="I227" s="41" t="s">
        <v>58</v>
      </c>
      <c r="J227" s="32"/>
    </row>
    <row r="228" spans="1:10" x14ac:dyDescent="0.2">
      <c r="A228" s="32"/>
      <c r="B228" s="42" t="s">
        <v>467</v>
      </c>
      <c r="C228" s="43" t="s">
        <v>464</v>
      </c>
      <c r="D228" s="44" t="s">
        <v>41</v>
      </c>
      <c r="E228" s="45">
        <v>1</v>
      </c>
      <c r="F228" s="46">
        <v>11</v>
      </c>
      <c r="G228" s="46">
        <f t="shared" si="3"/>
        <v>11</v>
      </c>
      <c r="H228" s="47" t="s">
        <v>26</v>
      </c>
      <c r="I228" s="47" t="s">
        <v>58</v>
      </c>
      <c r="J228" s="32"/>
    </row>
    <row r="229" spans="1:10" x14ac:dyDescent="0.2">
      <c r="A229" s="32"/>
      <c r="B229" s="36" t="s">
        <v>468</v>
      </c>
      <c r="C229" s="37" t="s">
        <v>469</v>
      </c>
      <c r="D229" s="38" t="s">
        <v>470</v>
      </c>
      <c r="E229" s="39">
        <v>1</v>
      </c>
      <c r="F229" s="40">
        <v>1360</v>
      </c>
      <c r="G229" s="40">
        <f t="shared" si="3"/>
        <v>1360</v>
      </c>
      <c r="H229" s="41" t="s">
        <v>24</v>
      </c>
      <c r="I229" s="41" t="s">
        <v>58</v>
      </c>
      <c r="J229" s="32"/>
    </row>
    <row r="230" spans="1:10" x14ac:dyDescent="0.2">
      <c r="A230" s="32"/>
      <c r="B230" s="42" t="s">
        <v>471</v>
      </c>
      <c r="C230" s="43" t="s">
        <v>469</v>
      </c>
      <c r="D230" s="44" t="s">
        <v>472</v>
      </c>
      <c r="E230" s="45">
        <v>1</v>
      </c>
      <c r="F230" s="46">
        <v>640</v>
      </c>
      <c r="G230" s="46">
        <f t="shared" si="3"/>
        <v>640</v>
      </c>
      <c r="H230" s="47" t="s">
        <v>24</v>
      </c>
      <c r="I230" s="47" t="s">
        <v>58</v>
      </c>
      <c r="J230" s="32"/>
    </row>
    <row r="231" spans="1:10" x14ac:dyDescent="0.2">
      <c r="A231" s="32"/>
      <c r="B231" s="36" t="s">
        <v>473</v>
      </c>
      <c r="C231" s="37" t="s">
        <v>469</v>
      </c>
      <c r="D231" s="38" t="s">
        <v>474</v>
      </c>
      <c r="E231" s="39">
        <v>1</v>
      </c>
      <c r="F231" s="40">
        <v>60</v>
      </c>
      <c r="G231" s="40">
        <f t="shared" si="3"/>
        <v>60</v>
      </c>
      <c r="H231" s="41" t="s">
        <v>24</v>
      </c>
      <c r="I231" s="41" t="s">
        <v>58</v>
      </c>
      <c r="J231" s="32"/>
    </row>
    <row r="232" spans="1:10" x14ac:dyDescent="0.2">
      <c r="A232" s="32"/>
      <c r="B232" s="42" t="s">
        <v>475</v>
      </c>
      <c r="C232" s="43" t="s">
        <v>469</v>
      </c>
      <c r="D232" s="44" t="s">
        <v>476</v>
      </c>
      <c r="E232" s="45">
        <v>1</v>
      </c>
      <c r="F232" s="46">
        <v>60</v>
      </c>
      <c r="G232" s="46">
        <f t="shared" si="3"/>
        <v>60</v>
      </c>
      <c r="H232" s="47" t="s">
        <v>24</v>
      </c>
      <c r="I232" s="47" t="s">
        <v>58</v>
      </c>
      <c r="J232" s="32"/>
    </row>
    <row r="233" spans="1:10" x14ac:dyDescent="0.2">
      <c r="A233" s="32"/>
      <c r="B233" s="36" t="s">
        <v>477</v>
      </c>
      <c r="C233" s="37" t="s">
        <v>478</v>
      </c>
      <c r="D233" s="38" t="s">
        <v>466</v>
      </c>
      <c r="E233" s="39">
        <v>1</v>
      </c>
      <c r="F233" s="40">
        <v>77</v>
      </c>
      <c r="G233" s="40">
        <f t="shared" si="3"/>
        <v>77</v>
      </c>
      <c r="H233" s="41" t="s">
        <v>24</v>
      </c>
      <c r="I233" s="41" t="s">
        <v>58</v>
      </c>
      <c r="J233" s="32"/>
    </row>
    <row r="234" spans="1:10" x14ac:dyDescent="0.2">
      <c r="A234" s="32"/>
      <c r="B234" s="42" t="s">
        <v>479</v>
      </c>
      <c r="C234" s="43" t="s">
        <v>478</v>
      </c>
      <c r="D234" s="44" t="s">
        <v>41</v>
      </c>
      <c r="E234" s="45">
        <v>1</v>
      </c>
      <c r="F234" s="46">
        <v>11</v>
      </c>
      <c r="G234" s="46">
        <f t="shared" si="3"/>
        <v>11</v>
      </c>
      <c r="H234" s="47" t="s">
        <v>26</v>
      </c>
      <c r="I234" s="47" t="s">
        <v>58</v>
      </c>
      <c r="J234" s="32"/>
    </row>
    <row r="235" spans="1:10" x14ac:dyDescent="0.2">
      <c r="A235" s="32"/>
      <c r="B235" s="36" t="s">
        <v>480</v>
      </c>
      <c r="C235" s="37" t="s">
        <v>481</v>
      </c>
      <c r="D235" s="38" t="s">
        <v>54</v>
      </c>
      <c r="E235" s="39">
        <v>1</v>
      </c>
      <c r="F235" s="40">
        <v>4.99</v>
      </c>
      <c r="G235" s="40">
        <f t="shared" si="3"/>
        <v>4.99</v>
      </c>
      <c r="H235" s="41" t="s">
        <v>26</v>
      </c>
      <c r="I235" s="41" t="s">
        <v>55</v>
      </c>
      <c r="J235" s="32"/>
    </row>
    <row r="236" spans="1:10" x14ac:dyDescent="0.2">
      <c r="A236" s="32"/>
      <c r="B236" s="42" t="s">
        <v>482</v>
      </c>
      <c r="C236" s="43" t="s">
        <v>481</v>
      </c>
      <c r="D236" s="44" t="s">
        <v>57</v>
      </c>
      <c r="E236" s="45">
        <v>1</v>
      </c>
      <c r="F236" s="46">
        <v>5.99</v>
      </c>
      <c r="G236" s="46">
        <f t="shared" si="3"/>
        <v>5.99</v>
      </c>
      <c r="H236" s="47" t="s">
        <v>24</v>
      </c>
      <c r="I236" s="47" t="s">
        <v>58</v>
      </c>
      <c r="J236" s="32"/>
    </row>
    <row r="237" spans="1:10" x14ac:dyDescent="0.2">
      <c r="A237" s="32"/>
      <c r="B237" s="36" t="s">
        <v>483</v>
      </c>
      <c r="C237" s="37" t="s">
        <v>484</v>
      </c>
      <c r="D237" s="38" t="s">
        <v>485</v>
      </c>
      <c r="E237" s="39">
        <v>1</v>
      </c>
      <c r="F237" s="40">
        <v>53.5</v>
      </c>
      <c r="G237" s="40">
        <f t="shared" si="3"/>
        <v>53.5</v>
      </c>
      <c r="H237" s="41" t="s">
        <v>24</v>
      </c>
      <c r="I237" s="41" t="s">
        <v>58</v>
      </c>
      <c r="J237" s="32"/>
    </row>
    <row r="238" spans="1:10" x14ac:dyDescent="0.2">
      <c r="A238" s="32"/>
      <c r="B238" s="42" t="s">
        <v>486</v>
      </c>
      <c r="C238" s="43" t="s">
        <v>484</v>
      </c>
      <c r="D238" s="44" t="s">
        <v>41</v>
      </c>
      <c r="E238" s="45">
        <v>1</v>
      </c>
      <c r="F238" s="46">
        <v>7.5</v>
      </c>
      <c r="G238" s="46">
        <f t="shared" si="3"/>
        <v>7.5</v>
      </c>
      <c r="H238" s="47" t="s">
        <v>26</v>
      </c>
      <c r="I238" s="47" t="s">
        <v>58</v>
      </c>
      <c r="J238" s="32"/>
    </row>
    <row r="239" spans="1:10" x14ac:dyDescent="0.2">
      <c r="A239" s="32"/>
      <c r="B239" s="36" t="s">
        <v>487</v>
      </c>
      <c r="C239" s="37" t="s">
        <v>488</v>
      </c>
      <c r="D239" s="38" t="s">
        <v>466</v>
      </c>
      <c r="E239" s="39">
        <v>1</v>
      </c>
      <c r="F239" s="40">
        <v>77</v>
      </c>
      <c r="G239" s="40">
        <f t="shared" si="3"/>
        <v>77</v>
      </c>
      <c r="H239" s="41" t="s">
        <v>24</v>
      </c>
      <c r="I239" s="41" t="s">
        <v>58</v>
      </c>
      <c r="J239" s="32"/>
    </row>
    <row r="240" spans="1:10" x14ac:dyDescent="0.2">
      <c r="A240" s="32"/>
      <c r="B240" s="42" t="s">
        <v>489</v>
      </c>
      <c r="C240" s="43" t="s">
        <v>488</v>
      </c>
      <c r="D240" s="44" t="s">
        <v>41</v>
      </c>
      <c r="E240" s="45">
        <v>1</v>
      </c>
      <c r="F240" s="46">
        <v>11</v>
      </c>
      <c r="G240" s="46">
        <f t="shared" si="3"/>
        <v>11</v>
      </c>
      <c r="H240" s="47" t="s">
        <v>26</v>
      </c>
      <c r="I240" s="47" t="s">
        <v>58</v>
      </c>
      <c r="J240" s="32"/>
    </row>
    <row r="241" spans="1:10" x14ac:dyDescent="0.2">
      <c r="A241" s="32"/>
      <c r="B241" s="36" t="s">
        <v>490</v>
      </c>
      <c r="C241" s="37" t="s">
        <v>491</v>
      </c>
      <c r="D241" s="38" t="s">
        <v>54</v>
      </c>
      <c r="E241" s="39">
        <v>1</v>
      </c>
      <c r="F241" s="40">
        <v>4.99</v>
      </c>
      <c r="G241" s="40">
        <f t="shared" si="3"/>
        <v>4.99</v>
      </c>
      <c r="H241" s="41" t="s">
        <v>26</v>
      </c>
      <c r="I241" s="41" t="s">
        <v>55</v>
      </c>
      <c r="J241" s="32"/>
    </row>
    <row r="242" spans="1:10" x14ac:dyDescent="0.2">
      <c r="A242" s="32"/>
      <c r="B242" s="42" t="s">
        <v>492</v>
      </c>
      <c r="C242" s="43" t="s">
        <v>491</v>
      </c>
      <c r="D242" s="44" t="s">
        <v>57</v>
      </c>
      <c r="E242" s="45">
        <v>1</v>
      </c>
      <c r="F242" s="46">
        <v>5.99</v>
      </c>
      <c r="G242" s="46">
        <f t="shared" si="3"/>
        <v>5.99</v>
      </c>
      <c r="H242" s="47" t="s">
        <v>24</v>
      </c>
      <c r="I242" s="47" t="s">
        <v>58</v>
      </c>
      <c r="J242" s="32"/>
    </row>
    <row r="243" spans="1:10" x14ac:dyDescent="0.2">
      <c r="A243" s="32"/>
      <c r="B243" s="36" t="s">
        <v>493</v>
      </c>
      <c r="C243" s="37" t="s">
        <v>494</v>
      </c>
      <c r="D243" s="38" t="s">
        <v>54</v>
      </c>
      <c r="E243" s="39">
        <v>1</v>
      </c>
      <c r="F243" s="40">
        <v>4.99</v>
      </c>
      <c r="G243" s="40">
        <f t="shared" si="3"/>
        <v>4.99</v>
      </c>
      <c r="H243" s="41" t="s">
        <v>26</v>
      </c>
      <c r="I243" s="41" t="s">
        <v>55</v>
      </c>
      <c r="J243" s="32"/>
    </row>
    <row r="244" spans="1:10" x14ac:dyDescent="0.2">
      <c r="A244" s="32"/>
      <c r="B244" s="42" t="s">
        <v>495</v>
      </c>
      <c r="C244" s="43" t="s">
        <v>494</v>
      </c>
      <c r="D244" s="44" t="s">
        <v>57</v>
      </c>
      <c r="E244" s="45">
        <v>1</v>
      </c>
      <c r="F244" s="46">
        <v>5.99</v>
      </c>
      <c r="G244" s="46">
        <f t="shared" si="3"/>
        <v>5.99</v>
      </c>
      <c r="H244" s="47" t="s">
        <v>24</v>
      </c>
      <c r="I244" s="47" t="s">
        <v>58</v>
      </c>
      <c r="J244" s="32"/>
    </row>
    <row r="245" spans="1:10" x14ac:dyDescent="0.2">
      <c r="A245" s="32"/>
      <c r="B245" s="36" t="s">
        <v>496</v>
      </c>
      <c r="C245" s="37" t="s">
        <v>497</v>
      </c>
      <c r="D245" s="38" t="s">
        <v>54</v>
      </c>
      <c r="E245" s="39">
        <v>1</v>
      </c>
      <c r="F245" s="40">
        <v>4.99</v>
      </c>
      <c r="G245" s="40">
        <f t="shared" si="3"/>
        <v>4.99</v>
      </c>
      <c r="H245" s="41" t="s">
        <v>26</v>
      </c>
      <c r="I245" s="41" t="s">
        <v>55</v>
      </c>
      <c r="J245" s="32"/>
    </row>
    <row r="246" spans="1:10" x14ac:dyDescent="0.2">
      <c r="A246" s="32"/>
      <c r="B246" s="42" t="s">
        <v>498</v>
      </c>
      <c r="C246" s="43" t="s">
        <v>497</v>
      </c>
      <c r="D246" s="44" t="s">
        <v>57</v>
      </c>
      <c r="E246" s="45">
        <v>1</v>
      </c>
      <c r="F246" s="46">
        <v>5.99</v>
      </c>
      <c r="G246" s="46">
        <f t="shared" si="3"/>
        <v>5.99</v>
      </c>
      <c r="H246" s="47" t="s">
        <v>24</v>
      </c>
      <c r="I246" s="47" t="s">
        <v>58</v>
      </c>
      <c r="J246" s="32"/>
    </row>
    <row r="247" spans="1:10" x14ac:dyDescent="0.2">
      <c r="A247" s="32"/>
      <c r="B247" s="36" t="s">
        <v>499</v>
      </c>
      <c r="C247" s="37" t="s">
        <v>53</v>
      </c>
      <c r="D247" s="38" t="s">
        <v>54</v>
      </c>
      <c r="E247" s="39">
        <v>1</v>
      </c>
      <c r="F247" s="40">
        <v>4.99</v>
      </c>
      <c r="G247" s="40">
        <f t="shared" si="3"/>
        <v>4.99</v>
      </c>
      <c r="H247" s="41" t="s">
        <v>26</v>
      </c>
      <c r="I247" s="41" t="s">
        <v>55</v>
      </c>
      <c r="J247" s="32"/>
    </row>
    <row r="248" spans="1:10" x14ac:dyDescent="0.2">
      <c r="A248" s="32"/>
      <c r="B248" s="42" t="s">
        <v>500</v>
      </c>
      <c r="C248" s="43" t="s">
        <v>53</v>
      </c>
      <c r="D248" s="44" t="s">
        <v>57</v>
      </c>
      <c r="E248" s="45">
        <v>1</v>
      </c>
      <c r="F248" s="46">
        <v>5.99</v>
      </c>
      <c r="G248" s="46">
        <f t="shared" si="3"/>
        <v>5.99</v>
      </c>
      <c r="H248" s="47" t="s">
        <v>24</v>
      </c>
      <c r="I248" s="47" t="s">
        <v>58</v>
      </c>
      <c r="J248" s="32"/>
    </row>
    <row r="249" spans="1:10" x14ac:dyDescent="0.2">
      <c r="A249" s="32"/>
      <c r="B249" s="36" t="s">
        <v>501</v>
      </c>
      <c r="C249" s="37" t="s">
        <v>502</v>
      </c>
      <c r="D249" s="38" t="s">
        <v>337</v>
      </c>
      <c r="E249" s="39">
        <v>1</v>
      </c>
      <c r="F249" s="40">
        <v>38</v>
      </c>
      <c r="G249" s="40">
        <f t="shared" si="3"/>
        <v>38</v>
      </c>
      <c r="H249" s="41" t="s">
        <v>24</v>
      </c>
      <c r="I249" s="41" t="s">
        <v>338</v>
      </c>
      <c r="J249" s="32"/>
    </row>
    <row r="250" spans="1:10" x14ac:dyDescent="0.2">
      <c r="A250" s="32"/>
      <c r="B250" s="42" t="s">
        <v>503</v>
      </c>
      <c r="C250" s="43" t="s">
        <v>502</v>
      </c>
      <c r="D250" s="44" t="s">
        <v>504</v>
      </c>
      <c r="E250" s="45">
        <v>1</v>
      </c>
      <c r="F250" s="46">
        <v>56</v>
      </c>
      <c r="G250" s="46">
        <f t="shared" si="3"/>
        <v>56</v>
      </c>
      <c r="H250" s="47" t="s">
        <v>24</v>
      </c>
      <c r="I250" s="47" t="s">
        <v>58</v>
      </c>
      <c r="J250" s="32"/>
    </row>
    <row r="251" spans="1:10" x14ac:dyDescent="0.2">
      <c r="A251" s="32"/>
      <c r="B251" s="36" t="s">
        <v>505</v>
      </c>
      <c r="C251" s="37" t="s">
        <v>502</v>
      </c>
      <c r="D251" s="38" t="s">
        <v>41</v>
      </c>
      <c r="E251" s="39">
        <v>1</v>
      </c>
      <c r="F251" s="40">
        <v>14</v>
      </c>
      <c r="G251" s="40">
        <f t="shared" si="3"/>
        <v>14</v>
      </c>
      <c r="H251" s="41" t="s">
        <v>26</v>
      </c>
      <c r="I251" s="41" t="s">
        <v>58</v>
      </c>
      <c r="J251" s="32"/>
    </row>
    <row r="252" spans="1:10" x14ac:dyDescent="0.2">
      <c r="A252" s="32"/>
      <c r="B252" s="42" t="s">
        <v>506</v>
      </c>
      <c r="C252" s="43" t="s">
        <v>507</v>
      </c>
      <c r="D252" s="44" t="s">
        <v>508</v>
      </c>
      <c r="E252" s="45">
        <v>1</v>
      </c>
      <c r="F252" s="46">
        <v>10.75</v>
      </c>
      <c r="G252" s="46">
        <f t="shared" si="3"/>
        <v>10.75</v>
      </c>
      <c r="H252" s="47" t="s">
        <v>24</v>
      </c>
      <c r="I252" s="47" t="s">
        <v>71</v>
      </c>
      <c r="J252" s="32"/>
    </row>
    <row r="253" spans="1:10" x14ac:dyDescent="0.2">
      <c r="A253" s="32"/>
      <c r="B253" s="36" t="s">
        <v>509</v>
      </c>
      <c r="C253" s="37" t="s">
        <v>507</v>
      </c>
      <c r="D253" s="38" t="s">
        <v>510</v>
      </c>
      <c r="E253" s="39">
        <v>1</v>
      </c>
      <c r="F253" s="40">
        <v>13.4</v>
      </c>
      <c r="G253" s="40">
        <f t="shared" si="3"/>
        <v>13.4</v>
      </c>
      <c r="H253" s="41" t="s">
        <v>24</v>
      </c>
      <c r="I253" s="41" t="s">
        <v>58</v>
      </c>
      <c r="J253" s="32"/>
    </row>
    <row r="254" spans="1:10" x14ac:dyDescent="0.2">
      <c r="A254" s="32"/>
      <c r="B254" s="42" t="s">
        <v>511</v>
      </c>
      <c r="C254" s="43" t="s">
        <v>507</v>
      </c>
      <c r="D254" s="44" t="s">
        <v>512</v>
      </c>
      <c r="E254" s="45">
        <v>1</v>
      </c>
      <c r="F254" s="46">
        <v>20.51</v>
      </c>
      <c r="G254" s="46">
        <f t="shared" si="3"/>
        <v>20.51</v>
      </c>
      <c r="H254" s="47" t="s">
        <v>24</v>
      </c>
      <c r="I254" s="47" t="s">
        <v>71</v>
      </c>
      <c r="J254" s="32"/>
    </row>
    <row r="255" spans="1:10" x14ac:dyDescent="0.2">
      <c r="A255" s="32"/>
      <c r="B255" s="36" t="s">
        <v>513</v>
      </c>
      <c r="C255" s="37" t="s">
        <v>507</v>
      </c>
      <c r="D255" s="38" t="s">
        <v>512</v>
      </c>
      <c r="E255" s="39">
        <v>1</v>
      </c>
      <c r="F255" s="40">
        <v>20.51</v>
      </c>
      <c r="G255" s="40">
        <f t="shared" si="3"/>
        <v>20.51</v>
      </c>
      <c r="H255" s="41" t="s">
        <v>24</v>
      </c>
      <c r="I255" s="41" t="s">
        <v>71</v>
      </c>
      <c r="J255" s="32"/>
    </row>
    <row r="256" spans="1:10" x14ac:dyDescent="0.2">
      <c r="A256" s="32"/>
      <c r="B256" s="42" t="s">
        <v>514</v>
      </c>
      <c r="C256" s="43" t="s">
        <v>507</v>
      </c>
      <c r="D256" s="44" t="s">
        <v>515</v>
      </c>
      <c r="E256" s="45">
        <v>1</v>
      </c>
      <c r="F256" s="46">
        <v>35.89</v>
      </c>
      <c r="G256" s="46">
        <f t="shared" si="3"/>
        <v>35.89</v>
      </c>
      <c r="H256" s="47" t="s">
        <v>25</v>
      </c>
      <c r="I256" s="47" t="s">
        <v>58</v>
      </c>
      <c r="J256" s="32"/>
    </row>
    <row r="257" spans="1:10" x14ac:dyDescent="0.2">
      <c r="A257" s="32"/>
      <c r="B257" s="36" t="s">
        <v>516</v>
      </c>
      <c r="C257" s="37" t="s">
        <v>507</v>
      </c>
      <c r="D257" s="38" t="s">
        <v>517</v>
      </c>
      <c r="E257" s="39">
        <v>1</v>
      </c>
      <c r="F257" s="40">
        <v>47.36</v>
      </c>
      <c r="G257" s="40">
        <f t="shared" si="3"/>
        <v>47.36</v>
      </c>
      <c r="H257" s="41" t="s">
        <v>24</v>
      </c>
      <c r="I257" s="41" t="s">
        <v>58</v>
      </c>
      <c r="J257" s="32"/>
    </row>
    <row r="258" spans="1:10" x14ac:dyDescent="0.2">
      <c r="A258" s="32"/>
      <c r="B258" s="42" t="s">
        <v>518</v>
      </c>
      <c r="C258" s="43" t="s">
        <v>507</v>
      </c>
      <c r="D258" s="44" t="s">
        <v>519</v>
      </c>
      <c r="E258" s="45">
        <v>1</v>
      </c>
      <c r="F258" s="46">
        <v>37.950000000000003</v>
      </c>
      <c r="G258" s="46">
        <f t="shared" si="3"/>
        <v>37.950000000000003</v>
      </c>
      <c r="H258" s="47" t="s">
        <v>24</v>
      </c>
      <c r="I258" s="47" t="s">
        <v>58</v>
      </c>
      <c r="J258" s="32"/>
    </row>
    <row r="259" spans="1:10" x14ac:dyDescent="0.2">
      <c r="A259" s="32"/>
      <c r="B259" s="36" t="s">
        <v>520</v>
      </c>
      <c r="C259" s="37" t="s">
        <v>507</v>
      </c>
      <c r="D259" s="38" t="s">
        <v>521</v>
      </c>
      <c r="E259" s="39">
        <v>1</v>
      </c>
      <c r="F259" s="40">
        <v>7</v>
      </c>
      <c r="G259" s="40">
        <f t="shared" si="3"/>
        <v>7</v>
      </c>
      <c r="H259" s="41" t="s">
        <v>26</v>
      </c>
      <c r="I259" s="41" t="s">
        <v>58</v>
      </c>
      <c r="J259" s="32"/>
    </row>
    <row r="260" spans="1:10" x14ac:dyDescent="0.2">
      <c r="A260" s="32"/>
      <c r="B260" s="42" t="s">
        <v>522</v>
      </c>
      <c r="C260" s="43" t="s">
        <v>523</v>
      </c>
      <c r="D260" s="44" t="s">
        <v>524</v>
      </c>
      <c r="E260" s="45">
        <v>1</v>
      </c>
      <c r="F260" s="46">
        <v>60</v>
      </c>
      <c r="G260" s="46">
        <f t="shared" si="3"/>
        <v>60</v>
      </c>
      <c r="H260" s="47" t="s">
        <v>24</v>
      </c>
      <c r="I260" s="47" t="s">
        <v>58</v>
      </c>
      <c r="J260" s="32"/>
    </row>
    <row r="261" spans="1:10" x14ac:dyDescent="0.2">
      <c r="A261" s="32"/>
      <c r="B261" s="36" t="s">
        <v>525</v>
      </c>
      <c r="C261" s="37" t="s">
        <v>523</v>
      </c>
      <c r="D261" s="38" t="s">
        <v>526</v>
      </c>
      <c r="E261" s="39">
        <v>1</v>
      </c>
      <c r="F261" s="40">
        <v>40</v>
      </c>
      <c r="G261" s="40">
        <f t="shared" ref="G261:G324" si="4">E261*F261</f>
        <v>40</v>
      </c>
      <c r="H261" s="41" t="s">
        <v>24</v>
      </c>
      <c r="I261" s="41" t="s">
        <v>58</v>
      </c>
      <c r="J261" s="32"/>
    </row>
    <row r="262" spans="1:10" x14ac:dyDescent="0.2">
      <c r="A262" s="32"/>
      <c r="B262" s="42" t="s">
        <v>527</v>
      </c>
      <c r="C262" s="43" t="s">
        <v>523</v>
      </c>
      <c r="D262" s="44" t="s">
        <v>528</v>
      </c>
      <c r="E262" s="45">
        <v>1</v>
      </c>
      <c r="F262" s="46">
        <v>40</v>
      </c>
      <c r="G262" s="46">
        <f t="shared" si="4"/>
        <v>40</v>
      </c>
      <c r="H262" s="47" t="s">
        <v>24</v>
      </c>
      <c r="I262" s="47" t="s">
        <v>58</v>
      </c>
      <c r="J262" s="32"/>
    </row>
    <row r="263" spans="1:10" x14ac:dyDescent="0.2">
      <c r="A263" s="32"/>
      <c r="B263" s="36" t="s">
        <v>529</v>
      </c>
      <c r="C263" s="37" t="s">
        <v>523</v>
      </c>
      <c r="D263" s="38" t="s">
        <v>530</v>
      </c>
      <c r="E263" s="39">
        <v>1</v>
      </c>
      <c r="F263" s="40">
        <v>800</v>
      </c>
      <c r="G263" s="40">
        <f t="shared" si="4"/>
        <v>800</v>
      </c>
      <c r="H263" s="41" t="s">
        <v>28</v>
      </c>
      <c r="I263" s="41" t="s">
        <v>58</v>
      </c>
      <c r="J263" s="32"/>
    </row>
    <row r="264" spans="1:10" x14ac:dyDescent="0.2">
      <c r="A264" s="32"/>
      <c r="B264" s="42" t="s">
        <v>531</v>
      </c>
      <c r="C264" s="43" t="s">
        <v>523</v>
      </c>
      <c r="D264" s="44" t="s">
        <v>532</v>
      </c>
      <c r="E264" s="45">
        <v>1</v>
      </c>
      <c r="F264" s="46">
        <v>180</v>
      </c>
      <c r="G264" s="46">
        <f t="shared" si="4"/>
        <v>180</v>
      </c>
      <c r="H264" s="47" t="s">
        <v>24</v>
      </c>
      <c r="I264" s="47" t="s">
        <v>58</v>
      </c>
      <c r="J264" s="32"/>
    </row>
    <row r="265" spans="1:10" x14ac:dyDescent="0.2">
      <c r="A265" s="32"/>
      <c r="B265" s="36" t="s">
        <v>533</v>
      </c>
      <c r="C265" s="37" t="s">
        <v>523</v>
      </c>
      <c r="D265" s="38" t="s">
        <v>534</v>
      </c>
      <c r="E265" s="39">
        <v>1</v>
      </c>
      <c r="F265" s="40">
        <v>40</v>
      </c>
      <c r="G265" s="40">
        <f t="shared" si="4"/>
        <v>40</v>
      </c>
      <c r="H265" s="41" t="s">
        <v>28</v>
      </c>
      <c r="I265" s="41" t="s">
        <v>58</v>
      </c>
      <c r="J265" s="32"/>
    </row>
    <row r="266" spans="1:10" x14ac:dyDescent="0.2">
      <c r="A266" s="32"/>
      <c r="B266" s="42" t="s">
        <v>535</v>
      </c>
      <c r="C266" s="43" t="s">
        <v>523</v>
      </c>
      <c r="D266" s="44" t="s">
        <v>536</v>
      </c>
      <c r="E266" s="45">
        <v>1</v>
      </c>
      <c r="F266" s="46">
        <v>120</v>
      </c>
      <c r="G266" s="46">
        <f t="shared" si="4"/>
        <v>120</v>
      </c>
      <c r="H266" s="47" t="s">
        <v>24</v>
      </c>
      <c r="I266" s="47" t="s">
        <v>58</v>
      </c>
      <c r="J266" s="32"/>
    </row>
    <row r="267" spans="1:10" x14ac:dyDescent="0.2">
      <c r="A267" s="32"/>
      <c r="B267" s="36" t="s">
        <v>537</v>
      </c>
      <c r="C267" s="37" t="s">
        <v>523</v>
      </c>
      <c r="D267" s="38" t="s">
        <v>538</v>
      </c>
      <c r="E267" s="39">
        <v>1</v>
      </c>
      <c r="F267" s="40">
        <v>110</v>
      </c>
      <c r="G267" s="40">
        <f t="shared" si="4"/>
        <v>110</v>
      </c>
      <c r="H267" s="41" t="s">
        <v>24</v>
      </c>
      <c r="I267" s="41" t="s">
        <v>58</v>
      </c>
      <c r="J267" s="32"/>
    </row>
    <row r="268" spans="1:10" x14ac:dyDescent="0.2">
      <c r="A268" s="32"/>
      <c r="B268" s="42" t="s">
        <v>539</v>
      </c>
      <c r="C268" s="43" t="s">
        <v>523</v>
      </c>
      <c r="D268" s="44" t="s">
        <v>540</v>
      </c>
      <c r="E268" s="45">
        <v>1</v>
      </c>
      <c r="F268" s="46">
        <v>45</v>
      </c>
      <c r="G268" s="46">
        <f t="shared" si="4"/>
        <v>45</v>
      </c>
      <c r="H268" s="47" t="s">
        <v>24</v>
      </c>
      <c r="I268" s="47" t="s">
        <v>58</v>
      </c>
      <c r="J268" s="32"/>
    </row>
    <row r="269" spans="1:10" x14ac:dyDescent="0.2">
      <c r="A269" s="32"/>
      <c r="B269" s="36" t="s">
        <v>541</v>
      </c>
      <c r="C269" s="37" t="s">
        <v>523</v>
      </c>
      <c r="D269" s="38" t="s">
        <v>542</v>
      </c>
      <c r="E269" s="39">
        <v>1</v>
      </c>
      <c r="F269" s="40">
        <v>60</v>
      </c>
      <c r="G269" s="40">
        <f t="shared" si="4"/>
        <v>60</v>
      </c>
      <c r="H269" s="41" t="s">
        <v>24</v>
      </c>
      <c r="I269" s="41" t="s">
        <v>58</v>
      </c>
      <c r="J269" s="32"/>
    </row>
    <row r="270" spans="1:10" x14ac:dyDescent="0.2">
      <c r="A270" s="32"/>
      <c r="B270" s="42" t="s">
        <v>543</v>
      </c>
      <c r="C270" s="43" t="s">
        <v>523</v>
      </c>
      <c r="D270" s="44" t="s">
        <v>544</v>
      </c>
      <c r="E270" s="45">
        <v>1</v>
      </c>
      <c r="F270" s="46">
        <v>45</v>
      </c>
      <c r="G270" s="46">
        <f t="shared" si="4"/>
        <v>45</v>
      </c>
      <c r="H270" s="47" t="s">
        <v>28</v>
      </c>
      <c r="I270" s="47" t="s">
        <v>58</v>
      </c>
      <c r="J270" s="32"/>
    </row>
    <row r="271" spans="1:10" x14ac:dyDescent="0.2">
      <c r="A271" s="32"/>
      <c r="B271" s="36" t="s">
        <v>545</v>
      </c>
      <c r="C271" s="37" t="s">
        <v>523</v>
      </c>
      <c r="D271" s="38" t="s">
        <v>546</v>
      </c>
      <c r="E271" s="39">
        <v>1</v>
      </c>
      <c r="F271" s="40">
        <v>40</v>
      </c>
      <c r="G271" s="40">
        <f t="shared" si="4"/>
        <v>40</v>
      </c>
      <c r="H271" s="41" t="s">
        <v>28</v>
      </c>
      <c r="I271" s="41" t="s">
        <v>58</v>
      </c>
      <c r="J271" s="32"/>
    </row>
    <row r="272" spans="1:10" x14ac:dyDescent="0.2">
      <c r="A272" s="32"/>
      <c r="B272" s="42" t="s">
        <v>547</v>
      </c>
      <c r="C272" s="43" t="s">
        <v>523</v>
      </c>
      <c r="D272" s="44" t="s">
        <v>548</v>
      </c>
      <c r="E272" s="45">
        <v>1</v>
      </c>
      <c r="F272" s="46">
        <v>40</v>
      </c>
      <c r="G272" s="46">
        <f t="shared" si="4"/>
        <v>40</v>
      </c>
      <c r="H272" s="47" t="s">
        <v>24</v>
      </c>
      <c r="I272" s="47" t="s">
        <v>58</v>
      </c>
      <c r="J272" s="32"/>
    </row>
    <row r="273" spans="1:10" x14ac:dyDescent="0.2">
      <c r="A273" s="32"/>
      <c r="B273" s="36" t="s">
        <v>549</v>
      </c>
      <c r="C273" s="37" t="s">
        <v>523</v>
      </c>
      <c r="D273" s="38" t="s">
        <v>550</v>
      </c>
      <c r="E273" s="39">
        <v>1</v>
      </c>
      <c r="F273" s="40">
        <v>30</v>
      </c>
      <c r="G273" s="40">
        <f t="shared" si="4"/>
        <v>30</v>
      </c>
      <c r="H273" s="41" t="s">
        <v>24</v>
      </c>
      <c r="I273" s="41" t="s">
        <v>58</v>
      </c>
      <c r="J273" s="32"/>
    </row>
    <row r="274" spans="1:10" x14ac:dyDescent="0.2">
      <c r="A274" s="32"/>
      <c r="B274" s="42" t="s">
        <v>551</v>
      </c>
      <c r="C274" s="43" t="s">
        <v>523</v>
      </c>
      <c r="D274" s="44" t="s">
        <v>552</v>
      </c>
      <c r="E274" s="45">
        <v>1</v>
      </c>
      <c r="F274" s="46">
        <v>2</v>
      </c>
      <c r="G274" s="46">
        <f t="shared" si="4"/>
        <v>2</v>
      </c>
      <c r="H274" s="47" t="s">
        <v>24</v>
      </c>
      <c r="I274" s="47" t="s">
        <v>58</v>
      </c>
      <c r="J274" s="32"/>
    </row>
    <row r="275" spans="1:10" x14ac:dyDescent="0.2">
      <c r="A275" s="32"/>
      <c r="B275" s="36" t="s">
        <v>553</v>
      </c>
      <c r="C275" s="37" t="s">
        <v>523</v>
      </c>
      <c r="D275" s="38" t="s">
        <v>554</v>
      </c>
      <c r="E275" s="39">
        <v>1</v>
      </c>
      <c r="F275" s="40">
        <v>25</v>
      </c>
      <c r="G275" s="40">
        <f t="shared" si="4"/>
        <v>25</v>
      </c>
      <c r="H275" s="41" t="s">
        <v>28</v>
      </c>
      <c r="I275" s="41" t="s">
        <v>58</v>
      </c>
      <c r="J275" s="32"/>
    </row>
    <row r="276" spans="1:10" x14ac:dyDescent="0.2">
      <c r="A276" s="32"/>
      <c r="B276" s="42" t="s">
        <v>555</v>
      </c>
      <c r="C276" s="43" t="s">
        <v>523</v>
      </c>
      <c r="D276" s="44" t="s">
        <v>556</v>
      </c>
      <c r="E276" s="45">
        <v>1</v>
      </c>
      <c r="F276" s="46">
        <v>60</v>
      </c>
      <c r="G276" s="46">
        <f t="shared" si="4"/>
        <v>60</v>
      </c>
      <c r="H276" s="47" t="s">
        <v>24</v>
      </c>
      <c r="I276" s="47" t="s">
        <v>58</v>
      </c>
      <c r="J276" s="32"/>
    </row>
    <row r="277" spans="1:10" x14ac:dyDescent="0.2">
      <c r="A277" s="32"/>
      <c r="B277" s="36" t="s">
        <v>557</v>
      </c>
      <c r="C277" s="37" t="s">
        <v>523</v>
      </c>
      <c r="D277" s="38" t="s">
        <v>558</v>
      </c>
      <c r="E277" s="39">
        <v>1</v>
      </c>
      <c r="F277" s="40">
        <v>80</v>
      </c>
      <c r="G277" s="40">
        <f t="shared" si="4"/>
        <v>80</v>
      </c>
      <c r="H277" s="41" t="s">
        <v>24</v>
      </c>
      <c r="I277" s="41" t="s">
        <v>58</v>
      </c>
      <c r="J277" s="32"/>
    </row>
    <row r="278" spans="1:10" x14ac:dyDescent="0.2">
      <c r="A278" s="32"/>
      <c r="B278" s="42" t="s">
        <v>559</v>
      </c>
      <c r="C278" s="43" t="s">
        <v>523</v>
      </c>
      <c r="D278" s="44" t="s">
        <v>560</v>
      </c>
      <c r="E278" s="45">
        <v>1</v>
      </c>
      <c r="F278" s="46">
        <v>60</v>
      </c>
      <c r="G278" s="46">
        <f t="shared" si="4"/>
        <v>60</v>
      </c>
      <c r="H278" s="47" t="s">
        <v>24</v>
      </c>
      <c r="I278" s="47" t="s">
        <v>58</v>
      </c>
      <c r="J278" s="32"/>
    </row>
    <row r="279" spans="1:10" x14ac:dyDescent="0.2">
      <c r="A279" s="32"/>
      <c r="B279" s="36" t="s">
        <v>561</v>
      </c>
      <c r="C279" s="37" t="s">
        <v>523</v>
      </c>
      <c r="D279" s="38" t="s">
        <v>562</v>
      </c>
      <c r="E279" s="39">
        <v>1</v>
      </c>
      <c r="F279" s="40">
        <v>25</v>
      </c>
      <c r="G279" s="40">
        <f t="shared" si="4"/>
        <v>25</v>
      </c>
      <c r="H279" s="41" t="s">
        <v>24</v>
      </c>
      <c r="I279" s="41" t="s">
        <v>58</v>
      </c>
      <c r="J279" s="32"/>
    </row>
    <row r="280" spans="1:10" x14ac:dyDescent="0.2">
      <c r="A280" s="32"/>
      <c r="B280" s="42" t="s">
        <v>563</v>
      </c>
      <c r="C280" s="43" t="s">
        <v>523</v>
      </c>
      <c r="D280" s="44" t="s">
        <v>564</v>
      </c>
      <c r="E280" s="45">
        <v>1</v>
      </c>
      <c r="F280" s="46">
        <v>120</v>
      </c>
      <c r="G280" s="46">
        <f t="shared" si="4"/>
        <v>120</v>
      </c>
      <c r="H280" s="47" t="s">
        <v>24</v>
      </c>
      <c r="I280" s="47" t="s">
        <v>58</v>
      </c>
      <c r="J280" s="32"/>
    </row>
    <row r="281" spans="1:10" x14ac:dyDescent="0.2">
      <c r="A281" s="32"/>
      <c r="B281" s="36" t="s">
        <v>565</v>
      </c>
      <c r="C281" s="37" t="s">
        <v>566</v>
      </c>
      <c r="D281" s="38" t="s">
        <v>42</v>
      </c>
      <c r="E281" s="39">
        <v>1</v>
      </c>
      <c r="F281" s="40">
        <v>7.99</v>
      </c>
      <c r="G281" s="40">
        <f t="shared" si="4"/>
        <v>7.99</v>
      </c>
      <c r="H281" s="41" t="s">
        <v>24</v>
      </c>
      <c r="I281" s="41" t="s">
        <v>58</v>
      </c>
      <c r="J281" s="32"/>
    </row>
    <row r="282" spans="1:10" x14ac:dyDescent="0.2">
      <c r="A282" s="32"/>
      <c r="B282" s="42" t="s">
        <v>567</v>
      </c>
      <c r="C282" s="43" t="s">
        <v>566</v>
      </c>
      <c r="D282" s="44" t="s">
        <v>568</v>
      </c>
      <c r="E282" s="45">
        <v>1</v>
      </c>
      <c r="F282" s="46">
        <v>4.6500000000000004</v>
      </c>
      <c r="G282" s="46">
        <f t="shared" si="4"/>
        <v>4.6500000000000004</v>
      </c>
      <c r="H282" s="47" t="s">
        <v>24</v>
      </c>
      <c r="I282" s="47" t="s">
        <v>58</v>
      </c>
      <c r="J282" s="32"/>
    </row>
    <row r="283" spans="1:10" x14ac:dyDescent="0.2">
      <c r="A283" s="32"/>
      <c r="B283" s="36" t="s">
        <v>569</v>
      </c>
      <c r="C283" s="37" t="s">
        <v>566</v>
      </c>
      <c r="D283" s="38" t="s">
        <v>38</v>
      </c>
      <c r="E283" s="39">
        <v>1</v>
      </c>
      <c r="F283" s="40">
        <v>5.29</v>
      </c>
      <c r="G283" s="40">
        <f t="shared" si="4"/>
        <v>5.29</v>
      </c>
      <c r="H283" s="41" t="s">
        <v>24</v>
      </c>
      <c r="I283" s="41" t="s">
        <v>58</v>
      </c>
      <c r="J283" s="32"/>
    </row>
    <row r="284" spans="1:10" x14ac:dyDescent="0.2">
      <c r="A284" s="32"/>
      <c r="B284" s="42" t="s">
        <v>570</v>
      </c>
      <c r="C284" s="43" t="s">
        <v>566</v>
      </c>
      <c r="D284" s="44" t="s">
        <v>571</v>
      </c>
      <c r="E284" s="45">
        <v>1</v>
      </c>
      <c r="F284" s="46">
        <v>12.39</v>
      </c>
      <c r="G284" s="46">
        <f t="shared" si="4"/>
        <v>12.39</v>
      </c>
      <c r="H284" s="47" t="s">
        <v>24</v>
      </c>
      <c r="I284" s="47" t="s">
        <v>58</v>
      </c>
      <c r="J284" s="32"/>
    </row>
    <row r="285" spans="1:10" x14ac:dyDescent="0.2">
      <c r="A285" s="32"/>
      <c r="B285" s="36" t="s">
        <v>572</v>
      </c>
      <c r="C285" s="37" t="s">
        <v>566</v>
      </c>
      <c r="D285" s="38" t="s">
        <v>95</v>
      </c>
      <c r="E285" s="39">
        <v>1</v>
      </c>
      <c r="F285" s="40">
        <v>3.99</v>
      </c>
      <c r="G285" s="40">
        <f t="shared" si="4"/>
        <v>3.99</v>
      </c>
      <c r="H285" s="41" t="s">
        <v>24</v>
      </c>
      <c r="I285" s="41" t="s">
        <v>58</v>
      </c>
      <c r="J285" s="32"/>
    </row>
    <row r="286" spans="1:10" x14ac:dyDescent="0.2">
      <c r="A286" s="32"/>
      <c r="B286" s="42" t="s">
        <v>573</v>
      </c>
      <c r="C286" s="43" t="s">
        <v>566</v>
      </c>
      <c r="D286" s="44" t="s">
        <v>81</v>
      </c>
      <c r="E286" s="45">
        <v>1</v>
      </c>
      <c r="F286" s="46">
        <v>3.59</v>
      </c>
      <c r="G286" s="46">
        <f t="shared" si="4"/>
        <v>3.59</v>
      </c>
      <c r="H286" s="47" t="s">
        <v>24</v>
      </c>
      <c r="I286" s="47" t="s">
        <v>58</v>
      </c>
      <c r="J286" s="32"/>
    </row>
    <row r="287" spans="1:10" x14ac:dyDescent="0.2">
      <c r="A287" s="32"/>
      <c r="B287" s="36" t="s">
        <v>574</v>
      </c>
      <c r="C287" s="37" t="s">
        <v>566</v>
      </c>
      <c r="D287" s="38" t="s">
        <v>575</v>
      </c>
      <c r="E287" s="39">
        <v>1</v>
      </c>
      <c r="F287" s="40">
        <v>5.99</v>
      </c>
      <c r="G287" s="40">
        <f t="shared" si="4"/>
        <v>5.99</v>
      </c>
      <c r="H287" s="41" t="s">
        <v>24</v>
      </c>
      <c r="I287" s="41" t="s">
        <v>58</v>
      </c>
      <c r="J287" s="32"/>
    </row>
    <row r="288" spans="1:10" x14ac:dyDescent="0.2">
      <c r="A288" s="32"/>
      <c r="B288" s="42" t="s">
        <v>576</v>
      </c>
      <c r="C288" s="43" t="s">
        <v>566</v>
      </c>
      <c r="D288" s="44" t="s">
        <v>575</v>
      </c>
      <c r="E288" s="45">
        <v>1</v>
      </c>
      <c r="F288" s="46">
        <v>5.99</v>
      </c>
      <c r="G288" s="46">
        <f t="shared" si="4"/>
        <v>5.99</v>
      </c>
      <c r="H288" s="47" t="s">
        <v>24</v>
      </c>
      <c r="I288" s="47" t="s">
        <v>58</v>
      </c>
      <c r="J288" s="32"/>
    </row>
    <row r="289" spans="1:10" x14ac:dyDescent="0.2">
      <c r="A289" s="32"/>
      <c r="B289" s="36" t="s">
        <v>577</v>
      </c>
      <c r="C289" s="37" t="s">
        <v>566</v>
      </c>
      <c r="D289" s="38" t="s">
        <v>578</v>
      </c>
      <c r="E289" s="39">
        <v>1</v>
      </c>
      <c r="F289" s="40">
        <v>5.99</v>
      </c>
      <c r="G289" s="40">
        <f t="shared" si="4"/>
        <v>5.99</v>
      </c>
      <c r="H289" s="41" t="s">
        <v>24</v>
      </c>
      <c r="I289" s="41" t="s">
        <v>58</v>
      </c>
      <c r="J289" s="32"/>
    </row>
    <row r="290" spans="1:10" x14ac:dyDescent="0.2">
      <c r="A290" s="32"/>
      <c r="B290" s="42" t="s">
        <v>579</v>
      </c>
      <c r="C290" s="43" t="s">
        <v>566</v>
      </c>
      <c r="D290" s="44" t="s">
        <v>580</v>
      </c>
      <c r="E290" s="45">
        <v>1</v>
      </c>
      <c r="F290" s="46">
        <v>1.79</v>
      </c>
      <c r="G290" s="46">
        <f t="shared" si="4"/>
        <v>1.79</v>
      </c>
      <c r="H290" s="47" t="s">
        <v>24</v>
      </c>
      <c r="I290" s="47" t="s">
        <v>58</v>
      </c>
      <c r="J290" s="32"/>
    </row>
    <row r="291" spans="1:10" x14ac:dyDescent="0.2">
      <c r="A291" s="32"/>
      <c r="B291" s="36" t="s">
        <v>581</v>
      </c>
      <c r="C291" s="37" t="s">
        <v>566</v>
      </c>
      <c r="D291" s="38" t="s">
        <v>582</v>
      </c>
      <c r="E291" s="39">
        <v>1</v>
      </c>
      <c r="F291" s="40">
        <v>9.39</v>
      </c>
      <c r="G291" s="40">
        <f t="shared" si="4"/>
        <v>9.39</v>
      </c>
      <c r="H291" s="41" t="s">
        <v>24</v>
      </c>
      <c r="I291" s="41" t="s">
        <v>58</v>
      </c>
      <c r="J291" s="32"/>
    </row>
    <row r="292" spans="1:10" x14ac:dyDescent="0.2">
      <c r="A292" s="32"/>
      <c r="B292" s="42" t="s">
        <v>583</v>
      </c>
      <c r="C292" s="43" t="s">
        <v>566</v>
      </c>
      <c r="D292" s="44" t="s">
        <v>219</v>
      </c>
      <c r="E292" s="45">
        <v>1</v>
      </c>
      <c r="F292" s="46">
        <v>1.26</v>
      </c>
      <c r="G292" s="46">
        <f t="shared" si="4"/>
        <v>1.26</v>
      </c>
      <c r="H292" s="47" t="s">
        <v>24</v>
      </c>
      <c r="I292" s="47" t="s">
        <v>58</v>
      </c>
      <c r="J292" s="32"/>
    </row>
    <row r="293" spans="1:10" x14ac:dyDescent="0.2">
      <c r="A293" s="32"/>
      <c r="B293" s="36" t="s">
        <v>584</v>
      </c>
      <c r="C293" s="37" t="s">
        <v>566</v>
      </c>
      <c r="D293" s="38" t="s">
        <v>111</v>
      </c>
      <c r="E293" s="39">
        <v>1</v>
      </c>
      <c r="F293" s="40">
        <v>10.99</v>
      </c>
      <c r="G293" s="40">
        <f t="shared" si="4"/>
        <v>10.99</v>
      </c>
      <c r="H293" s="41" t="s">
        <v>24</v>
      </c>
      <c r="I293" s="41" t="s">
        <v>58</v>
      </c>
      <c r="J293" s="32"/>
    </row>
    <row r="294" spans="1:10" x14ac:dyDescent="0.2">
      <c r="A294" s="32"/>
      <c r="B294" s="42" t="s">
        <v>585</v>
      </c>
      <c r="C294" s="43" t="s">
        <v>566</v>
      </c>
      <c r="D294" s="44" t="s">
        <v>74</v>
      </c>
      <c r="E294" s="45">
        <v>1</v>
      </c>
      <c r="F294" s="46">
        <v>4.6900000000000004</v>
      </c>
      <c r="G294" s="46">
        <f t="shared" si="4"/>
        <v>4.6900000000000004</v>
      </c>
      <c r="H294" s="47" t="s">
        <v>24</v>
      </c>
      <c r="I294" s="47" t="s">
        <v>58</v>
      </c>
      <c r="J294" s="32"/>
    </row>
    <row r="295" spans="1:10" x14ac:dyDescent="0.2">
      <c r="A295" s="32"/>
      <c r="B295" s="36" t="s">
        <v>586</v>
      </c>
      <c r="C295" s="37" t="s">
        <v>566</v>
      </c>
      <c r="D295" s="38" t="s">
        <v>74</v>
      </c>
      <c r="E295" s="39">
        <v>1</v>
      </c>
      <c r="F295" s="40">
        <v>4.6900000000000004</v>
      </c>
      <c r="G295" s="40">
        <f t="shared" si="4"/>
        <v>4.6900000000000004</v>
      </c>
      <c r="H295" s="41" t="s">
        <v>24</v>
      </c>
      <c r="I295" s="41" t="s">
        <v>58</v>
      </c>
      <c r="J295" s="32"/>
    </row>
    <row r="296" spans="1:10" x14ac:dyDescent="0.2">
      <c r="A296" s="32"/>
      <c r="B296" s="42" t="s">
        <v>587</v>
      </c>
      <c r="C296" s="43" t="s">
        <v>566</v>
      </c>
      <c r="D296" s="44" t="s">
        <v>74</v>
      </c>
      <c r="E296" s="45">
        <v>1</v>
      </c>
      <c r="F296" s="46">
        <v>56.28</v>
      </c>
      <c r="G296" s="46">
        <f t="shared" si="4"/>
        <v>56.28</v>
      </c>
      <c r="H296" s="47" t="s">
        <v>24</v>
      </c>
      <c r="I296" s="47" t="s">
        <v>58</v>
      </c>
      <c r="J296" s="32"/>
    </row>
    <row r="297" spans="1:10" x14ac:dyDescent="0.2">
      <c r="A297" s="32"/>
      <c r="B297" s="36" t="s">
        <v>588</v>
      </c>
      <c r="C297" s="37" t="s">
        <v>566</v>
      </c>
      <c r="D297" s="38" t="s">
        <v>589</v>
      </c>
      <c r="E297" s="39">
        <v>1</v>
      </c>
      <c r="F297" s="40">
        <v>7.89</v>
      </c>
      <c r="G297" s="40">
        <f t="shared" si="4"/>
        <v>7.89</v>
      </c>
      <c r="H297" s="41" t="s">
        <v>24</v>
      </c>
      <c r="I297" s="41" t="s">
        <v>58</v>
      </c>
      <c r="J297" s="32"/>
    </row>
    <row r="298" spans="1:10" x14ac:dyDescent="0.2">
      <c r="A298" s="32"/>
      <c r="B298" s="42" t="s">
        <v>590</v>
      </c>
      <c r="C298" s="43" t="s">
        <v>566</v>
      </c>
      <c r="D298" s="44" t="s">
        <v>591</v>
      </c>
      <c r="E298" s="45">
        <v>1</v>
      </c>
      <c r="F298" s="46">
        <v>5.69</v>
      </c>
      <c r="G298" s="46">
        <f t="shared" si="4"/>
        <v>5.69</v>
      </c>
      <c r="H298" s="47" t="s">
        <v>24</v>
      </c>
      <c r="I298" s="47" t="s">
        <v>58</v>
      </c>
      <c r="J298" s="32"/>
    </row>
    <row r="299" spans="1:10" x14ac:dyDescent="0.2">
      <c r="A299" s="32"/>
      <c r="B299" s="36" t="s">
        <v>592</v>
      </c>
      <c r="C299" s="37" t="s">
        <v>566</v>
      </c>
      <c r="D299" s="38" t="s">
        <v>593</v>
      </c>
      <c r="E299" s="39">
        <v>1</v>
      </c>
      <c r="F299" s="40">
        <v>6.69</v>
      </c>
      <c r="G299" s="40">
        <f t="shared" si="4"/>
        <v>6.69</v>
      </c>
      <c r="H299" s="41" t="s">
        <v>24</v>
      </c>
      <c r="I299" s="41" t="s">
        <v>58</v>
      </c>
      <c r="J299" s="32"/>
    </row>
    <row r="300" spans="1:10" x14ac:dyDescent="0.2">
      <c r="A300" s="32"/>
      <c r="B300" s="42" t="s">
        <v>594</v>
      </c>
      <c r="C300" s="43" t="s">
        <v>566</v>
      </c>
      <c r="D300" s="44" t="s">
        <v>591</v>
      </c>
      <c r="E300" s="45">
        <v>1</v>
      </c>
      <c r="F300" s="46">
        <v>5.69</v>
      </c>
      <c r="G300" s="46">
        <f t="shared" si="4"/>
        <v>5.69</v>
      </c>
      <c r="H300" s="47" t="s">
        <v>24</v>
      </c>
      <c r="I300" s="47" t="s">
        <v>58</v>
      </c>
      <c r="J300" s="32"/>
    </row>
    <row r="301" spans="1:10" x14ac:dyDescent="0.2">
      <c r="A301" s="32"/>
      <c r="B301" s="36" t="s">
        <v>595</v>
      </c>
      <c r="C301" s="37" t="s">
        <v>566</v>
      </c>
      <c r="D301" s="38" t="s">
        <v>596</v>
      </c>
      <c r="E301" s="39">
        <v>1</v>
      </c>
      <c r="F301" s="40">
        <v>7.95</v>
      </c>
      <c r="G301" s="40">
        <f t="shared" si="4"/>
        <v>7.95</v>
      </c>
      <c r="H301" s="41" t="s">
        <v>24</v>
      </c>
      <c r="I301" s="41" t="s">
        <v>58</v>
      </c>
      <c r="J301" s="32"/>
    </row>
    <row r="302" spans="1:10" x14ac:dyDescent="0.2">
      <c r="A302" s="32"/>
      <c r="B302" s="42" t="s">
        <v>597</v>
      </c>
      <c r="C302" s="43" t="s">
        <v>566</v>
      </c>
      <c r="D302" s="44" t="s">
        <v>76</v>
      </c>
      <c r="E302" s="45">
        <v>1</v>
      </c>
      <c r="F302" s="46">
        <v>5.29</v>
      </c>
      <c r="G302" s="46">
        <f t="shared" si="4"/>
        <v>5.29</v>
      </c>
      <c r="H302" s="47" t="s">
        <v>24</v>
      </c>
      <c r="I302" s="47" t="s">
        <v>58</v>
      </c>
      <c r="J302" s="32"/>
    </row>
    <row r="303" spans="1:10" x14ac:dyDescent="0.2">
      <c r="A303" s="32"/>
      <c r="B303" s="36" t="s">
        <v>598</v>
      </c>
      <c r="C303" s="37" t="s">
        <v>566</v>
      </c>
      <c r="D303" s="38" t="s">
        <v>39</v>
      </c>
      <c r="E303" s="39">
        <v>1</v>
      </c>
      <c r="F303" s="40">
        <v>8.49</v>
      </c>
      <c r="G303" s="40">
        <f t="shared" si="4"/>
        <v>8.49</v>
      </c>
      <c r="H303" s="41" t="s">
        <v>24</v>
      </c>
      <c r="I303" s="41" t="s">
        <v>58</v>
      </c>
      <c r="J303" s="32"/>
    </row>
    <row r="304" spans="1:10" x14ac:dyDescent="0.2">
      <c r="A304" s="32"/>
      <c r="B304" s="42" t="s">
        <v>599</v>
      </c>
      <c r="C304" s="43" t="s">
        <v>566</v>
      </c>
      <c r="D304" s="44" t="s">
        <v>600</v>
      </c>
      <c r="E304" s="45">
        <v>1</v>
      </c>
      <c r="F304" s="46">
        <v>8.99</v>
      </c>
      <c r="G304" s="46">
        <f t="shared" si="4"/>
        <v>8.99</v>
      </c>
      <c r="H304" s="47" t="s">
        <v>24</v>
      </c>
      <c r="I304" s="47" t="s">
        <v>58</v>
      </c>
      <c r="J304" s="32"/>
    </row>
    <row r="305" spans="1:10" x14ac:dyDescent="0.2">
      <c r="A305" s="32"/>
      <c r="B305" s="36" t="s">
        <v>601</v>
      </c>
      <c r="C305" s="37" t="s">
        <v>566</v>
      </c>
      <c r="D305" s="38" t="s">
        <v>602</v>
      </c>
      <c r="E305" s="39">
        <v>1</v>
      </c>
      <c r="F305" s="40">
        <v>13.99</v>
      </c>
      <c r="G305" s="40">
        <f t="shared" si="4"/>
        <v>13.99</v>
      </c>
      <c r="H305" s="41" t="s">
        <v>25</v>
      </c>
      <c r="I305" s="41" t="s">
        <v>58</v>
      </c>
      <c r="J305" s="32"/>
    </row>
    <row r="306" spans="1:10" x14ac:dyDescent="0.2">
      <c r="A306" s="32"/>
      <c r="B306" s="42" t="s">
        <v>603</v>
      </c>
      <c r="C306" s="43" t="s">
        <v>566</v>
      </c>
      <c r="D306" s="44" t="s">
        <v>604</v>
      </c>
      <c r="E306" s="45">
        <v>1</v>
      </c>
      <c r="F306" s="46">
        <v>9.3000000000000007</v>
      </c>
      <c r="G306" s="46">
        <f t="shared" si="4"/>
        <v>9.3000000000000007</v>
      </c>
      <c r="H306" s="47" t="s">
        <v>24</v>
      </c>
      <c r="I306" s="47" t="s">
        <v>58</v>
      </c>
      <c r="J306" s="32"/>
    </row>
    <row r="307" spans="1:10" x14ac:dyDescent="0.2">
      <c r="A307" s="32"/>
      <c r="B307" s="36" t="s">
        <v>605</v>
      </c>
      <c r="C307" s="37" t="s">
        <v>566</v>
      </c>
      <c r="D307" s="38" t="s">
        <v>216</v>
      </c>
      <c r="E307" s="39">
        <v>1</v>
      </c>
      <c r="F307" s="40">
        <v>9.98</v>
      </c>
      <c r="G307" s="40">
        <f t="shared" si="4"/>
        <v>9.98</v>
      </c>
      <c r="H307" s="41" t="s">
        <v>25</v>
      </c>
      <c r="I307" s="41" t="s">
        <v>58</v>
      </c>
      <c r="J307" s="32"/>
    </row>
    <row r="308" spans="1:10" x14ac:dyDescent="0.2">
      <c r="A308" s="32"/>
      <c r="B308" s="42" t="s">
        <v>606</v>
      </c>
      <c r="C308" s="43" t="s">
        <v>566</v>
      </c>
      <c r="D308" s="44" t="s">
        <v>607</v>
      </c>
      <c r="E308" s="45">
        <v>1</v>
      </c>
      <c r="F308" s="46">
        <v>5.99</v>
      </c>
      <c r="G308" s="46">
        <f t="shared" si="4"/>
        <v>5.99</v>
      </c>
      <c r="H308" s="47" t="s">
        <v>24</v>
      </c>
      <c r="I308" s="47" t="s">
        <v>58</v>
      </c>
      <c r="J308" s="32"/>
    </row>
    <row r="309" spans="1:10" x14ac:dyDescent="0.2">
      <c r="A309" s="32"/>
      <c r="B309" s="36" t="s">
        <v>608</v>
      </c>
      <c r="C309" s="37" t="s">
        <v>566</v>
      </c>
      <c r="D309" s="38" t="s">
        <v>88</v>
      </c>
      <c r="E309" s="39">
        <v>1</v>
      </c>
      <c r="F309" s="40">
        <v>21.48</v>
      </c>
      <c r="G309" s="40">
        <f t="shared" si="4"/>
        <v>21.48</v>
      </c>
      <c r="H309" s="41" t="s">
        <v>24</v>
      </c>
      <c r="I309" s="41" t="s">
        <v>58</v>
      </c>
      <c r="J309" s="32"/>
    </row>
    <row r="310" spans="1:10" x14ac:dyDescent="0.2">
      <c r="A310" s="32"/>
      <c r="B310" s="42" t="s">
        <v>609</v>
      </c>
      <c r="C310" s="43" t="s">
        <v>566</v>
      </c>
      <c r="D310" s="44" t="s">
        <v>88</v>
      </c>
      <c r="E310" s="45">
        <v>1</v>
      </c>
      <c r="F310" s="46">
        <v>21.48</v>
      </c>
      <c r="G310" s="46">
        <f t="shared" si="4"/>
        <v>21.48</v>
      </c>
      <c r="H310" s="47" t="s">
        <v>24</v>
      </c>
      <c r="I310" s="47" t="s">
        <v>58</v>
      </c>
      <c r="J310" s="32"/>
    </row>
    <row r="311" spans="1:10" x14ac:dyDescent="0.2">
      <c r="A311" s="32"/>
      <c r="B311" s="36" t="s">
        <v>610</v>
      </c>
      <c r="C311" s="37" t="s">
        <v>566</v>
      </c>
      <c r="D311" s="38" t="s">
        <v>611</v>
      </c>
      <c r="E311" s="39">
        <v>1</v>
      </c>
      <c r="F311" s="40">
        <v>13.65</v>
      </c>
      <c r="G311" s="40">
        <f t="shared" si="4"/>
        <v>13.65</v>
      </c>
      <c r="H311" s="41" t="s">
        <v>24</v>
      </c>
      <c r="I311" s="41" t="s">
        <v>58</v>
      </c>
      <c r="J311" s="32"/>
    </row>
    <row r="312" spans="1:10" x14ac:dyDescent="0.2">
      <c r="A312" s="32"/>
      <c r="B312" s="42" t="s">
        <v>612</v>
      </c>
      <c r="C312" s="43" t="s">
        <v>566</v>
      </c>
      <c r="D312" s="44" t="s">
        <v>613</v>
      </c>
      <c r="E312" s="45">
        <v>1</v>
      </c>
      <c r="F312" s="46">
        <v>1.99</v>
      </c>
      <c r="G312" s="46">
        <f t="shared" si="4"/>
        <v>1.99</v>
      </c>
      <c r="H312" s="47" t="s">
        <v>24</v>
      </c>
      <c r="I312" s="47" t="s">
        <v>58</v>
      </c>
      <c r="J312" s="32"/>
    </row>
    <row r="313" spans="1:10" x14ac:dyDescent="0.2">
      <c r="A313" s="32"/>
      <c r="B313" s="36" t="s">
        <v>614</v>
      </c>
      <c r="C313" s="37" t="s">
        <v>566</v>
      </c>
      <c r="D313" s="38" t="s">
        <v>615</v>
      </c>
      <c r="E313" s="39">
        <v>1</v>
      </c>
      <c r="F313" s="40">
        <v>12.28</v>
      </c>
      <c r="G313" s="40">
        <f t="shared" si="4"/>
        <v>12.28</v>
      </c>
      <c r="H313" s="41" t="s">
        <v>24</v>
      </c>
      <c r="I313" s="41" t="s">
        <v>58</v>
      </c>
      <c r="J313" s="32"/>
    </row>
    <row r="314" spans="1:10" x14ac:dyDescent="0.2">
      <c r="A314" s="32"/>
      <c r="B314" s="42" t="s">
        <v>616</v>
      </c>
      <c r="C314" s="43" t="s">
        <v>566</v>
      </c>
      <c r="D314" s="44" t="s">
        <v>617</v>
      </c>
      <c r="E314" s="45">
        <v>1</v>
      </c>
      <c r="F314" s="46">
        <v>39.5</v>
      </c>
      <c r="G314" s="46">
        <f t="shared" si="4"/>
        <v>39.5</v>
      </c>
      <c r="H314" s="47" t="s">
        <v>24</v>
      </c>
      <c r="I314" s="47" t="s">
        <v>58</v>
      </c>
      <c r="J314" s="32"/>
    </row>
    <row r="315" spans="1:10" x14ac:dyDescent="0.2">
      <c r="A315" s="32"/>
      <c r="B315" s="36" t="s">
        <v>618</v>
      </c>
      <c r="C315" s="37" t="s">
        <v>566</v>
      </c>
      <c r="D315" s="38" t="s">
        <v>619</v>
      </c>
      <c r="E315" s="39">
        <v>1</v>
      </c>
      <c r="F315" s="40">
        <v>22.39</v>
      </c>
      <c r="G315" s="40">
        <f t="shared" si="4"/>
        <v>22.39</v>
      </c>
      <c r="H315" s="41" t="s">
        <v>24</v>
      </c>
      <c r="I315" s="41" t="s">
        <v>58</v>
      </c>
      <c r="J315" s="32"/>
    </row>
    <row r="316" spans="1:10" x14ac:dyDescent="0.2">
      <c r="A316" s="32"/>
      <c r="B316" s="42" t="s">
        <v>620</v>
      </c>
      <c r="C316" s="43" t="s">
        <v>566</v>
      </c>
      <c r="D316" s="44" t="s">
        <v>199</v>
      </c>
      <c r="E316" s="45">
        <v>1</v>
      </c>
      <c r="F316" s="46">
        <v>8.99</v>
      </c>
      <c r="G316" s="46">
        <f t="shared" si="4"/>
        <v>8.99</v>
      </c>
      <c r="H316" s="47" t="s">
        <v>24</v>
      </c>
      <c r="I316" s="47" t="s">
        <v>58</v>
      </c>
      <c r="J316" s="32"/>
    </row>
    <row r="317" spans="1:10" x14ac:dyDescent="0.2">
      <c r="A317" s="32"/>
      <c r="B317" s="36" t="s">
        <v>621</v>
      </c>
      <c r="C317" s="37" t="s">
        <v>566</v>
      </c>
      <c r="D317" s="38" t="s">
        <v>199</v>
      </c>
      <c r="E317" s="39">
        <v>1</v>
      </c>
      <c r="F317" s="40">
        <v>8.99</v>
      </c>
      <c r="G317" s="40">
        <f t="shared" si="4"/>
        <v>8.99</v>
      </c>
      <c r="H317" s="41" t="s">
        <v>24</v>
      </c>
      <c r="I317" s="41" t="s">
        <v>58</v>
      </c>
      <c r="J317" s="32"/>
    </row>
    <row r="318" spans="1:10" x14ac:dyDescent="0.2">
      <c r="A318" s="32"/>
      <c r="B318" s="42" t="s">
        <v>622</v>
      </c>
      <c r="C318" s="43" t="s">
        <v>566</v>
      </c>
      <c r="D318" s="44" t="s">
        <v>623</v>
      </c>
      <c r="E318" s="45">
        <v>1</v>
      </c>
      <c r="F318" s="46">
        <v>9.99</v>
      </c>
      <c r="G318" s="46">
        <f t="shared" si="4"/>
        <v>9.99</v>
      </c>
      <c r="H318" s="47" t="s">
        <v>25</v>
      </c>
      <c r="I318" s="47" t="s">
        <v>58</v>
      </c>
      <c r="J318" s="32"/>
    </row>
    <row r="319" spans="1:10" x14ac:dyDescent="0.2">
      <c r="A319" s="32"/>
      <c r="B319" s="36" t="s">
        <v>624</v>
      </c>
      <c r="C319" s="37" t="s">
        <v>566</v>
      </c>
      <c r="D319" s="38" t="s">
        <v>625</v>
      </c>
      <c r="E319" s="39">
        <v>1</v>
      </c>
      <c r="F319" s="40">
        <v>20.99</v>
      </c>
      <c r="G319" s="40">
        <f t="shared" si="4"/>
        <v>20.99</v>
      </c>
      <c r="H319" s="41" t="s">
        <v>24</v>
      </c>
      <c r="I319" s="41" t="s">
        <v>58</v>
      </c>
      <c r="J319" s="32"/>
    </row>
    <row r="320" spans="1:10" x14ac:dyDescent="0.2">
      <c r="A320" s="32"/>
      <c r="B320" s="42" t="s">
        <v>626</v>
      </c>
      <c r="C320" s="43" t="s">
        <v>566</v>
      </c>
      <c r="D320" s="44" t="s">
        <v>627</v>
      </c>
      <c r="E320" s="45">
        <v>1</v>
      </c>
      <c r="F320" s="46">
        <v>11.74</v>
      </c>
      <c r="G320" s="46">
        <f t="shared" si="4"/>
        <v>11.74</v>
      </c>
      <c r="H320" s="47" t="s">
        <v>25</v>
      </c>
      <c r="I320" s="47" t="s">
        <v>58</v>
      </c>
      <c r="J320" s="32"/>
    </row>
    <row r="321" spans="1:10" x14ac:dyDescent="0.2">
      <c r="A321" s="32"/>
      <c r="B321" s="36" t="s">
        <v>628</v>
      </c>
      <c r="C321" s="37" t="s">
        <v>566</v>
      </c>
      <c r="D321" s="38" t="s">
        <v>629</v>
      </c>
      <c r="E321" s="39">
        <v>1</v>
      </c>
      <c r="F321" s="40">
        <v>6.65</v>
      </c>
      <c r="G321" s="40">
        <f t="shared" si="4"/>
        <v>6.65</v>
      </c>
      <c r="H321" s="41" t="s">
        <v>24</v>
      </c>
      <c r="I321" s="41" t="s">
        <v>58</v>
      </c>
      <c r="J321" s="32"/>
    </row>
    <row r="322" spans="1:10" x14ac:dyDescent="0.2">
      <c r="A322" s="32"/>
      <c r="B322" s="42" t="s">
        <v>630</v>
      </c>
      <c r="C322" s="43" t="s">
        <v>566</v>
      </c>
      <c r="D322" s="44" t="s">
        <v>631</v>
      </c>
      <c r="E322" s="45">
        <v>1</v>
      </c>
      <c r="F322" s="46">
        <v>25.99</v>
      </c>
      <c r="G322" s="46">
        <f t="shared" si="4"/>
        <v>25.99</v>
      </c>
      <c r="H322" s="47" t="s">
        <v>24</v>
      </c>
      <c r="I322" s="47" t="s">
        <v>58</v>
      </c>
      <c r="J322" s="32"/>
    </row>
    <row r="323" spans="1:10" x14ac:dyDescent="0.2">
      <c r="A323" s="32"/>
      <c r="B323" s="36" t="s">
        <v>632</v>
      </c>
      <c r="C323" s="37" t="s">
        <v>566</v>
      </c>
      <c r="D323" s="38" t="s">
        <v>633</v>
      </c>
      <c r="E323" s="39">
        <v>1</v>
      </c>
      <c r="F323" s="40">
        <v>4.7699999999999996</v>
      </c>
      <c r="G323" s="40">
        <f t="shared" si="4"/>
        <v>4.7699999999999996</v>
      </c>
      <c r="H323" s="41" t="s">
        <v>28</v>
      </c>
      <c r="I323" s="41" t="s">
        <v>58</v>
      </c>
      <c r="J323" s="32"/>
    </row>
    <row r="324" spans="1:10" x14ac:dyDescent="0.2">
      <c r="A324" s="32"/>
      <c r="B324" s="42" t="s">
        <v>634</v>
      </c>
      <c r="C324" s="43" t="s">
        <v>566</v>
      </c>
      <c r="D324" s="44" t="s">
        <v>635</v>
      </c>
      <c r="E324" s="45">
        <v>1</v>
      </c>
      <c r="F324" s="46">
        <v>2.4900000000000002</v>
      </c>
      <c r="G324" s="46">
        <f t="shared" si="4"/>
        <v>2.4900000000000002</v>
      </c>
      <c r="H324" s="47" t="s">
        <v>24</v>
      </c>
      <c r="I324" s="47" t="s">
        <v>58</v>
      </c>
      <c r="J324" s="32"/>
    </row>
    <row r="325" spans="1:10" x14ac:dyDescent="0.2">
      <c r="A325" s="32"/>
      <c r="B325" s="36" t="s">
        <v>636</v>
      </c>
      <c r="C325" s="37" t="s">
        <v>566</v>
      </c>
      <c r="D325" s="38" t="s">
        <v>635</v>
      </c>
      <c r="E325" s="39">
        <v>1</v>
      </c>
      <c r="F325" s="40">
        <v>2.4900000000000002</v>
      </c>
      <c r="G325" s="40">
        <f t="shared" ref="G325:G388" si="5">E325*F325</f>
        <v>2.4900000000000002</v>
      </c>
      <c r="H325" s="41" t="s">
        <v>24</v>
      </c>
      <c r="I325" s="41" t="s">
        <v>58</v>
      </c>
      <c r="J325" s="32"/>
    </row>
    <row r="326" spans="1:10" x14ac:dyDescent="0.2">
      <c r="A326" s="32"/>
      <c r="B326" s="42" t="s">
        <v>637</v>
      </c>
      <c r="C326" s="43" t="s">
        <v>566</v>
      </c>
      <c r="D326" s="44" t="s">
        <v>181</v>
      </c>
      <c r="E326" s="45">
        <v>1</v>
      </c>
      <c r="F326" s="46">
        <v>4.12</v>
      </c>
      <c r="G326" s="46">
        <f t="shared" si="5"/>
        <v>4.12</v>
      </c>
      <c r="H326" s="47" t="s">
        <v>25</v>
      </c>
      <c r="I326" s="47" t="s">
        <v>58</v>
      </c>
      <c r="J326" s="32"/>
    </row>
    <row r="327" spans="1:10" x14ac:dyDescent="0.2">
      <c r="A327" s="32"/>
      <c r="B327" s="36" t="s">
        <v>638</v>
      </c>
      <c r="C327" s="37" t="s">
        <v>566</v>
      </c>
      <c r="D327" s="38" t="s">
        <v>639</v>
      </c>
      <c r="E327" s="39">
        <v>1</v>
      </c>
      <c r="F327" s="40">
        <v>4.9800000000000004</v>
      </c>
      <c r="G327" s="40">
        <f t="shared" si="5"/>
        <v>4.9800000000000004</v>
      </c>
      <c r="H327" s="41" t="s">
        <v>25</v>
      </c>
      <c r="I327" s="41" t="s">
        <v>58</v>
      </c>
      <c r="J327" s="32"/>
    </row>
    <row r="328" spans="1:10" x14ac:dyDescent="0.2">
      <c r="A328" s="32"/>
      <c r="B328" s="42" t="s">
        <v>640</v>
      </c>
      <c r="C328" s="43" t="s">
        <v>566</v>
      </c>
      <c r="D328" s="44" t="s">
        <v>639</v>
      </c>
      <c r="E328" s="45">
        <v>1</v>
      </c>
      <c r="F328" s="46">
        <v>4.9800000000000004</v>
      </c>
      <c r="G328" s="46">
        <f t="shared" si="5"/>
        <v>4.9800000000000004</v>
      </c>
      <c r="H328" s="47" t="s">
        <v>25</v>
      </c>
      <c r="I328" s="47" t="s">
        <v>58</v>
      </c>
      <c r="J328" s="32"/>
    </row>
    <row r="329" spans="1:10" x14ac:dyDescent="0.2">
      <c r="A329" s="32"/>
      <c r="B329" s="36" t="s">
        <v>641</v>
      </c>
      <c r="C329" s="37" t="s">
        <v>566</v>
      </c>
      <c r="D329" s="38" t="s">
        <v>181</v>
      </c>
      <c r="E329" s="39">
        <v>1</v>
      </c>
      <c r="F329" s="40">
        <v>4.12</v>
      </c>
      <c r="G329" s="40">
        <f t="shared" si="5"/>
        <v>4.12</v>
      </c>
      <c r="H329" s="41" t="s">
        <v>25</v>
      </c>
      <c r="I329" s="41" t="s">
        <v>58</v>
      </c>
      <c r="J329" s="32"/>
    </row>
    <row r="330" spans="1:10" x14ac:dyDescent="0.2">
      <c r="A330" s="32"/>
      <c r="B330" s="42" t="s">
        <v>642</v>
      </c>
      <c r="C330" s="43" t="s">
        <v>566</v>
      </c>
      <c r="D330" s="44" t="s">
        <v>643</v>
      </c>
      <c r="E330" s="45">
        <v>1</v>
      </c>
      <c r="F330" s="46">
        <v>12.49</v>
      </c>
      <c r="G330" s="46">
        <f t="shared" si="5"/>
        <v>12.49</v>
      </c>
      <c r="H330" s="47" t="s">
        <v>24</v>
      </c>
      <c r="I330" s="47" t="s">
        <v>58</v>
      </c>
      <c r="J330" s="32"/>
    </row>
    <row r="331" spans="1:10" x14ac:dyDescent="0.2">
      <c r="A331" s="32"/>
      <c r="B331" s="36" t="s">
        <v>644</v>
      </c>
      <c r="C331" s="37" t="s">
        <v>566</v>
      </c>
      <c r="D331" s="38" t="s">
        <v>645</v>
      </c>
      <c r="E331" s="39">
        <v>1</v>
      </c>
      <c r="F331" s="40">
        <v>12.99</v>
      </c>
      <c r="G331" s="40">
        <f t="shared" si="5"/>
        <v>12.99</v>
      </c>
      <c r="H331" s="41" t="s">
        <v>24</v>
      </c>
      <c r="I331" s="41" t="s">
        <v>58</v>
      </c>
      <c r="J331" s="32"/>
    </row>
    <row r="332" spans="1:10" x14ac:dyDescent="0.2">
      <c r="A332" s="32"/>
      <c r="B332" s="42" t="s">
        <v>646</v>
      </c>
      <c r="C332" s="43" t="s">
        <v>566</v>
      </c>
      <c r="D332" s="44" t="s">
        <v>647</v>
      </c>
      <c r="E332" s="45">
        <v>1</v>
      </c>
      <c r="F332" s="46">
        <v>4.1900000000000004</v>
      </c>
      <c r="G332" s="46">
        <f t="shared" si="5"/>
        <v>4.1900000000000004</v>
      </c>
      <c r="H332" s="47" t="s">
        <v>24</v>
      </c>
      <c r="I332" s="47" t="s">
        <v>58</v>
      </c>
      <c r="J332" s="32"/>
    </row>
    <row r="333" spans="1:10" x14ac:dyDescent="0.2">
      <c r="A333" s="32"/>
      <c r="B333" s="36" t="s">
        <v>648</v>
      </c>
      <c r="C333" s="37" t="s">
        <v>566</v>
      </c>
      <c r="D333" s="38" t="s">
        <v>219</v>
      </c>
      <c r="E333" s="39">
        <v>1</v>
      </c>
      <c r="F333" s="40">
        <v>1.26</v>
      </c>
      <c r="G333" s="40">
        <f t="shared" si="5"/>
        <v>1.26</v>
      </c>
      <c r="H333" s="41" t="s">
        <v>24</v>
      </c>
      <c r="I333" s="41" t="s">
        <v>58</v>
      </c>
      <c r="J333" s="32"/>
    </row>
    <row r="334" spans="1:10" x14ac:dyDescent="0.2">
      <c r="A334" s="32"/>
      <c r="B334" s="42" t="s">
        <v>649</v>
      </c>
      <c r="C334" s="43" t="s">
        <v>566</v>
      </c>
      <c r="D334" s="44" t="s">
        <v>580</v>
      </c>
      <c r="E334" s="45">
        <v>1</v>
      </c>
      <c r="F334" s="46">
        <v>1.79</v>
      </c>
      <c r="G334" s="46">
        <f t="shared" si="5"/>
        <v>1.79</v>
      </c>
      <c r="H334" s="47" t="s">
        <v>24</v>
      </c>
      <c r="I334" s="47" t="s">
        <v>58</v>
      </c>
      <c r="J334" s="32"/>
    </row>
    <row r="335" spans="1:10" x14ac:dyDescent="0.2">
      <c r="A335" s="32"/>
      <c r="B335" s="36" t="s">
        <v>650</v>
      </c>
      <c r="C335" s="37" t="s">
        <v>566</v>
      </c>
      <c r="D335" s="38" t="s">
        <v>643</v>
      </c>
      <c r="E335" s="39">
        <v>1</v>
      </c>
      <c r="F335" s="40">
        <v>12.49</v>
      </c>
      <c r="G335" s="40">
        <f t="shared" si="5"/>
        <v>12.49</v>
      </c>
      <c r="H335" s="41" t="s">
        <v>24</v>
      </c>
      <c r="I335" s="41" t="s">
        <v>58</v>
      </c>
      <c r="J335" s="32"/>
    </row>
    <row r="336" spans="1:10" x14ac:dyDescent="0.2">
      <c r="A336" s="32"/>
      <c r="B336" s="42" t="s">
        <v>651</v>
      </c>
      <c r="C336" s="43" t="s">
        <v>566</v>
      </c>
      <c r="D336" s="44" t="s">
        <v>652</v>
      </c>
      <c r="E336" s="45">
        <v>1</v>
      </c>
      <c r="F336" s="46">
        <v>14.99</v>
      </c>
      <c r="G336" s="46">
        <f t="shared" si="5"/>
        <v>14.99</v>
      </c>
      <c r="H336" s="47" t="s">
        <v>24</v>
      </c>
      <c r="I336" s="47" t="s">
        <v>58</v>
      </c>
      <c r="J336" s="32"/>
    </row>
    <row r="337" spans="1:10" x14ac:dyDescent="0.2">
      <c r="A337" s="32"/>
      <c r="B337" s="36" t="s">
        <v>653</v>
      </c>
      <c r="C337" s="37" t="s">
        <v>566</v>
      </c>
      <c r="D337" s="38" t="s">
        <v>88</v>
      </c>
      <c r="E337" s="39">
        <v>1</v>
      </c>
      <c r="F337" s="40">
        <v>21.48</v>
      </c>
      <c r="G337" s="40">
        <f t="shared" si="5"/>
        <v>21.48</v>
      </c>
      <c r="H337" s="41" t="s">
        <v>24</v>
      </c>
      <c r="I337" s="41" t="s">
        <v>58</v>
      </c>
      <c r="J337" s="32"/>
    </row>
    <row r="338" spans="1:10" x14ac:dyDescent="0.2">
      <c r="A338" s="32"/>
      <c r="B338" s="42" t="s">
        <v>654</v>
      </c>
      <c r="C338" s="43" t="s">
        <v>566</v>
      </c>
      <c r="D338" s="44" t="s">
        <v>85</v>
      </c>
      <c r="E338" s="45">
        <v>1</v>
      </c>
      <c r="F338" s="46">
        <v>16.989999999999998</v>
      </c>
      <c r="G338" s="46">
        <f t="shared" si="5"/>
        <v>16.989999999999998</v>
      </c>
      <c r="H338" s="47" t="s">
        <v>24</v>
      </c>
      <c r="I338" s="47" t="s">
        <v>58</v>
      </c>
      <c r="J338" s="32"/>
    </row>
    <row r="339" spans="1:10" x14ac:dyDescent="0.2">
      <c r="A339" s="32"/>
      <c r="B339" s="36" t="s">
        <v>655</v>
      </c>
      <c r="C339" s="37" t="s">
        <v>566</v>
      </c>
      <c r="D339" s="38" t="s">
        <v>656</v>
      </c>
      <c r="E339" s="39">
        <v>1</v>
      </c>
      <c r="F339" s="40">
        <v>41.4</v>
      </c>
      <c r="G339" s="40">
        <f t="shared" si="5"/>
        <v>41.4</v>
      </c>
      <c r="H339" s="41" t="s">
        <v>24</v>
      </c>
      <c r="I339" s="41" t="s">
        <v>58</v>
      </c>
      <c r="J339" s="32"/>
    </row>
    <row r="340" spans="1:10" x14ac:dyDescent="0.2">
      <c r="A340" s="32"/>
      <c r="B340" s="42" t="s">
        <v>657</v>
      </c>
      <c r="C340" s="43" t="s">
        <v>566</v>
      </c>
      <c r="D340" s="44" t="s">
        <v>658</v>
      </c>
      <c r="E340" s="45">
        <v>1</v>
      </c>
      <c r="F340" s="46">
        <v>6.83</v>
      </c>
      <c r="G340" s="46">
        <f t="shared" si="5"/>
        <v>6.83</v>
      </c>
      <c r="H340" s="47" t="s">
        <v>24</v>
      </c>
      <c r="I340" s="47" t="s">
        <v>58</v>
      </c>
      <c r="J340" s="32"/>
    </row>
    <row r="341" spans="1:10" x14ac:dyDescent="0.2">
      <c r="A341" s="32"/>
      <c r="B341" s="36" t="s">
        <v>659</v>
      </c>
      <c r="C341" s="37" t="s">
        <v>566</v>
      </c>
      <c r="D341" s="38" t="s">
        <v>660</v>
      </c>
      <c r="E341" s="39">
        <v>1</v>
      </c>
      <c r="F341" s="40">
        <v>69.900000000000006</v>
      </c>
      <c r="G341" s="40">
        <f t="shared" si="5"/>
        <v>69.900000000000006</v>
      </c>
      <c r="H341" s="41" t="s">
        <v>24</v>
      </c>
      <c r="I341" s="41" t="s">
        <v>58</v>
      </c>
      <c r="J341" s="32"/>
    </row>
    <row r="342" spans="1:10" x14ac:dyDescent="0.2">
      <c r="A342" s="32"/>
      <c r="B342" s="42" t="s">
        <v>661</v>
      </c>
      <c r="C342" s="43" t="s">
        <v>566</v>
      </c>
      <c r="D342" s="44" t="s">
        <v>662</v>
      </c>
      <c r="E342" s="45">
        <v>1</v>
      </c>
      <c r="F342" s="46">
        <v>5.89</v>
      </c>
      <c r="G342" s="46">
        <f t="shared" si="5"/>
        <v>5.89</v>
      </c>
      <c r="H342" s="47" t="s">
        <v>24</v>
      </c>
      <c r="I342" s="47" t="s">
        <v>58</v>
      </c>
      <c r="J342" s="32"/>
    </row>
    <row r="343" spans="1:10" x14ac:dyDescent="0.2">
      <c r="A343" s="32"/>
      <c r="B343" s="36" t="s">
        <v>663</v>
      </c>
      <c r="C343" s="37" t="s">
        <v>566</v>
      </c>
      <c r="D343" s="38" t="s">
        <v>664</v>
      </c>
      <c r="E343" s="39">
        <v>1</v>
      </c>
      <c r="F343" s="40">
        <v>9.2799999999999994</v>
      </c>
      <c r="G343" s="40">
        <f t="shared" si="5"/>
        <v>9.2799999999999994</v>
      </c>
      <c r="H343" s="41" t="s">
        <v>24</v>
      </c>
      <c r="I343" s="41" t="s">
        <v>58</v>
      </c>
      <c r="J343" s="32"/>
    </row>
    <row r="344" spans="1:10" x14ac:dyDescent="0.2">
      <c r="A344" s="32"/>
      <c r="B344" s="42" t="s">
        <v>665</v>
      </c>
      <c r="C344" s="43" t="s">
        <v>507</v>
      </c>
      <c r="D344" s="44" t="s">
        <v>327</v>
      </c>
      <c r="E344" s="45">
        <v>1</v>
      </c>
      <c r="F344" s="46">
        <v>47</v>
      </c>
      <c r="G344" s="46">
        <f t="shared" si="5"/>
        <v>47</v>
      </c>
      <c r="H344" s="47" t="s">
        <v>24</v>
      </c>
      <c r="I344" s="47" t="s">
        <v>58</v>
      </c>
      <c r="J344" s="32"/>
    </row>
    <row r="345" spans="1:10" x14ac:dyDescent="0.2">
      <c r="A345" s="32"/>
      <c r="B345" s="36" t="s">
        <v>666</v>
      </c>
      <c r="C345" s="37" t="s">
        <v>507</v>
      </c>
      <c r="D345" s="38" t="s">
        <v>41</v>
      </c>
      <c r="E345" s="39">
        <v>1</v>
      </c>
      <c r="F345" s="40">
        <v>11</v>
      </c>
      <c r="G345" s="40">
        <f t="shared" si="5"/>
        <v>11</v>
      </c>
      <c r="H345" s="41" t="s">
        <v>26</v>
      </c>
      <c r="I345" s="41" t="s">
        <v>58</v>
      </c>
      <c r="J345" s="32"/>
    </row>
    <row r="346" spans="1:10" x14ac:dyDescent="0.2">
      <c r="A346" s="32"/>
      <c r="B346" s="42" t="s">
        <v>667</v>
      </c>
      <c r="C346" s="43" t="s">
        <v>668</v>
      </c>
      <c r="D346" s="44" t="s">
        <v>327</v>
      </c>
      <c r="E346" s="45">
        <v>1</v>
      </c>
      <c r="F346" s="46">
        <v>47</v>
      </c>
      <c r="G346" s="46">
        <f t="shared" si="5"/>
        <v>47</v>
      </c>
      <c r="H346" s="47" t="s">
        <v>24</v>
      </c>
      <c r="I346" s="47" t="s">
        <v>58</v>
      </c>
      <c r="J346" s="32"/>
    </row>
    <row r="347" spans="1:10" x14ac:dyDescent="0.2">
      <c r="A347" s="32"/>
      <c r="B347" s="36" t="s">
        <v>669</v>
      </c>
      <c r="C347" s="37" t="s">
        <v>668</v>
      </c>
      <c r="D347" s="38" t="s">
        <v>41</v>
      </c>
      <c r="E347" s="39">
        <v>1</v>
      </c>
      <c r="F347" s="40">
        <v>11</v>
      </c>
      <c r="G347" s="40">
        <f t="shared" si="5"/>
        <v>11</v>
      </c>
      <c r="H347" s="41" t="s">
        <v>26</v>
      </c>
      <c r="I347" s="41" t="s">
        <v>58</v>
      </c>
      <c r="J347" s="32"/>
    </row>
    <row r="348" spans="1:10" x14ac:dyDescent="0.2">
      <c r="A348" s="32"/>
      <c r="B348" s="42" t="s">
        <v>670</v>
      </c>
      <c r="C348" s="43" t="s">
        <v>671</v>
      </c>
      <c r="D348" s="44" t="s">
        <v>327</v>
      </c>
      <c r="E348" s="45">
        <v>1</v>
      </c>
      <c r="F348" s="46">
        <v>47</v>
      </c>
      <c r="G348" s="46">
        <f t="shared" si="5"/>
        <v>47</v>
      </c>
      <c r="H348" s="47" t="s">
        <v>24</v>
      </c>
      <c r="I348" s="47" t="s">
        <v>58</v>
      </c>
      <c r="J348" s="32"/>
    </row>
    <row r="349" spans="1:10" x14ac:dyDescent="0.2">
      <c r="A349" s="32"/>
      <c r="B349" s="36" t="s">
        <v>672</v>
      </c>
      <c r="C349" s="37" t="s">
        <v>671</v>
      </c>
      <c r="D349" s="38" t="s">
        <v>238</v>
      </c>
      <c r="E349" s="39">
        <v>1</v>
      </c>
      <c r="F349" s="40">
        <v>9</v>
      </c>
      <c r="G349" s="40">
        <f t="shared" si="5"/>
        <v>9</v>
      </c>
      <c r="H349" s="41" t="s">
        <v>24</v>
      </c>
      <c r="I349" s="41" t="s">
        <v>58</v>
      </c>
      <c r="J349" s="32"/>
    </row>
    <row r="350" spans="1:10" x14ac:dyDescent="0.2">
      <c r="A350" s="32"/>
      <c r="B350" s="42" t="s">
        <v>673</v>
      </c>
      <c r="C350" s="43" t="s">
        <v>671</v>
      </c>
      <c r="D350" s="44" t="s">
        <v>41</v>
      </c>
      <c r="E350" s="45">
        <v>1</v>
      </c>
      <c r="F350" s="46">
        <v>11</v>
      </c>
      <c r="G350" s="46">
        <f t="shared" si="5"/>
        <v>11</v>
      </c>
      <c r="H350" s="47" t="s">
        <v>26</v>
      </c>
      <c r="I350" s="47" t="s">
        <v>58</v>
      </c>
      <c r="J350" s="32"/>
    </row>
    <row r="351" spans="1:10" x14ac:dyDescent="0.2">
      <c r="A351" s="32"/>
      <c r="B351" s="36" t="s">
        <v>674</v>
      </c>
      <c r="C351" s="37" t="s">
        <v>675</v>
      </c>
      <c r="D351" s="38" t="s">
        <v>676</v>
      </c>
      <c r="E351" s="39">
        <v>1</v>
      </c>
      <c r="F351" s="40">
        <v>55.5</v>
      </c>
      <c r="G351" s="40">
        <f t="shared" si="5"/>
        <v>55.5</v>
      </c>
      <c r="H351" s="41" t="s">
        <v>24</v>
      </c>
      <c r="I351" s="41" t="s">
        <v>245</v>
      </c>
      <c r="J351" s="32"/>
    </row>
    <row r="352" spans="1:10" x14ac:dyDescent="0.2">
      <c r="A352" s="32"/>
      <c r="B352" s="42" t="s">
        <v>677</v>
      </c>
      <c r="C352" s="43" t="s">
        <v>675</v>
      </c>
      <c r="D352" s="44" t="s">
        <v>678</v>
      </c>
      <c r="E352" s="45">
        <v>1</v>
      </c>
      <c r="F352" s="46">
        <v>40</v>
      </c>
      <c r="G352" s="46">
        <f t="shared" si="5"/>
        <v>40</v>
      </c>
      <c r="H352" s="47" t="s">
        <v>24</v>
      </c>
      <c r="I352" s="47" t="s">
        <v>58</v>
      </c>
      <c r="J352" s="32"/>
    </row>
    <row r="353" spans="1:10" x14ac:dyDescent="0.2">
      <c r="A353" s="32"/>
      <c r="B353" s="36" t="s">
        <v>679</v>
      </c>
      <c r="C353" s="37" t="s">
        <v>680</v>
      </c>
      <c r="D353" s="38" t="s">
        <v>54</v>
      </c>
      <c r="E353" s="39">
        <v>1</v>
      </c>
      <c r="F353" s="40">
        <v>4.99</v>
      </c>
      <c r="G353" s="40">
        <f t="shared" si="5"/>
        <v>4.99</v>
      </c>
      <c r="H353" s="41" t="s">
        <v>26</v>
      </c>
      <c r="I353" s="41" t="s">
        <v>55</v>
      </c>
      <c r="J353" s="32"/>
    </row>
    <row r="354" spans="1:10" x14ac:dyDescent="0.2">
      <c r="A354" s="32"/>
      <c r="B354" s="42" t="s">
        <v>681</v>
      </c>
      <c r="C354" s="43" t="s">
        <v>680</v>
      </c>
      <c r="D354" s="44" t="s">
        <v>682</v>
      </c>
      <c r="E354" s="45">
        <v>1</v>
      </c>
      <c r="F354" s="46">
        <v>5.79</v>
      </c>
      <c r="G354" s="46">
        <f t="shared" si="5"/>
        <v>5.79</v>
      </c>
      <c r="H354" s="47" t="s">
        <v>24</v>
      </c>
      <c r="I354" s="47" t="s">
        <v>58</v>
      </c>
      <c r="J354" s="32"/>
    </row>
    <row r="355" spans="1:10" x14ac:dyDescent="0.2">
      <c r="A355" s="32"/>
      <c r="B355" s="36" t="s">
        <v>683</v>
      </c>
      <c r="C355" s="37" t="s">
        <v>684</v>
      </c>
      <c r="D355" s="38" t="s">
        <v>54</v>
      </c>
      <c r="E355" s="39">
        <v>1</v>
      </c>
      <c r="F355" s="40">
        <v>4.99</v>
      </c>
      <c r="G355" s="40">
        <f t="shared" si="5"/>
        <v>4.99</v>
      </c>
      <c r="H355" s="41" t="s">
        <v>26</v>
      </c>
      <c r="I355" s="41" t="s">
        <v>55</v>
      </c>
      <c r="J355" s="32"/>
    </row>
    <row r="356" spans="1:10" x14ac:dyDescent="0.2">
      <c r="A356" s="32"/>
      <c r="B356" s="42" t="s">
        <v>685</v>
      </c>
      <c r="C356" s="43" t="s">
        <v>684</v>
      </c>
      <c r="D356" s="44" t="s">
        <v>686</v>
      </c>
      <c r="E356" s="45">
        <v>1</v>
      </c>
      <c r="F356" s="46">
        <v>4.1900000000000004</v>
      </c>
      <c r="G356" s="46">
        <f t="shared" si="5"/>
        <v>4.1900000000000004</v>
      </c>
      <c r="H356" s="47" t="s">
        <v>24</v>
      </c>
      <c r="I356" s="47" t="s">
        <v>58</v>
      </c>
      <c r="J356" s="32"/>
    </row>
    <row r="357" spans="1:10" x14ac:dyDescent="0.2">
      <c r="A357" s="32"/>
      <c r="B357" s="36" t="s">
        <v>687</v>
      </c>
      <c r="C357" s="37" t="s">
        <v>671</v>
      </c>
      <c r="D357" s="38" t="s">
        <v>54</v>
      </c>
      <c r="E357" s="39">
        <v>1</v>
      </c>
      <c r="F357" s="40">
        <v>4.99</v>
      </c>
      <c r="G357" s="40">
        <f t="shared" si="5"/>
        <v>4.99</v>
      </c>
      <c r="H357" s="41" t="s">
        <v>26</v>
      </c>
      <c r="I357" s="41" t="s">
        <v>55</v>
      </c>
      <c r="J357" s="32"/>
    </row>
    <row r="358" spans="1:10" x14ac:dyDescent="0.2">
      <c r="A358" s="32"/>
      <c r="B358" s="42" t="s">
        <v>688</v>
      </c>
      <c r="C358" s="43" t="s">
        <v>671</v>
      </c>
      <c r="D358" s="44" t="s">
        <v>686</v>
      </c>
      <c r="E358" s="45">
        <v>1</v>
      </c>
      <c r="F358" s="46">
        <v>4.1900000000000004</v>
      </c>
      <c r="G358" s="46">
        <f t="shared" si="5"/>
        <v>4.1900000000000004</v>
      </c>
      <c r="H358" s="47" t="s">
        <v>24</v>
      </c>
      <c r="I358" s="47" t="s">
        <v>58</v>
      </c>
      <c r="J358" s="32"/>
    </row>
    <row r="359" spans="1:10" x14ac:dyDescent="0.2">
      <c r="A359" s="32"/>
      <c r="B359" s="36" t="s">
        <v>689</v>
      </c>
      <c r="C359" s="37" t="s">
        <v>690</v>
      </c>
      <c r="D359" s="38" t="s">
        <v>337</v>
      </c>
      <c r="E359" s="39">
        <v>1</v>
      </c>
      <c r="F359" s="40">
        <v>38</v>
      </c>
      <c r="G359" s="40">
        <f t="shared" si="5"/>
        <v>38</v>
      </c>
      <c r="H359" s="41" t="s">
        <v>24</v>
      </c>
      <c r="I359" s="41" t="s">
        <v>338</v>
      </c>
      <c r="J359" s="32"/>
    </row>
    <row r="360" spans="1:10" x14ac:dyDescent="0.2">
      <c r="A360" s="32"/>
      <c r="B360" s="42" t="s">
        <v>691</v>
      </c>
      <c r="C360" s="43" t="s">
        <v>690</v>
      </c>
      <c r="D360" s="44" t="s">
        <v>692</v>
      </c>
      <c r="E360" s="45">
        <v>1</v>
      </c>
      <c r="F360" s="46">
        <v>6</v>
      </c>
      <c r="G360" s="46">
        <f t="shared" si="5"/>
        <v>6</v>
      </c>
      <c r="H360" s="47" t="s">
        <v>24</v>
      </c>
      <c r="I360" s="47" t="s">
        <v>58</v>
      </c>
      <c r="J360" s="32"/>
    </row>
    <row r="361" spans="1:10" x14ac:dyDescent="0.2">
      <c r="A361" s="32"/>
      <c r="B361" s="36" t="s">
        <v>693</v>
      </c>
      <c r="C361" s="37" t="s">
        <v>690</v>
      </c>
      <c r="D361" s="38" t="s">
        <v>41</v>
      </c>
      <c r="E361" s="39">
        <v>1</v>
      </c>
      <c r="F361" s="40">
        <v>14</v>
      </c>
      <c r="G361" s="40">
        <f t="shared" si="5"/>
        <v>14</v>
      </c>
      <c r="H361" s="41" t="s">
        <v>26</v>
      </c>
      <c r="I361" s="41" t="s">
        <v>58</v>
      </c>
      <c r="J361" s="32"/>
    </row>
    <row r="362" spans="1:10" x14ac:dyDescent="0.2">
      <c r="A362" s="32"/>
      <c r="B362" s="42" t="s">
        <v>694</v>
      </c>
      <c r="C362" s="43" t="s">
        <v>695</v>
      </c>
      <c r="D362" s="44" t="s">
        <v>696</v>
      </c>
      <c r="E362" s="45">
        <v>1</v>
      </c>
      <c r="F362" s="46">
        <v>14.2</v>
      </c>
      <c r="G362" s="46">
        <f t="shared" si="5"/>
        <v>14.2</v>
      </c>
      <c r="H362" s="47" t="s">
        <v>24</v>
      </c>
      <c r="I362" s="47" t="s">
        <v>58</v>
      </c>
      <c r="J362" s="32"/>
    </row>
    <row r="363" spans="1:10" x14ac:dyDescent="0.2">
      <c r="A363" s="32"/>
      <c r="B363" s="36" t="s">
        <v>697</v>
      </c>
      <c r="C363" s="37" t="s">
        <v>695</v>
      </c>
      <c r="D363" s="38" t="s">
        <v>698</v>
      </c>
      <c r="E363" s="39">
        <v>1</v>
      </c>
      <c r="F363" s="40">
        <v>9.9</v>
      </c>
      <c r="G363" s="40">
        <f t="shared" si="5"/>
        <v>9.9</v>
      </c>
      <c r="H363" s="41" t="s">
        <v>24</v>
      </c>
      <c r="I363" s="41" t="s">
        <v>58</v>
      </c>
      <c r="J363" s="32"/>
    </row>
    <row r="364" spans="1:10" x14ac:dyDescent="0.2">
      <c r="A364" s="32"/>
      <c r="B364" s="42" t="s">
        <v>699</v>
      </c>
      <c r="C364" s="43" t="s">
        <v>695</v>
      </c>
      <c r="D364" s="44" t="s">
        <v>700</v>
      </c>
      <c r="E364" s="45">
        <v>1</v>
      </c>
      <c r="F364" s="46">
        <v>13.6</v>
      </c>
      <c r="G364" s="46">
        <f t="shared" si="5"/>
        <v>13.6</v>
      </c>
      <c r="H364" s="47" t="s">
        <v>24</v>
      </c>
      <c r="I364" s="47" t="s">
        <v>58</v>
      </c>
      <c r="J364" s="32"/>
    </row>
    <row r="365" spans="1:10" x14ac:dyDescent="0.2">
      <c r="A365" s="32"/>
      <c r="B365" s="36" t="s">
        <v>701</v>
      </c>
      <c r="C365" s="37" t="s">
        <v>695</v>
      </c>
      <c r="D365" s="38" t="s">
        <v>702</v>
      </c>
      <c r="E365" s="39">
        <v>1</v>
      </c>
      <c r="F365" s="40">
        <v>47.15</v>
      </c>
      <c r="G365" s="40">
        <f t="shared" si="5"/>
        <v>47.15</v>
      </c>
      <c r="H365" s="41" t="s">
        <v>24</v>
      </c>
      <c r="I365" s="41" t="s">
        <v>58</v>
      </c>
      <c r="J365" s="32"/>
    </row>
    <row r="366" spans="1:10" x14ac:dyDescent="0.2">
      <c r="A366" s="32"/>
      <c r="B366" s="42" t="s">
        <v>703</v>
      </c>
      <c r="C366" s="43" t="s">
        <v>695</v>
      </c>
      <c r="D366" s="44" t="s">
        <v>704</v>
      </c>
      <c r="E366" s="45">
        <v>1</v>
      </c>
      <c r="F366" s="46">
        <v>25.57</v>
      </c>
      <c r="G366" s="46">
        <f t="shared" si="5"/>
        <v>25.57</v>
      </c>
      <c r="H366" s="47" t="s">
        <v>25</v>
      </c>
      <c r="I366" s="47" t="s">
        <v>58</v>
      </c>
      <c r="J366" s="32"/>
    </row>
    <row r="367" spans="1:10" x14ac:dyDescent="0.2">
      <c r="A367" s="32"/>
      <c r="B367" s="36" t="s">
        <v>705</v>
      </c>
      <c r="C367" s="37" t="s">
        <v>695</v>
      </c>
      <c r="D367" s="38" t="s">
        <v>706</v>
      </c>
      <c r="E367" s="39">
        <v>1</v>
      </c>
      <c r="F367" s="40">
        <v>25.57</v>
      </c>
      <c r="G367" s="40">
        <f t="shared" si="5"/>
        <v>25.57</v>
      </c>
      <c r="H367" s="41" t="s">
        <v>25</v>
      </c>
      <c r="I367" s="41" t="s">
        <v>58</v>
      </c>
      <c r="J367" s="32"/>
    </row>
    <row r="368" spans="1:10" x14ac:dyDescent="0.2">
      <c r="A368" s="32"/>
      <c r="B368" s="42" t="s">
        <v>707</v>
      </c>
      <c r="C368" s="43" t="s">
        <v>708</v>
      </c>
      <c r="D368" s="44" t="s">
        <v>466</v>
      </c>
      <c r="E368" s="45">
        <v>1</v>
      </c>
      <c r="F368" s="46">
        <v>79</v>
      </c>
      <c r="G368" s="46">
        <f t="shared" si="5"/>
        <v>79</v>
      </c>
      <c r="H368" s="47" t="s">
        <v>24</v>
      </c>
      <c r="I368" s="47" t="s">
        <v>58</v>
      </c>
      <c r="J368" s="32"/>
    </row>
    <row r="369" spans="1:10" x14ac:dyDescent="0.2">
      <c r="A369" s="32"/>
      <c r="B369" s="36" t="s">
        <v>709</v>
      </c>
      <c r="C369" s="37" t="s">
        <v>708</v>
      </c>
      <c r="D369" s="38" t="s">
        <v>41</v>
      </c>
      <c r="E369" s="39">
        <v>1</v>
      </c>
      <c r="F369" s="40">
        <v>11</v>
      </c>
      <c r="G369" s="40">
        <f t="shared" si="5"/>
        <v>11</v>
      </c>
      <c r="H369" s="41" t="s">
        <v>26</v>
      </c>
      <c r="I369" s="41" t="s">
        <v>58</v>
      </c>
      <c r="J369" s="32"/>
    </row>
    <row r="370" spans="1:10" x14ac:dyDescent="0.2">
      <c r="A370" s="32"/>
      <c r="B370" s="42" t="s">
        <v>710</v>
      </c>
      <c r="C370" s="43" t="s">
        <v>711</v>
      </c>
      <c r="D370" s="44" t="s">
        <v>712</v>
      </c>
      <c r="E370" s="45">
        <v>1</v>
      </c>
      <c r="F370" s="46">
        <v>55</v>
      </c>
      <c r="G370" s="46">
        <f t="shared" si="5"/>
        <v>55</v>
      </c>
      <c r="H370" s="47" t="s">
        <v>24</v>
      </c>
      <c r="I370" s="47" t="s">
        <v>58</v>
      </c>
      <c r="J370" s="32"/>
    </row>
    <row r="371" spans="1:10" x14ac:dyDescent="0.2">
      <c r="A371" s="32"/>
      <c r="B371" s="36" t="s">
        <v>713</v>
      </c>
      <c r="C371" s="37" t="s">
        <v>711</v>
      </c>
      <c r="D371" s="38" t="s">
        <v>714</v>
      </c>
      <c r="E371" s="39">
        <v>1</v>
      </c>
      <c r="F371" s="40">
        <v>35.5</v>
      </c>
      <c r="G371" s="40">
        <f t="shared" si="5"/>
        <v>35.5</v>
      </c>
      <c r="H371" s="41" t="s">
        <v>24</v>
      </c>
      <c r="I371" s="41" t="s">
        <v>58</v>
      </c>
      <c r="J371" s="32"/>
    </row>
    <row r="372" spans="1:10" x14ac:dyDescent="0.2">
      <c r="A372" s="32"/>
      <c r="B372" s="42" t="s">
        <v>715</v>
      </c>
      <c r="C372" s="43" t="s">
        <v>711</v>
      </c>
      <c r="D372" s="44" t="s">
        <v>41</v>
      </c>
      <c r="E372" s="45">
        <v>1</v>
      </c>
      <c r="F372" s="46">
        <v>11</v>
      </c>
      <c r="G372" s="46">
        <f t="shared" si="5"/>
        <v>11</v>
      </c>
      <c r="H372" s="47" t="s">
        <v>26</v>
      </c>
      <c r="I372" s="47" t="s">
        <v>58</v>
      </c>
      <c r="J372" s="32"/>
    </row>
    <row r="373" spans="1:10" x14ac:dyDescent="0.2">
      <c r="A373" s="32"/>
      <c r="B373" s="36" t="s">
        <v>716</v>
      </c>
      <c r="C373" s="37" t="s">
        <v>717</v>
      </c>
      <c r="D373" s="38" t="s">
        <v>712</v>
      </c>
      <c r="E373" s="39">
        <v>1</v>
      </c>
      <c r="F373" s="40">
        <v>55</v>
      </c>
      <c r="G373" s="40">
        <f t="shared" si="5"/>
        <v>55</v>
      </c>
      <c r="H373" s="41" t="s">
        <v>24</v>
      </c>
      <c r="I373" s="41" t="s">
        <v>58</v>
      </c>
      <c r="J373" s="32"/>
    </row>
    <row r="374" spans="1:10" x14ac:dyDescent="0.2">
      <c r="A374" s="32"/>
      <c r="B374" s="42" t="s">
        <v>718</v>
      </c>
      <c r="C374" s="43" t="s">
        <v>717</v>
      </c>
      <c r="D374" s="44" t="s">
        <v>41</v>
      </c>
      <c r="E374" s="45">
        <v>1</v>
      </c>
      <c r="F374" s="46">
        <v>11</v>
      </c>
      <c r="G374" s="46">
        <f t="shared" si="5"/>
        <v>11</v>
      </c>
      <c r="H374" s="47" t="s">
        <v>26</v>
      </c>
      <c r="I374" s="47" t="s">
        <v>58</v>
      </c>
      <c r="J374" s="32"/>
    </row>
    <row r="375" spans="1:10" x14ac:dyDescent="0.2">
      <c r="A375" s="32"/>
      <c r="B375" s="36" t="s">
        <v>719</v>
      </c>
      <c r="C375" s="37" t="s">
        <v>720</v>
      </c>
      <c r="D375" s="38" t="s">
        <v>466</v>
      </c>
      <c r="E375" s="39">
        <v>1</v>
      </c>
      <c r="F375" s="40">
        <v>84</v>
      </c>
      <c r="G375" s="40">
        <f t="shared" si="5"/>
        <v>84</v>
      </c>
      <c r="H375" s="41" t="s">
        <v>24</v>
      </c>
      <c r="I375" s="41" t="s">
        <v>58</v>
      </c>
      <c r="J375" s="32"/>
    </row>
    <row r="376" spans="1:10" x14ac:dyDescent="0.2">
      <c r="A376" s="32"/>
      <c r="B376" s="42" t="s">
        <v>721</v>
      </c>
      <c r="C376" s="43" t="s">
        <v>720</v>
      </c>
      <c r="D376" s="44" t="s">
        <v>41</v>
      </c>
      <c r="E376" s="45">
        <v>1</v>
      </c>
      <c r="F376" s="46">
        <v>11</v>
      </c>
      <c r="G376" s="46">
        <f t="shared" si="5"/>
        <v>11</v>
      </c>
      <c r="H376" s="47" t="s">
        <v>26</v>
      </c>
      <c r="I376" s="47" t="s">
        <v>58</v>
      </c>
      <c r="J376" s="32"/>
    </row>
    <row r="377" spans="1:10" x14ac:dyDescent="0.2">
      <c r="A377" s="32"/>
      <c r="B377" s="36" t="s">
        <v>722</v>
      </c>
      <c r="C377" s="37" t="s">
        <v>723</v>
      </c>
      <c r="D377" s="38" t="s">
        <v>724</v>
      </c>
      <c r="E377" s="39">
        <v>1</v>
      </c>
      <c r="F377" s="40">
        <v>44.5</v>
      </c>
      <c r="G377" s="40">
        <f t="shared" si="5"/>
        <v>44.5</v>
      </c>
      <c r="H377" s="41" t="s">
        <v>26</v>
      </c>
      <c r="I377" s="41" t="s">
        <v>58</v>
      </c>
      <c r="J377" s="32"/>
    </row>
    <row r="378" spans="1:10" x14ac:dyDescent="0.2">
      <c r="A378" s="32"/>
      <c r="B378" s="42" t="s">
        <v>725</v>
      </c>
      <c r="C378" s="43" t="s">
        <v>723</v>
      </c>
      <c r="D378" s="44" t="s">
        <v>726</v>
      </c>
      <c r="E378" s="45">
        <v>1</v>
      </c>
      <c r="F378" s="46">
        <v>7</v>
      </c>
      <c r="G378" s="46">
        <f t="shared" si="5"/>
        <v>7</v>
      </c>
      <c r="H378" s="47" t="s">
        <v>24</v>
      </c>
      <c r="I378" s="47" t="s">
        <v>58</v>
      </c>
      <c r="J378" s="32"/>
    </row>
    <row r="379" spans="1:10" x14ac:dyDescent="0.2">
      <c r="A379" s="32"/>
      <c r="B379" s="36" t="s">
        <v>727</v>
      </c>
      <c r="C379" s="37" t="s">
        <v>728</v>
      </c>
      <c r="D379" s="38" t="s">
        <v>54</v>
      </c>
      <c r="E379" s="39">
        <v>1</v>
      </c>
      <c r="F379" s="40">
        <v>4.99</v>
      </c>
      <c r="G379" s="40">
        <f t="shared" si="5"/>
        <v>4.99</v>
      </c>
      <c r="H379" s="41" t="s">
        <v>26</v>
      </c>
      <c r="I379" s="41" t="s">
        <v>55</v>
      </c>
      <c r="J379" s="32"/>
    </row>
    <row r="380" spans="1:10" x14ac:dyDescent="0.2">
      <c r="A380" s="32"/>
      <c r="B380" s="42" t="s">
        <v>729</v>
      </c>
      <c r="C380" s="43" t="s">
        <v>728</v>
      </c>
      <c r="D380" s="44" t="s">
        <v>686</v>
      </c>
      <c r="E380" s="45">
        <v>1</v>
      </c>
      <c r="F380" s="46">
        <v>4.1900000000000004</v>
      </c>
      <c r="G380" s="46">
        <f t="shared" si="5"/>
        <v>4.1900000000000004</v>
      </c>
      <c r="H380" s="47" t="s">
        <v>24</v>
      </c>
      <c r="I380" s="47" t="s">
        <v>58</v>
      </c>
      <c r="J380" s="32"/>
    </row>
    <row r="381" spans="1:10" x14ac:dyDescent="0.2">
      <c r="A381" s="32"/>
      <c r="B381" s="36" t="s">
        <v>730</v>
      </c>
      <c r="C381" s="37" t="s">
        <v>731</v>
      </c>
      <c r="D381" s="38" t="s">
        <v>337</v>
      </c>
      <c r="E381" s="39">
        <v>1</v>
      </c>
      <c r="F381" s="40">
        <v>38</v>
      </c>
      <c r="G381" s="40">
        <f t="shared" si="5"/>
        <v>38</v>
      </c>
      <c r="H381" s="41" t="s">
        <v>24</v>
      </c>
      <c r="I381" s="41" t="s">
        <v>338</v>
      </c>
      <c r="J381" s="32"/>
    </row>
    <row r="382" spans="1:10" x14ac:dyDescent="0.2">
      <c r="A382" s="32"/>
      <c r="B382" s="42" t="s">
        <v>732</v>
      </c>
      <c r="C382" s="43" t="s">
        <v>731</v>
      </c>
      <c r="D382" s="44" t="s">
        <v>41</v>
      </c>
      <c r="E382" s="45">
        <v>1</v>
      </c>
      <c r="F382" s="46">
        <v>14</v>
      </c>
      <c r="G382" s="46">
        <f t="shared" si="5"/>
        <v>14</v>
      </c>
      <c r="H382" s="47" t="s">
        <v>26</v>
      </c>
      <c r="I382" s="47" t="s">
        <v>58</v>
      </c>
      <c r="J382" s="32"/>
    </row>
    <row r="383" spans="1:10" x14ac:dyDescent="0.2">
      <c r="A383" s="32"/>
      <c r="B383" s="36" t="s">
        <v>733</v>
      </c>
      <c r="C383" s="37" t="s">
        <v>734</v>
      </c>
      <c r="D383" s="38" t="s">
        <v>735</v>
      </c>
      <c r="E383" s="39">
        <v>1</v>
      </c>
      <c r="F383" s="40">
        <v>3.4893619999999999</v>
      </c>
      <c r="G383" s="40">
        <f t="shared" si="5"/>
        <v>3.4893619999999999</v>
      </c>
      <c r="H383" s="41" t="s">
        <v>24</v>
      </c>
      <c r="I383" s="41" t="s">
        <v>58</v>
      </c>
      <c r="J383" s="32"/>
    </row>
    <row r="384" spans="1:10" x14ac:dyDescent="0.2">
      <c r="A384" s="32"/>
      <c r="B384" s="42" t="s">
        <v>736</v>
      </c>
      <c r="C384" s="43" t="s">
        <v>734</v>
      </c>
      <c r="D384" s="44" t="s">
        <v>737</v>
      </c>
      <c r="E384" s="45">
        <v>1</v>
      </c>
      <c r="F384" s="46">
        <v>7.99308</v>
      </c>
      <c r="G384" s="46">
        <f t="shared" si="5"/>
        <v>7.99308</v>
      </c>
      <c r="H384" s="47" t="s">
        <v>24</v>
      </c>
      <c r="I384" s="47" t="s">
        <v>58</v>
      </c>
      <c r="J384" s="32"/>
    </row>
    <row r="385" spans="1:10" x14ac:dyDescent="0.2">
      <c r="A385" s="32"/>
      <c r="B385" s="36" t="s">
        <v>738</v>
      </c>
      <c r="C385" s="37" t="s">
        <v>734</v>
      </c>
      <c r="D385" s="38" t="s">
        <v>739</v>
      </c>
      <c r="E385" s="39">
        <v>1</v>
      </c>
      <c r="F385" s="40">
        <v>4.9945360000000001</v>
      </c>
      <c r="G385" s="40">
        <f t="shared" si="5"/>
        <v>4.9945360000000001</v>
      </c>
      <c r="H385" s="41" t="s">
        <v>24</v>
      </c>
      <c r="I385" s="41" t="s">
        <v>58</v>
      </c>
      <c r="J385" s="32"/>
    </row>
    <row r="386" spans="1:10" x14ac:dyDescent="0.2">
      <c r="A386" s="32"/>
      <c r="B386" s="42" t="s">
        <v>740</v>
      </c>
      <c r="C386" s="43" t="s">
        <v>734</v>
      </c>
      <c r="D386" s="44" t="s">
        <v>741</v>
      </c>
      <c r="E386" s="45">
        <v>1</v>
      </c>
      <c r="F386" s="46">
        <v>9.4919349999999998</v>
      </c>
      <c r="G386" s="46">
        <f t="shared" si="5"/>
        <v>9.4919349999999998</v>
      </c>
      <c r="H386" s="47" t="s">
        <v>24</v>
      </c>
      <c r="I386" s="47" t="s">
        <v>58</v>
      </c>
      <c r="J386" s="32"/>
    </row>
    <row r="387" spans="1:10" x14ac:dyDescent="0.2">
      <c r="A387" s="32"/>
      <c r="B387" s="36" t="s">
        <v>742</v>
      </c>
      <c r="C387" s="37" t="s">
        <v>734</v>
      </c>
      <c r="D387" s="38" t="s">
        <v>743</v>
      </c>
      <c r="E387" s="39">
        <v>1</v>
      </c>
      <c r="F387" s="40">
        <v>7.4922599999999999</v>
      </c>
      <c r="G387" s="40">
        <f t="shared" si="5"/>
        <v>7.4922599999999999</v>
      </c>
      <c r="H387" s="41" t="s">
        <v>24</v>
      </c>
      <c r="I387" s="41" t="s">
        <v>58</v>
      </c>
      <c r="J387" s="32"/>
    </row>
    <row r="388" spans="1:10" x14ac:dyDescent="0.2">
      <c r="A388" s="32"/>
      <c r="B388" s="42" t="s">
        <v>744</v>
      </c>
      <c r="C388" s="43" t="s">
        <v>734</v>
      </c>
      <c r="D388" s="44" t="s">
        <v>38</v>
      </c>
      <c r="E388" s="45">
        <v>1</v>
      </c>
      <c r="F388" s="46">
        <v>2.6916890000000002</v>
      </c>
      <c r="G388" s="46">
        <f t="shared" si="5"/>
        <v>2.6916890000000002</v>
      </c>
      <c r="H388" s="47" t="s">
        <v>24</v>
      </c>
      <c r="I388" s="47" t="s">
        <v>58</v>
      </c>
      <c r="J388" s="32"/>
    </row>
    <row r="389" spans="1:10" x14ac:dyDescent="0.2">
      <c r="A389" s="32"/>
      <c r="B389" s="36" t="s">
        <v>745</v>
      </c>
      <c r="C389" s="37" t="s">
        <v>734</v>
      </c>
      <c r="D389" s="38" t="s">
        <v>373</v>
      </c>
      <c r="E389" s="39">
        <v>1</v>
      </c>
      <c r="F389" s="40">
        <v>3.9895559999999999</v>
      </c>
      <c r="G389" s="40">
        <f t="shared" ref="G389:G452" si="6">E389*F389</f>
        <v>3.9895559999999999</v>
      </c>
      <c r="H389" s="41" t="s">
        <v>24</v>
      </c>
      <c r="I389" s="41" t="s">
        <v>58</v>
      </c>
      <c r="J389" s="32"/>
    </row>
    <row r="390" spans="1:10" x14ac:dyDescent="0.2">
      <c r="A390" s="32"/>
      <c r="B390" s="42" t="s">
        <v>746</v>
      </c>
      <c r="C390" s="43" t="s">
        <v>734</v>
      </c>
      <c r="D390" s="44" t="s">
        <v>421</v>
      </c>
      <c r="E390" s="45">
        <v>1</v>
      </c>
      <c r="F390" s="46">
        <v>13.59</v>
      </c>
      <c r="G390" s="46">
        <f t="shared" si="6"/>
        <v>13.59</v>
      </c>
      <c r="H390" s="47" t="s">
        <v>24</v>
      </c>
      <c r="I390" s="47" t="s">
        <v>58</v>
      </c>
      <c r="J390" s="32"/>
    </row>
    <row r="391" spans="1:10" x14ac:dyDescent="0.2">
      <c r="A391" s="32"/>
      <c r="B391" s="36" t="s">
        <v>747</v>
      </c>
      <c r="C391" s="37" t="s">
        <v>734</v>
      </c>
      <c r="D391" s="38" t="s">
        <v>748</v>
      </c>
      <c r="E391" s="39">
        <v>1</v>
      </c>
      <c r="F391" s="40">
        <v>10.99</v>
      </c>
      <c r="G391" s="40">
        <f t="shared" si="6"/>
        <v>10.99</v>
      </c>
      <c r="H391" s="41" t="s">
        <v>24</v>
      </c>
      <c r="I391" s="41" t="s">
        <v>58</v>
      </c>
      <c r="J391" s="32"/>
    </row>
    <row r="392" spans="1:10" x14ac:dyDescent="0.2">
      <c r="A392" s="32"/>
      <c r="B392" s="42" t="s">
        <v>749</v>
      </c>
      <c r="C392" s="43" t="s">
        <v>734</v>
      </c>
      <c r="D392" s="44" t="s">
        <v>42</v>
      </c>
      <c r="E392" s="45">
        <v>1</v>
      </c>
      <c r="F392" s="46">
        <v>6.9859150000000003</v>
      </c>
      <c r="G392" s="46">
        <f t="shared" si="6"/>
        <v>6.9859150000000003</v>
      </c>
      <c r="H392" s="47" t="s">
        <v>24</v>
      </c>
      <c r="I392" s="47" t="s">
        <v>58</v>
      </c>
      <c r="J392" s="32"/>
    </row>
    <row r="393" spans="1:10" x14ac:dyDescent="0.2">
      <c r="A393" s="32"/>
      <c r="B393" s="36" t="s">
        <v>750</v>
      </c>
      <c r="C393" s="37" t="s">
        <v>734</v>
      </c>
      <c r="D393" s="38" t="s">
        <v>751</v>
      </c>
      <c r="E393" s="39">
        <v>1</v>
      </c>
      <c r="F393" s="40">
        <v>8.99</v>
      </c>
      <c r="G393" s="40">
        <f t="shared" si="6"/>
        <v>8.99</v>
      </c>
      <c r="H393" s="41" t="s">
        <v>24</v>
      </c>
      <c r="I393" s="41" t="s">
        <v>58</v>
      </c>
      <c r="J393" s="32"/>
    </row>
    <row r="394" spans="1:10" x14ac:dyDescent="0.2">
      <c r="A394" s="32"/>
      <c r="B394" s="42" t="s">
        <v>752</v>
      </c>
      <c r="C394" s="43" t="s">
        <v>734</v>
      </c>
      <c r="D394" s="44" t="s">
        <v>753</v>
      </c>
      <c r="E394" s="45">
        <v>1</v>
      </c>
      <c r="F394" s="46">
        <v>6.49</v>
      </c>
      <c r="G394" s="46">
        <f t="shared" si="6"/>
        <v>6.49</v>
      </c>
      <c r="H394" s="47" t="s">
        <v>24</v>
      </c>
      <c r="I394" s="47" t="s">
        <v>58</v>
      </c>
      <c r="J394" s="32"/>
    </row>
    <row r="395" spans="1:10" x14ac:dyDescent="0.2">
      <c r="A395" s="32"/>
      <c r="B395" s="36" t="s">
        <v>754</v>
      </c>
      <c r="C395" s="37" t="s">
        <v>734</v>
      </c>
      <c r="D395" s="38" t="s">
        <v>753</v>
      </c>
      <c r="E395" s="39">
        <v>1</v>
      </c>
      <c r="F395" s="40">
        <v>6.49</v>
      </c>
      <c r="G395" s="40">
        <f t="shared" si="6"/>
        <v>6.49</v>
      </c>
      <c r="H395" s="41" t="s">
        <v>24</v>
      </c>
      <c r="I395" s="41" t="s">
        <v>58</v>
      </c>
      <c r="J395" s="32"/>
    </row>
    <row r="396" spans="1:10" x14ac:dyDescent="0.2">
      <c r="A396" s="32"/>
      <c r="B396" s="42" t="s">
        <v>755</v>
      </c>
      <c r="C396" s="43" t="s">
        <v>734</v>
      </c>
      <c r="D396" s="44" t="s">
        <v>365</v>
      </c>
      <c r="E396" s="45">
        <v>1</v>
      </c>
      <c r="F396" s="46">
        <v>4.4895100000000001</v>
      </c>
      <c r="G396" s="46">
        <f t="shared" si="6"/>
        <v>4.4895100000000001</v>
      </c>
      <c r="H396" s="47" t="s">
        <v>24</v>
      </c>
      <c r="I396" s="47" t="s">
        <v>58</v>
      </c>
      <c r="J396" s="32"/>
    </row>
    <row r="397" spans="1:10" x14ac:dyDescent="0.2">
      <c r="A397" s="32"/>
      <c r="B397" s="36" t="s">
        <v>756</v>
      </c>
      <c r="C397" s="37" t="s">
        <v>734</v>
      </c>
      <c r="D397" s="38" t="s">
        <v>757</v>
      </c>
      <c r="E397" s="39">
        <v>1</v>
      </c>
      <c r="F397" s="40">
        <v>8.99</v>
      </c>
      <c r="G397" s="40">
        <f t="shared" si="6"/>
        <v>8.99</v>
      </c>
      <c r="H397" s="41" t="s">
        <v>24</v>
      </c>
      <c r="I397" s="41" t="s">
        <v>58</v>
      </c>
      <c r="J397" s="32"/>
    </row>
    <row r="398" spans="1:10" x14ac:dyDescent="0.2">
      <c r="A398" s="32"/>
      <c r="B398" s="42" t="s">
        <v>758</v>
      </c>
      <c r="C398" s="43" t="s">
        <v>734</v>
      </c>
      <c r="D398" s="44" t="s">
        <v>759</v>
      </c>
      <c r="E398" s="45">
        <v>1</v>
      </c>
      <c r="F398" s="46">
        <v>12.49</v>
      </c>
      <c r="G398" s="46">
        <f t="shared" si="6"/>
        <v>12.49</v>
      </c>
      <c r="H398" s="47" t="s">
        <v>24</v>
      </c>
      <c r="I398" s="47" t="s">
        <v>58</v>
      </c>
      <c r="J398" s="32"/>
    </row>
    <row r="399" spans="1:10" x14ac:dyDescent="0.2">
      <c r="A399" s="32"/>
      <c r="B399" s="36" t="s">
        <v>760</v>
      </c>
      <c r="C399" s="37" t="s">
        <v>734</v>
      </c>
      <c r="D399" s="38" t="s">
        <v>761</v>
      </c>
      <c r="E399" s="39">
        <v>1</v>
      </c>
      <c r="F399" s="40">
        <v>28.9</v>
      </c>
      <c r="G399" s="40">
        <f t="shared" si="6"/>
        <v>28.9</v>
      </c>
      <c r="H399" s="41" t="s">
        <v>28</v>
      </c>
      <c r="I399" s="41" t="s">
        <v>58</v>
      </c>
      <c r="J399" s="32"/>
    </row>
    <row r="400" spans="1:10" x14ac:dyDescent="0.2">
      <c r="A400" s="32"/>
      <c r="B400" s="42" t="s">
        <v>762</v>
      </c>
      <c r="C400" s="43" t="s">
        <v>734</v>
      </c>
      <c r="D400" s="44" t="s">
        <v>763</v>
      </c>
      <c r="E400" s="45">
        <v>1</v>
      </c>
      <c r="F400" s="46">
        <v>51.902357000000002</v>
      </c>
      <c r="G400" s="46">
        <f t="shared" si="6"/>
        <v>51.902357000000002</v>
      </c>
      <c r="H400" s="47" t="s">
        <v>24</v>
      </c>
      <c r="I400" s="47" t="s">
        <v>58</v>
      </c>
      <c r="J400" s="32"/>
    </row>
    <row r="401" spans="1:10" x14ac:dyDescent="0.2">
      <c r="A401" s="32"/>
      <c r="B401" s="36" t="s">
        <v>764</v>
      </c>
      <c r="C401" s="37" t="s">
        <v>734</v>
      </c>
      <c r="D401" s="38" t="s">
        <v>765</v>
      </c>
      <c r="E401" s="39">
        <v>1</v>
      </c>
      <c r="F401" s="40">
        <v>39.980314999999997</v>
      </c>
      <c r="G401" s="40">
        <f t="shared" si="6"/>
        <v>39.980314999999997</v>
      </c>
      <c r="H401" s="41" t="s">
        <v>24</v>
      </c>
      <c r="I401" s="41" t="s">
        <v>58</v>
      </c>
      <c r="J401" s="32"/>
    </row>
    <row r="402" spans="1:10" x14ac:dyDescent="0.2">
      <c r="A402" s="32"/>
      <c r="B402" s="42" t="s">
        <v>766</v>
      </c>
      <c r="C402" s="43" t="s">
        <v>734</v>
      </c>
      <c r="D402" s="44" t="s">
        <v>767</v>
      </c>
      <c r="E402" s="45">
        <v>1</v>
      </c>
      <c r="F402" s="46">
        <v>84.882352999999995</v>
      </c>
      <c r="G402" s="46">
        <f t="shared" si="6"/>
        <v>84.882352999999995</v>
      </c>
      <c r="H402" s="47" t="s">
        <v>24</v>
      </c>
      <c r="I402" s="47" t="s">
        <v>58</v>
      </c>
      <c r="J402" s="32"/>
    </row>
    <row r="403" spans="1:10" x14ac:dyDescent="0.2">
      <c r="A403" s="32"/>
      <c r="B403" s="36" t="s">
        <v>768</v>
      </c>
      <c r="C403" s="37" t="s">
        <v>734</v>
      </c>
      <c r="D403" s="38" t="s">
        <v>379</v>
      </c>
      <c r="E403" s="39">
        <v>1</v>
      </c>
      <c r="F403" s="40">
        <v>108.984375</v>
      </c>
      <c r="G403" s="40">
        <f t="shared" si="6"/>
        <v>108.984375</v>
      </c>
      <c r="H403" s="41" t="s">
        <v>24</v>
      </c>
      <c r="I403" s="41" t="s">
        <v>58</v>
      </c>
      <c r="J403" s="32"/>
    </row>
    <row r="404" spans="1:10" x14ac:dyDescent="0.2">
      <c r="A404" s="32"/>
      <c r="B404" s="42" t="s">
        <v>769</v>
      </c>
      <c r="C404" s="43" t="s">
        <v>734</v>
      </c>
      <c r="D404" s="44" t="s">
        <v>770</v>
      </c>
      <c r="E404" s="45">
        <v>1</v>
      </c>
      <c r="F404" s="46">
        <v>12.99</v>
      </c>
      <c r="G404" s="46">
        <f t="shared" si="6"/>
        <v>12.99</v>
      </c>
      <c r="H404" s="47" t="s">
        <v>24</v>
      </c>
      <c r="I404" s="47" t="s">
        <v>58</v>
      </c>
      <c r="J404" s="32"/>
    </row>
    <row r="405" spans="1:10" x14ac:dyDescent="0.2">
      <c r="A405" s="32"/>
      <c r="B405" s="36" t="s">
        <v>771</v>
      </c>
      <c r="C405" s="37" t="s">
        <v>734</v>
      </c>
      <c r="D405" s="38" t="s">
        <v>770</v>
      </c>
      <c r="E405" s="39">
        <v>1</v>
      </c>
      <c r="F405" s="40">
        <v>12.99</v>
      </c>
      <c r="G405" s="40">
        <f t="shared" si="6"/>
        <v>12.99</v>
      </c>
      <c r="H405" s="41" t="s">
        <v>24</v>
      </c>
      <c r="I405" s="41" t="s">
        <v>58</v>
      </c>
      <c r="J405" s="32"/>
    </row>
    <row r="406" spans="1:10" x14ac:dyDescent="0.2">
      <c r="A406" s="32"/>
      <c r="B406" s="42" t="s">
        <v>772</v>
      </c>
      <c r="C406" s="43" t="s">
        <v>734</v>
      </c>
      <c r="D406" s="44" t="s">
        <v>401</v>
      </c>
      <c r="E406" s="45">
        <v>1</v>
      </c>
      <c r="F406" s="46">
        <v>22.9</v>
      </c>
      <c r="G406" s="46">
        <f t="shared" si="6"/>
        <v>22.9</v>
      </c>
      <c r="H406" s="47" t="s">
        <v>24</v>
      </c>
      <c r="I406" s="47" t="s">
        <v>58</v>
      </c>
      <c r="J406" s="32"/>
    </row>
    <row r="407" spans="1:10" x14ac:dyDescent="0.2">
      <c r="A407" s="32"/>
      <c r="B407" s="36" t="s">
        <v>773</v>
      </c>
      <c r="C407" s="37" t="s">
        <v>734</v>
      </c>
      <c r="D407" s="38" t="s">
        <v>774</v>
      </c>
      <c r="E407" s="39">
        <v>1</v>
      </c>
      <c r="F407" s="40">
        <v>28.9</v>
      </c>
      <c r="G407" s="40">
        <f t="shared" si="6"/>
        <v>28.9</v>
      </c>
      <c r="H407" s="41" t="s">
        <v>24</v>
      </c>
      <c r="I407" s="41" t="s">
        <v>58</v>
      </c>
      <c r="J407" s="32"/>
    </row>
    <row r="408" spans="1:10" x14ac:dyDescent="0.2">
      <c r="A408" s="32"/>
      <c r="B408" s="42" t="s">
        <v>775</v>
      </c>
      <c r="C408" s="43" t="s">
        <v>734</v>
      </c>
      <c r="D408" s="44" t="s">
        <v>776</v>
      </c>
      <c r="E408" s="45">
        <v>1</v>
      </c>
      <c r="F408" s="46">
        <v>7.9</v>
      </c>
      <c r="G408" s="46">
        <f t="shared" si="6"/>
        <v>7.9</v>
      </c>
      <c r="H408" s="47" t="s">
        <v>24</v>
      </c>
      <c r="I408" s="47" t="s">
        <v>58</v>
      </c>
      <c r="J408" s="32"/>
    </row>
    <row r="409" spans="1:10" x14ac:dyDescent="0.2">
      <c r="A409" s="32"/>
      <c r="B409" s="36" t="s">
        <v>777</v>
      </c>
      <c r="C409" s="37" t="s">
        <v>734</v>
      </c>
      <c r="D409" s="38" t="s">
        <v>778</v>
      </c>
      <c r="E409" s="39">
        <v>1</v>
      </c>
      <c r="F409" s="40">
        <v>8.99</v>
      </c>
      <c r="G409" s="40">
        <f t="shared" si="6"/>
        <v>8.99</v>
      </c>
      <c r="H409" s="41" t="s">
        <v>24</v>
      </c>
      <c r="I409" s="41" t="s">
        <v>58</v>
      </c>
      <c r="J409" s="32"/>
    </row>
    <row r="410" spans="1:10" x14ac:dyDescent="0.2">
      <c r="A410" s="32"/>
      <c r="B410" s="42" t="s">
        <v>779</v>
      </c>
      <c r="C410" s="43" t="s">
        <v>734</v>
      </c>
      <c r="D410" s="44" t="s">
        <v>780</v>
      </c>
      <c r="E410" s="45">
        <v>1</v>
      </c>
      <c r="F410" s="46">
        <v>3.59</v>
      </c>
      <c r="G410" s="46">
        <f t="shared" si="6"/>
        <v>3.59</v>
      </c>
      <c r="H410" s="47" t="s">
        <v>24</v>
      </c>
      <c r="I410" s="47" t="s">
        <v>58</v>
      </c>
      <c r="J410" s="32"/>
    </row>
    <row r="411" spans="1:10" x14ac:dyDescent="0.2">
      <c r="A411" s="32"/>
      <c r="B411" s="36" t="s">
        <v>781</v>
      </c>
      <c r="C411" s="37" t="s">
        <v>734</v>
      </c>
      <c r="D411" s="38" t="s">
        <v>412</v>
      </c>
      <c r="E411" s="39">
        <v>1</v>
      </c>
      <c r="F411" s="40">
        <v>14.99</v>
      </c>
      <c r="G411" s="40">
        <f t="shared" si="6"/>
        <v>14.99</v>
      </c>
      <c r="H411" s="41" t="s">
        <v>24</v>
      </c>
      <c r="I411" s="41" t="s">
        <v>58</v>
      </c>
      <c r="J411" s="32"/>
    </row>
    <row r="412" spans="1:10" x14ac:dyDescent="0.2">
      <c r="A412" s="32"/>
      <c r="B412" s="42" t="s">
        <v>782</v>
      </c>
      <c r="C412" s="43" t="s">
        <v>734</v>
      </c>
      <c r="D412" s="44" t="s">
        <v>783</v>
      </c>
      <c r="E412" s="45">
        <v>1</v>
      </c>
      <c r="F412" s="46">
        <v>12.99</v>
      </c>
      <c r="G412" s="46">
        <f t="shared" si="6"/>
        <v>12.99</v>
      </c>
      <c r="H412" s="47" t="s">
        <v>24</v>
      </c>
      <c r="I412" s="47" t="s">
        <v>58</v>
      </c>
      <c r="J412" s="32"/>
    </row>
    <row r="413" spans="1:10" x14ac:dyDescent="0.2">
      <c r="A413" s="32"/>
      <c r="B413" s="36" t="s">
        <v>784</v>
      </c>
      <c r="C413" s="37" t="s">
        <v>734</v>
      </c>
      <c r="D413" s="38" t="s">
        <v>417</v>
      </c>
      <c r="E413" s="39">
        <v>1</v>
      </c>
      <c r="F413" s="40">
        <v>2.19</v>
      </c>
      <c r="G413" s="40">
        <f t="shared" si="6"/>
        <v>2.19</v>
      </c>
      <c r="H413" s="41" t="s">
        <v>24</v>
      </c>
      <c r="I413" s="41" t="s">
        <v>58</v>
      </c>
      <c r="J413" s="32"/>
    </row>
    <row r="414" spans="1:10" x14ac:dyDescent="0.2">
      <c r="A414" s="32"/>
      <c r="B414" s="42" t="s">
        <v>785</v>
      </c>
      <c r="C414" s="43" t="s">
        <v>734</v>
      </c>
      <c r="D414" s="44" t="s">
        <v>417</v>
      </c>
      <c r="E414" s="45">
        <v>1</v>
      </c>
      <c r="F414" s="46">
        <v>2.19</v>
      </c>
      <c r="G414" s="46">
        <f t="shared" si="6"/>
        <v>2.19</v>
      </c>
      <c r="H414" s="47" t="s">
        <v>24</v>
      </c>
      <c r="I414" s="47" t="s">
        <v>58</v>
      </c>
      <c r="J414" s="32"/>
    </row>
    <row r="415" spans="1:10" x14ac:dyDescent="0.2">
      <c r="A415" s="32"/>
      <c r="B415" s="36" t="s">
        <v>786</v>
      </c>
      <c r="C415" s="37" t="s">
        <v>734</v>
      </c>
      <c r="D415" s="38" t="s">
        <v>787</v>
      </c>
      <c r="E415" s="39">
        <v>1</v>
      </c>
      <c r="F415" s="40">
        <v>11.99</v>
      </c>
      <c r="G415" s="40">
        <f t="shared" si="6"/>
        <v>11.99</v>
      </c>
      <c r="H415" s="41" t="s">
        <v>24</v>
      </c>
      <c r="I415" s="41" t="s">
        <v>58</v>
      </c>
      <c r="J415" s="32"/>
    </row>
    <row r="416" spans="1:10" x14ac:dyDescent="0.2">
      <c r="A416" s="32"/>
      <c r="B416" s="42" t="s">
        <v>788</v>
      </c>
      <c r="C416" s="43" t="s">
        <v>734</v>
      </c>
      <c r="D416" s="44" t="s">
        <v>789</v>
      </c>
      <c r="E416" s="45">
        <v>1</v>
      </c>
      <c r="F416" s="46">
        <v>7.69</v>
      </c>
      <c r="G416" s="46">
        <f t="shared" si="6"/>
        <v>7.69</v>
      </c>
      <c r="H416" s="47" t="s">
        <v>24</v>
      </c>
      <c r="I416" s="47" t="s">
        <v>58</v>
      </c>
      <c r="J416" s="32"/>
    </row>
    <row r="417" spans="1:10" x14ac:dyDescent="0.2">
      <c r="A417" s="32"/>
      <c r="B417" s="36" t="s">
        <v>790</v>
      </c>
      <c r="C417" s="37" t="s">
        <v>734</v>
      </c>
      <c r="D417" s="38" t="s">
        <v>393</v>
      </c>
      <c r="E417" s="39">
        <v>1</v>
      </c>
      <c r="F417" s="40">
        <v>15.99</v>
      </c>
      <c r="G417" s="40">
        <f t="shared" si="6"/>
        <v>15.99</v>
      </c>
      <c r="H417" s="41" t="s">
        <v>24</v>
      </c>
      <c r="I417" s="41" t="s">
        <v>58</v>
      </c>
      <c r="J417" s="32"/>
    </row>
    <row r="418" spans="1:10" x14ac:dyDescent="0.2">
      <c r="A418" s="32"/>
      <c r="B418" s="42" t="s">
        <v>791</v>
      </c>
      <c r="C418" s="43" t="s">
        <v>734</v>
      </c>
      <c r="D418" s="44" t="s">
        <v>792</v>
      </c>
      <c r="E418" s="45">
        <v>1</v>
      </c>
      <c r="F418" s="46">
        <v>18.989999999999998</v>
      </c>
      <c r="G418" s="46">
        <f t="shared" si="6"/>
        <v>18.989999999999998</v>
      </c>
      <c r="H418" s="47" t="s">
        <v>24</v>
      </c>
      <c r="I418" s="47" t="s">
        <v>58</v>
      </c>
      <c r="J418" s="32"/>
    </row>
    <row r="419" spans="1:10" x14ac:dyDescent="0.2">
      <c r="A419" s="32"/>
      <c r="B419" s="36" t="s">
        <v>793</v>
      </c>
      <c r="C419" s="37" t="s">
        <v>734</v>
      </c>
      <c r="D419" s="38" t="s">
        <v>794</v>
      </c>
      <c r="E419" s="39">
        <v>1</v>
      </c>
      <c r="F419" s="40">
        <v>8.59</v>
      </c>
      <c r="G419" s="40">
        <f t="shared" si="6"/>
        <v>8.59</v>
      </c>
      <c r="H419" s="41" t="s">
        <v>24</v>
      </c>
      <c r="I419" s="41" t="s">
        <v>58</v>
      </c>
      <c r="J419" s="32"/>
    </row>
    <row r="420" spans="1:10" x14ac:dyDescent="0.2">
      <c r="A420" s="32"/>
      <c r="B420" s="42" t="s">
        <v>795</v>
      </c>
      <c r="C420" s="43" t="s">
        <v>734</v>
      </c>
      <c r="D420" s="44" t="s">
        <v>796</v>
      </c>
      <c r="E420" s="45">
        <v>1</v>
      </c>
      <c r="F420" s="46">
        <v>6.49</v>
      </c>
      <c r="G420" s="46">
        <f t="shared" si="6"/>
        <v>6.49</v>
      </c>
      <c r="H420" s="47" t="s">
        <v>24</v>
      </c>
      <c r="I420" s="47" t="s">
        <v>58</v>
      </c>
      <c r="J420" s="32"/>
    </row>
    <row r="421" spans="1:10" x14ac:dyDescent="0.2">
      <c r="A421" s="32"/>
      <c r="B421" s="36" t="s">
        <v>797</v>
      </c>
      <c r="C421" s="37" t="s">
        <v>734</v>
      </c>
      <c r="D421" s="38" t="s">
        <v>798</v>
      </c>
      <c r="E421" s="39">
        <v>1</v>
      </c>
      <c r="F421" s="40">
        <v>3.99</v>
      </c>
      <c r="G421" s="40">
        <f t="shared" si="6"/>
        <v>3.99</v>
      </c>
      <c r="H421" s="41" t="s">
        <v>24</v>
      </c>
      <c r="I421" s="41" t="s">
        <v>58</v>
      </c>
      <c r="J421" s="32"/>
    </row>
    <row r="422" spans="1:10" x14ac:dyDescent="0.2">
      <c r="A422" s="32"/>
      <c r="B422" s="42" t="s">
        <v>799</v>
      </c>
      <c r="C422" s="43" t="s">
        <v>734</v>
      </c>
      <c r="D422" s="44" t="s">
        <v>800</v>
      </c>
      <c r="E422" s="45">
        <v>1</v>
      </c>
      <c r="F422" s="46">
        <v>5.49</v>
      </c>
      <c r="G422" s="46">
        <f t="shared" si="6"/>
        <v>5.49</v>
      </c>
      <c r="H422" s="47" t="s">
        <v>24</v>
      </c>
      <c r="I422" s="47" t="s">
        <v>58</v>
      </c>
      <c r="J422" s="32"/>
    </row>
    <row r="423" spans="1:10" x14ac:dyDescent="0.2">
      <c r="A423" s="32"/>
      <c r="B423" s="36" t="s">
        <v>801</v>
      </c>
      <c r="C423" s="37" t="s">
        <v>734</v>
      </c>
      <c r="D423" s="38" t="s">
        <v>802</v>
      </c>
      <c r="E423" s="39">
        <v>1</v>
      </c>
      <c r="F423" s="40">
        <v>6.99</v>
      </c>
      <c r="G423" s="40">
        <f t="shared" si="6"/>
        <v>6.99</v>
      </c>
      <c r="H423" s="41" t="s">
        <v>24</v>
      </c>
      <c r="I423" s="41" t="s">
        <v>58</v>
      </c>
      <c r="J423" s="32"/>
    </row>
    <row r="424" spans="1:10" x14ac:dyDescent="0.2">
      <c r="A424" s="32"/>
      <c r="B424" s="42" t="s">
        <v>803</v>
      </c>
      <c r="C424" s="43" t="s">
        <v>734</v>
      </c>
      <c r="D424" s="44" t="s">
        <v>804</v>
      </c>
      <c r="E424" s="45">
        <v>1</v>
      </c>
      <c r="F424" s="46">
        <v>8.49</v>
      </c>
      <c r="G424" s="46">
        <f t="shared" si="6"/>
        <v>8.49</v>
      </c>
      <c r="H424" s="47" t="s">
        <v>24</v>
      </c>
      <c r="I424" s="47" t="s">
        <v>58</v>
      </c>
      <c r="J424" s="32"/>
    </row>
    <row r="425" spans="1:10" x14ac:dyDescent="0.2">
      <c r="A425" s="32"/>
      <c r="B425" s="36" t="s">
        <v>805</v>
      </c>
      <c r="C425" s="37" t="s">
        <v>734</v>
      </c>
      <c r="D425" s="38" t="s">
        <v>806</v>
      </c>
      <c r="E425" s="39">
        <v>1</v>
      </c>
      <c r="F425" s="40">
        <v>3.19</v>
      </c>
      <c r="G425" s="40">
        <f t="shared" si="6"/>
        <v>3.19</v>
      </c>
      <c r="H425" s="41" t="s">
        <v>24</v>
      </c>
      <c r="I425" s="41" t="s">
        <v>58</v>
      </c>
      <c r="J425" s="32"/>
    </row>
    <row r="426" spans="1:10" x14ac:dyDescent="0.2">
      <c r="A426" s="32"/>
      <c r="B426" s="42" t="s">
        <v>807</v>
      </c>
      <c r="C426" s="43" t="s">
        <v>734</v>
      </c>
      <c r="D426" s="44" t="s">
        <v>806</v>
      </c>
      <c r="E426" s="45">
        <v>1</v>
      </c>
      <c r="F426" s="46">
        <v>3.19</v>
      </c>
      <c r="G426" s="46">
        <f t="shared" si="6"/>
        <v>3.19</v>
      </c>
      <c r="H426" s="47" t="s">
        <v>24</v>
      </c>
      <c r="I426" s="47" t="s">
        <v>58</v>
      </c>
      <c r="J426" s="32"/>
    </row>
    <row r="427" spans="1:10" x14ac:dyDescent="0.2">
      <c r="A427" s="32"/>
      <c r="B427" s="36" t="s">
        <v>808</v>
      </c>
      <c r="C427" s="37" t="s">
        <v>734</v>
      </c>
      <c r="D427" s="38" t="s">
        <v>809</v>
      </c>
      <c r="E427" s="39">
        <v>1</v>
      </c>
      <c r="F427" s="40">
        <v>3.19</v>
      </c>
      <c r="G427" s="40">
        <f t="shared" si="6"/>
        <v>3.19</v>
      </c>
      <c r="H427" s="41" t="s">
        <v>24</v>
      </c>
      <c r="I427" s="41" t="s">
        <v>58</v>
      </c>
      <c r="J427" s="32"/>
    </row>
    <row r="428" spans="1:10" x14ac:dyDescent="0.2">
      <c r="A428" s="32"/>
      <c r="B428" s="42" t="s">
        <v>810</v>
      </c>
      <c r="C428" s="43" t="s">
        <v>734</v>
      </c>
      <c r="D428" s="44" t="s">
        <v>809</v>
      </c>
      <c r="E428" s="45">
        <v>1</v>
      </c>
      <c r="F428" s="46">
        <v>3.19</v>
      </c>
      <c r="G428" s="46">
        <f t="shared" si="6"/>
        <v>3.19</v>
      </c>
      <c r="H428" s="47" t="s">
        <v>24</v>
      </c>
      <c r="I428" s="47" t="s">
        <v>58</v>
      </c>
      <c r="J428" s="32"/>
    </row>
    <row r="429" spans="1:10" x14ac:dyDescent="0.2">
      <c r="A429" s="32"/>
      <c r="B429" s="36" t="s">
        <v>811</v>
      </c>
      <c r="C429" s="37" t="s">
        <v>734</v>
      </c>
      <c r="D429" s="38" t="s">
        <v>812</v>
      </c>
      <c r="E429" s="39">
        <v>1</v>
      </c>
      <c r="F429" s="40">
        <v>6.99</v>
      </c>
      <c r="G429" s="40">
        <f t="shared" si="6"/>
        <v>6.99</v>
      </c>
      <c r="H429" s="41" t="s">
        <v>24</v>
      </c>
      <c r="I429" s="41" t="s">
        <v>58</v>
      </c>
      <c r="J429" s="32"/>
    </row>
    <row r="430" spans="1:10" x14ac:dyDescent="0.2">
      <c r="A430" s="32"/>
      <c r="B430" s="42" t="s">
        <v>813</v>
      </c>
      <c r="C430" s="43" t="s">
        <v>734</v>
      </c>
      <c r="D430" s="44" t="s">
        <v>814</v>
      </c>
      <c r="E430" s="45">
        <v>1</v>
      </c>
      <c r="F430" s="46">
        <v>8.99</v>
      </c>
      <c r="G430" s="46">
        <f t="shared" si="6"/>
        <v>8.99</v>
      </c>
      <c r="H430" s="47" t="s">
        <v>24</v>
      </c>
      <c r="I430" s="47" t="s">
        <v>58</v>
      </c>
      <c r="J430" s="32"/>
    </row>
    <row r="431" spans="1:10" x14ac:dyDescent="0.2">
      <c r="A431" s="32"/>
      <c r="B431" s="36" t="s">
        <v>815</v>
      </c>
      <c r="C431" s="37" t="s">
        <v>734</v>
      </c>
      <c r="D431" s="38" t="s">
        <v>367</v>
      </c>
      <c r="E431" s="39">
        <v>1</v>
      </c>
      <c r="F431" s="40">
        <v>3.99</v>
      </c>
      <c r="G431" s="40">
        <f t="shared" si="6"/>
        <v>3.99</v>
      </c>
      <c r="H431" s="41" t="s">
        <v>24</v>
      </c>
      <c r="I431" s="41" t="s">
        <v>58</v>
      </c>
      <c r="J431" s="32"/>
    </row>
    <row r="432" spans="1:10" x14ac:dyDescent="0.2">
      <c r="A432" s="32"/>
      <c r="B432" s="42" t="s">
        <v>816</v>
      </c>
      <c r="C432" s="43" t="s">
        <v>734</v>
      </c>
      <c r="D432" s="44" t="s">
        <v>425</v>
      </c>
      <c r="E432" s="45">
        <v>1</v>
      </c>
      <c r="F432" s="46">
        <v>4.99</v>
      </c>
      <c r="G432" s="46">
        <f t="shared" si="6"/>
        <v>4.99</v>
      </c>
      <c r="H432" s="47" t="s">
        <v>24</v>
      </c>
      <c r="I432" s="47" t="s">
        <v>58</v>
      </c>
      <c r="J432" s="32"/>
    </row>
    <row r="433" spans="1:10" x14ac:dyDescent="0.2">
      <c r="A433" s="32"/>
      <c r="B433" s="36" t="s">
        <v>817</v>
      </c>
      <c r="C433" s="37" t="s">
        <v>734</v>
      </c>
      <c r="D433" s="38" t="s">
        <v>425</v>
      </c>
      <c r="E433" s="39">
        <v>1</v>
      </c>
      <c r="F433" s="40">
        <v>4.99</v>
      </c>
      <c r="G433" s="40">
        <f t="shared" si="6"/>
        <v>4.99</v>
      </c>
      <c r="H433" s="41" t="s">
        <v>24</v>
      </c>
      <c r="I433" s="41" t="s">
        <v>58</v>
      </c>
      <c r="J433" s="32"/>
    </row>
    <row r="434" spans="1:10" x14ac:dyDescent="0.2">
      <c r="A434" s="32"/>
      <c r="B434" s="42" t="s">
        <v>818</v>
      </c>
      <c r="C434" s="43" t="s">
        <v>734</v>
      </c>
      <c r="D434" s="44" t="s">
        <v>410</v>
      </c>
      <c r="E434" s="45">
        <v>1</v>
      </c>
      <c r="F434" s="46">
        <v>13.99</v>
      </c>
      <c r="G434" s="46">
        <f t="shared" si="6"/>
        <v>13.99</v>
      </c>
      <c r="H434" s="47" t="s">
        <v>24</v>
      </c>
      <c r="I434" s="47" t="s">
        <v>58</v>
      </c>
      <c r="J434" s="32"/>
    </row>
    <row r="435" spans="1:10" x14ac:dyDescent="0.2">
      <c r="A435" s="32"/>
      <c r="B435" s="36" t="s">
        <v>819</v>
      </c>
      <c r="C435" s="37" t="s">
        <v>734</v>
      </c>
      <c r="D435" s="38" t="s">
        <v>820</v>
      </c>
      <c r="E435" s="39">
        <v>1</v>
      </c>
      <c r="F435" s="40">
        <v>19.989999999999998</v>
      </c>
      <c r="G435" s="40">
        <f t="shared" si="6"/>
        <v>19.989999999999998</v>
      </c>
      <c r="H435" s="41" t="s">
        <v>24</v>
      </c>
      <c r="I435" s="41" t="s">
        <v>58</v>
      </c>
      <c r="J435" s="32"/>
    </row>
    <row r="436" spans="1:10" x14ac:dyDescent="0.2">
      <c r="A436" s="32"/>
      <c r="B436" s="42" t="s">
        <v>821</v>
      </c>
      <c r="C436" s="43" t="s">
        <v>734</v>
      </c>
      <c r="D436" s="44" t="s">
        <v>822</v>
      </c>
      <c r="E436" s="45">
        <v>1</v>
      </c>
      <c r="F436" s="46">
        <v>19.989999999999998</v>
      </c>
      <c r="G436" s="46">
        <f t="shared" si="6"/>
        <v>19.989999999999998</v>
      </c>
      <c r="H436" s="47" t="s">
        <v>24</v>
      </c>
      <c r="I436" s="47" t="s">
        <v>58</v>
      </c>
      <c r="J436" s="32"/>
    </row>
    <row r="437" spans="1:10" x14ac:dyDescent="0.2">
      <c r="A437" s="32"/>
      <c r="B437" s="36" t="s">
        <v>823</v>
      </c>
      <c r="C437" s="37" t="s">
        <v>734</v>
      </c>
      <c r="D437" s="38" t="s">
        <v>824</v>
      </c>
      <c r="E437" s="39">
        <v>1</v>
      </c>
      <c r="F437" s="40">
        <v>19.989999999999998</v>
      </c>
      <c r="G437" s="40">
        <f t="shared" si="6"/>
        <v>19.989999999999998</v>
      </c>
      <c r="H437" s="41" t="s">
        <v>24</v>
      </c>
      <c r="I437" s="41" t="s">
        <v>58</v>
      </c>
      <c r="J437" s="32"/>
    </row>
    <row r="438" spans="1:10" x14ac:dyDescent="0.2">
      <c r="A438" s="32"/>
      <c r="B438" s="42" t="s">
        <v>825</v>
      </c>
      <c r="C438" s="43" t="s">
        <v>734</v>
      </c>
      <c r="D438" s="44" t="s">
        <v>826</v>
      </c>
      <c r="E438" s="45">
        <v>1</v>
      </c>
      <c r="F438" s="46">
        <v>19.989999999999998</v>
      </c>
      <c r="G438" s="46">
        <f t="shared" si="6"/>
        <v>19.989999999999998</v>
      </c>
      <c r="H438" s="47" t="s">
        <v>24</v>
      </c>
      <c r="I438" s="47" t="s">
        <v>58</v>
      </c>
      <c r="J438" s="32"/>
    </row>
    <row r="439" spans="1:10" x14ac:dyDescent="0.2">
      <c r="A439" s="32"/>
      <c r="B439" s="36" t="s">
        <v>827</v>
      </c>
      <c r="C439" s="37" t="s">
        <v>734</v>
      </c>
      <c r="D439" s="38" t="s">
        <v>828</v>
      </c>
      <c r="E439" s="39">
        <v>1</v>
      </c>
      <c r="F439" s="40">
        <v>22.9</v>
      </c>
      <c r="G439" s="40">
        <f t="shared" si="6"/>
        <v>22.9</v>
      </c>
      <c r="H439" s="41" t="s">
        <v>24</v>
      </c>
      <c r="I439" s="41" t="s">
        <v>58</v>
      </c>
      <c r="J439" s="32"/>
    </row>
    <row r="440" spans="1:10" x14ac:dyDescent="0.2">
      <c r="A440" s="32"/>
      <c r="B440" s="42" t="s">
        <v>829</v>
      </c>
      <c r="C440" s="43" t="s">
        <v>734</v>
      </c>
      <c r="D440" s="44" t="s">
        <v>830</v>
      </c>
      <c r="E440" s="45">
        <v>1</v>
      </c>
      <c r="F440" s="46">
        <v>8.49</v>
      </c>
      <c r="G440" s="46">
        <f t="shared" si="6"/>
        <v>8.49</v>
      </c>
      <c r="H440" s="47" t="s">
        <v>24</v>
      </c>
      <c r="I440" s="47" t="s">
        <v>58</v>
      </c>
      <c r="J440" s="32"/>
    </row>
    <row r="441" spans="1:10" x14ac:dyDescent="0.2">
      <c r="A441" s="32"/>
      <c r="B441" s="36" t="s">
        <v>831</v>
      </c>
      <c r="C441" s="37" t="s">
        <v>734</v>
      </c>
      <c r="D441" s="38" t="s">
        <v>832</v>
      </c>
      <c r="E441" s="39">
        <v>1</v>
      </c>
      <c r="F441" s="40">
        <v>4.29</v>
      </c>
      <c r="G441" s="40">
        <f t="shared" si="6"/>
        <v>4.29</v>
      </c>
      <c r="H441" s="41" t="s">
        <v>25</v>
      </c>
      <c r="I441" s="41" t="s">
        <v>58</v>
      </c>
      <c r="J441" s="32"/>
    </row>
    <row r="442" spans="1:10" x14ac:dyDescent="0.2">
      <c r="A442" s="32"/>
      <c r="B442" s="42" t="s">
        <v>833</v>
      </c>
      <c r="C442" s="43" t="s">
        <v>734</v>
      </c>
      <c r="D442" s="44" t="s">
        <v>834</v>
      </c>
      <c r="E442" s="45">
        <v>1</v>
      </c>
      <c r="F442" s="46">
        <v>4.29</v>
      </c>
      <c r="G442" s="46">
        <f t="shared" si="6"/>
        <v>4.29</v>
      </c>
      <c r="H442" s="47" t="s">
        <v>25</v>
      </c>
      <c r="I442" s="47" t="s">
        <v>58</v>
      </c>
      <c r="J442" s="32"/>
    </row>
    <row r="443" spans="1:10" x14ac:dyDescent="0.2">
      <c r="A443" s="32"/>
      <c r="B443" s="36" t="s">
        <v>835</v>
      </c>
      <c r="C443" s="37" t="s">
        <v>734</v>
      </c>
      <c r="D443" s="38" t="s">
        <v>836</v>
      </c>
      <c r="E443" s="39">
        <v>1</v>
      </c>
      <c r="F443" s="40">
        <v>4.29</v>
      </c>
      <c r="G443" s="40">
        <f t="shared" si="6"/>
        <v>4.29</v>
      </c>
      <c r="H443" s="41" t="s">
        <v>25</v>
      </c>
      <c r="I443" s="41" t="s">
        <v>58</v>
      </c>
      <c r="J443" s="32"/>
    </row>
    <row r="444" spans="1:10" x14ac:dyDescent="0.2">
      <c r="A444" s="32"/>
      <c r="B444" s="42" t="s">
        <v>837</v>
      </c>
      <c r="C444" s="43" t="s">
        <v>734</v>
      </c>
      <c r="D444" s="44" t="s">
        <v>838</v>
      </c>
      <c r="E444" s="45">
        <v>1</v>
      </c>
      <c r="F444" s="46">
        <v>2.39</v>
      </c>
      <c r="G444" s="46">
        <f t="shared" si="6"/>
        <v>2.39</v>
      </c>
      <c r="H444" s="47" t="s">
        <v>24</v>
      </c>
      <c r="I444" s="47" t="s">
        <v>58</v>
      </c>
      <c r="J444" s="32"/>
    </row>
    <row r="445" spans="1:10" x14ac:dyDescent="0.2">
      <c r="A445" s="32"/>
      <c r="B445" s="36" t="s">
        <v>839</v>
      </c>
      <c r="C445" s="37" t="s">
        <v>734</v>
      </c>
      <c r="D445" s="38" t="s">
        <v>840</v>
      </c>
      <c r="E445" s="39">
        <v>1</v>
      </c>
      <c r="F445" s="40">
        <v>19.899999999999999</v>
      </c>
      <c r="G445" s="40">
        <f t="shared" si="6"/>
        <v>19.899999999999999</v>
      </c>
      <c r="H445" s="41" t="s">
        <v>24</v>
      </c>
      <c r="I445" s="41" t="s">
        <v>58</v>
      </c>
      <c r="J445" s="32"/>
    </row>
    <row r="446" spans="1:10" x14ac:dyDescent="0.2">
      <c r="A446" s="32"/>
      <c r="B446" s="42" t="s">
        <v>841</v>
      </c>
      <c r="C446" s="43" t="s">
        <v>734</v>
      </c>
      <c r="D446" s="44" t="s">
        <v>842</v>
      </c>
      <c r="E446" s="45">
        <v>1</v>
      </c>
      <c r="F446" s="46">
        <v>32.9</v>
      </c>
      <c r="G446" s="46">
        <f t="shared" si="6"/>
        <v>32.9</v>
      </c>
      <c r="H446" s="47" t="s">
        <v>24</v>
      </c>
      <c r="I446" s="47" t="s">
        <v>58</v>
      </c>
      <c r="J446" s="32"/>
    </row>
    <row r="447" spans="1:10" x14ac:dyDescent="0.2">
      <c r="A447" s="32"/>
      <c r="B447" s="36" t="s">
        <v>843</v>
      </c>
      <c r="C447" s="37" t="s">
        <v>734</v>
      </c>
      <c r="D447" s="38" t="s">
        <v>844</v>
      </c>
      <c r="E447" s="39">
        <v>1</v>
      </c>
      <c r="F447" s="40">
        <v>29.99</v>
      </c>
      <c r="G447" s="40">
        <f t="shared" si="6"/>
        <v>29.99</v>
      </c>
      <c r="H447" s="41" t="s">
        <v>24</v>
      </c>
      <c r="I447" s="41" t="s">
        <v>58</v>
      </c>
      <c r="J447" s="32"/>
    </row>
    <row r="448" spans="1:10" x14ac:dyDescent="0.2">
      <c r="A448" s="32"/>
      <c r="B448" s="42" t="s">
        <v>845</v>
      </c>
      <c r="C448" s="43" t="s">
        <v>846</v>
      </c>
      <c r="D448" s="44" t="s">
        <v>847</v>
      </c>
      <c r="E448" s="45">
        <v>1</v>
      </c>
      <c r="F448" s="46">
        <v>45</v>
      </c>
      <c r="G448" s="46">
        <f t="shared" si="6"/>
        <v>45</v>
      </c>
      <c r="H448" s="47" t="s">
        <v>24</v>
      </c>
      <c r="I448" s="47" t="s">
        <v>58</v>
      </c>
      <c r="J448" s="32"/>
    </row>
    <row r="449" spans="1:10" x14ac:dyDescent="0.2">
      <c r="A449" s="32"/>
      <c r="B449" s="36" t="s">
        <v>848</v>
      </c>
      <c r="C449" s="37" t="s">
        <v>846</v>
      </c>
      <c r="D449" s="38" t="s">
        <v>849</v>
      </c>
      <c r="E449" s="39">
        <v>1</v>
      </c>
      <c r="F449" s="40">
        <v>55</v>
      </c>
      <c r="G449" s="40">
        <f t="shared" si="6"/>
        <v>55</v>
      </c>
      <c r="H449" s="41" t="s">
        <v>24</v>
      </c>
      <c r="I449" s="41" t="s">
        <v>58</v>
      </c>
      <c r="J449" s="32"/>
    </row>
    <row r="450" spans="1:10" x14ac:dyDescent="0.2">
      <c r="A450" s="32"/>
      <c r="B450" s="42" t="s">
        <v>850</v>
      </c>
      <c r="C450" s="43" t="s">
        <v>846</v>
      </c>
      <c r="D450" s="44" t="s">
        <v>41</v>
      </c>
      <c r="E450" s="45">
        <v>1</v>
      </c>
      <c r="F450" s="46">
        <v>11</v>
      </c>
      <c r="G450" s="46">
        <f t="shared" si="6"/>
        <v>11</v>
      </c>
      <c r="H450" s="47" t="s">
        <v>26</v>
      </c>
      <c r="I450" s="47" t="s">
        <v>58</v>
      </c>
      <c r="J450" s="32"/>
    </row>
    <row r="451" spans="1:10" x14ac:dyDescent="0.2">
      <c r="A451" s="32"/>
      <c r="B451" s="36" t="s">
        <v>851</v>
      </c>
      <c r="C451" s="37" t="s">
        <v>852</v>
      </c>
      <c r="D451" s="38" t="s">
        <v>853</v>
      </c>
      <c r="E451" s="39">
        <v>1</v>
      </c>
      <c r="F451" s="40">
        <v>47.99</v>
      </c>
      <c r="G451" s="40">
        <f t="shared" si="6"/>
        <v>47.99</v>
      </c>
      <c r="H451" s="41" t="s">
        <v>24</v>
      </c>
      <c r="I451" s="41" t="s">
        <v>58</v>
      </c>
      <c r="J451" s="32"/>
    </row>
    <row r="452" spans="1:10" x14ac:dyDescent="0.2">
      <c r="A452" s="32"/>
      <c r="B452" s="42" t="s">
        <v>854</v>
      </c>
      <c r="C452" s="43" t="s">
        <v>852</v>
      </c>
      <c r="D452" s="44" t="s">
        <v>855</v>
      </c>
      <c r="E452" s="45">
        <v>1</v>
      </c>
      <c r="F452" s="46">
        <v>9</v>
      </c>
      <c r="G452" s="46">
        <f t="shared" si="6"/>
        <v>9</v>
      </c>
      <c r="H452" s="47" t="s">
        <v>24</v>
      </c>
      <c r="I452" s="47" t="s">
        <v>58</v>
      </c>
      <c r="J452" s="32"/>
    </row>
    <row r="453" spans="1:10" x14ac:dyDescent="0.2">
      <c r="A453" s="32"/>
      <c r="B453" s="36" t="s">
        <v>856</v>
      </c>
      <c r="C453" s="37" t="s">
        <v>852</v>
      </c>
      <c r="D453" s="38" t="s">
        <v>41</v>
      </c>
      <c r="E453" s="39">
        <v>1</v>
      </c>
      <c r="F453" s="40">
        <v>10</v>
      </c>
      <c r="G453" s="40">
        <f t="shared" ref="G453:G516" si="7">E453*F453</f>
        <v>10</v>
      </c>
      <c r="H453" s="41" t="s">
        <v>26</v>
      </c>
      <c r="I453" s="41" t="s">
        <v>58</v>
      </c>
      <c r="J453" s="32"/>
    </row>
    <row r="454" spans="1:10" x14ac:dyDescent="0.2">
      <c r="A454" s="32"/>
      <c r="B454" s="42" t="s">
        <v>857</v>
      </c>
      <c r="C454" s="43" t="s">
        <v>858</v>
      </c>
      <c r="D454" s="44" t="s">
        <v>859</v>
      </c>
      <c r="E454" s="45">
        <v>1</v>
      </c>
      <c r="F454" s="46">
        <v>87.9</v>
      </c>
      <c r="G454" s="46">
        <f t="shared" si="7"/>
        <v>87.9</v>
      </c>
      <c r="H454" s="47" t="s">
        <v>24</v>
      </c>
      <c r="I454" s="47" t="s">
        <v>58</v>
      </c>
      <c r="J454" s="32"/>
    </row>
    <row r="455" spans="1:10" x14ac:dyDescent="0.2">
      <c r="A455" s="32"/>
      <c r="B455" s="36" t="s">
        <v>860</v>
      </c>
      <c r="C455" s="37" t="s">
        <v>858</v>
      </c>
      <c r="D455" s="38" t="s">
        <v>41</v>
      </c>
      <c r="E455" s="39">
        <v>1</v>
      </c>
      <c r="F455" s="40">
        <v>10</v>
      </c>
      <c r="G455" s="40">
        <f t="shared" si="7"/>
        <v>10</v>
      </c>
      <c r="H455" s="41" t="s">
        <v>26</v>
      </c>
      <c r="I455" s="41" t="s">
        <v>58</v>
      </c>
      <c r="J455" s="32"/>
    </row>
    <row r="456" spans="1:10" x14ac:dyDescent="0.2">
      <c r="A456" s="32"/>
      <c r="B456" s="42" t="s">
        <v>861</v>
      </c>
      <c r="C456" s="43" t="s">
        <v>862</v>
      </c>
      <c r="D456" s="44" t="s">
        <v>686</v>
      </c>
      <c r="E456" s="45">
        <v>1</v>
      </c>
      <c r="F456" s="46">
        <v>4.1900000000000004</v>
      </c>
      <c r="G456" s="46">
        <f t="shared" si="7"/>
        <v>4.1900000000000004</v>
      </c>
      <c r="H456" s="47" t="s">
        <v>24</v>
      </c>
      <c r="I456" s="47" t="s">
        <v>58</v>
      </c>
      <c r="J456" s="32"/>
    </row>
    <row r="457" spans="1:10" x14ac:dyDescent="0.2">
      <c r="A457" s="32"/>
      <c r="B457" s="36" t="s">
        <v>863</v>
      </c>
      <c r="C457" s="37" t="s">
        <v>862</v>
      </c>
      <c r="D457" s="38" t="s">
        <v>864</v>
      </c>
      <c r="E457" s="39">
        <v>1</v>
      </c>
      <c r="F457" s="40">
        <v>3.39</v>
      </c>
      <c r="G457" s="40">
        <f t="shared" si="7"/>
        <v>3.39</v>
      </c>
      <c r="H457" s="41" t="s">
        <v>24</v>
      </c>
      <c r="I457" s="41" t="s">
        <v>58</v>
      </c>
      <c r="J457" s="32"/>
    </row>
    <row r="458" spans="1:10" x14ac:dyDescent="0.2">
      <c r="A458" s="32"/>
      <c r="B458" s="42" t="s">
        <v>865</v>
      </c>
      <c r="C458" s="43" t="s">
        <v>866</v>
      </c>
      <c r="D458" s="44" t="s">
        <v>54</v>
      </c>
      <c r="E458" s="45">
        <v>1</v>
      </c>
      <c r="F458" s="46">
        <v>4.99</v>
      </c>
      <c r="G458" s="46">
        <f t="shared" si="7"/>
        <v>4.99</v>
      </c>
      <c r="H458" s="47" t="s">
        <v>26</v>
      </c>
      <c r="I458" s="47" t="s">
        <v>55</v>
      </c>
      <c r="J458" s="32"/>
    </row>
    <row r="459" spans="1:10" x14ac:dyDescent="0.2">
      <c r="A459" s="32"/>
      <c r="B459" s="36" t="s">
        <v>867</v>
      </c>
      <c r="C459" s="37" t="s">
        <v>866</v>
      </c>
      <c r="D459" s="38" t="s">
        <v>686</v>
      </c>
      <c r="E459" s="39">
        <v>1</v>
      </c>
      <c r="F459" s="40">
        <v>4.1900000000000004</v>
      </c>
      <c r="G459" s="40">
        <f t="shared" si="7"/>
        <v>4.1900000000000004</v>
      </c>
      <c r="H459" s="41" t="s">
        <v>24</v>
      </c>
      <c r="I459" s="41" t="s">
        <v>58</v>
      </c>
      <c r="J459" s="32"/>
    </row>
    <row r="460" spans="1:10" x14ac:dyDescent="0.2">
      <c r="A460" s="32"/>
      <c r="B460" s="42" t="s">
        <v>868</v>
      </c>
      <c r="C460" s="43" t="s">
        <v>869</v>
      </c>
      <c r="D460" s="44" t="s">
        <v>686</v>
      </c>
      <c r="E460" s="45">
        <v>1</v>
      </c>
      <c r="F460" s="46">
        <v>4.1900000000000004</v>
      </c>
      <c r="G460" s="46">
        <f t="shared" si="7"/>
        <v>4.1900000000000004</v>
      </c>
      <c r="H460" s="47" t="s">
        <v>24</v>
      </c>
      <c r="I460" s="47" t="s">
        <v>58</v>
      </c>
      <c r="J460" s="32"/>
    </row>
    <row r="461" spans="1:10" x14ac:dyDescent="0.2">
      <c r="A461" s="32"/>
      <c r="B461" s="36" t="s">
        <v>870</v>
      </c>
      <c r="C461" s="37" t="s">
        <v>871</v>
      </c>
      <c r="D461" s="38" t="s">
        <v>872</v>
      </c>
      <c r="E461" s="39">
        <v>1</v>
      </c>
      <c r="F461" s="40">
        <v>66.900000000000006</v>
      </c>
      <c r="G461" s="40">
        <f t="shared" si="7"/>
        <v>66.900000000000006</v>
      </c>
      <c r="H461" s="41" t="s">
        <v>24</v>
      </c>
      <c r="I461" s="41" t="s">
        <v>58</v>
      </c>
      <c r="J461" s="32"/>
    </row>
    <row r="462" spans="1:10" x14ac:dyDescent="0.2">
      <c r="A462" s="32"/>
      <c r="B462" s="42" t="s">
        <v>873</v>
      </c>
      <c r="C462" s="43" t="s">
        <v>871</v>
      </c>
      <c r="D462" s="44" t="s">
        <v>874</v>
      </c>
      <c r="E462" s="45">
        <v>1</v>
      </c>
      <c r="F462" s="46">
        <v>39.799999999999997</v>
      </c>
      <c r="G462" s="46">
        <f t="shared" si="7"/>
        <v>39.799999999999997</v>
      </c>
      <c r="H462" s="47" t="s">
        <v>25</v>
      </c>
      <c r="I462" s="47" t="s">
        <v>58</v>
      </c>
      <c r="J462" s="32"/>
    </row>
    <row r="463" spans="1:10" x14ac:dyDescent="0.2">
      <c r="A463" s="32"/>
      <c r="B463" s="36" t="s">
        <v>875</v>
      </c>
      <c r="C463" s="37" t="s">
        <v>871</v>
      </c>
      <c r="D463" s="38" t="s">
        <v>876</v>
      </c>
      <c r="E463" s="39">
        <v>1</v>
      </c>
      <c r="F463" s="40">
        <v>38.9</v>
      </c>
      <c r="G463" s="40">
        <f t="shared" si="7"/>
        <v>38.9</v>
      </c>
      <c r="H463" s="41" t="s">
        <v>24</v>
      </c>
      <c r="I463" s="41" t="s">
        <v>58</v>
      </c>
      <c r="J463" s="32"/>
    </row>
    <row r="464" spans="1:10" x14ac:dyDescent="0.2">
      <c r="A464" s="32"/>
      <c r="B464" s="42" t="s">
        <v>877</v>
      </c>
      <c r="C464" s="43" t="s">
        <v>871</v>
      </c>
      <c r="D464" s="44" t="s">
        <v>878</v>
      </c>
      <c r="E464" s="45">
        <v>1</v>
      </c>
      <c r="F464" s="46">
        <v>25.57</v>
      </c>
      <c r="G464" s="46">
        <f t="shared" si="7"/>
        <v>25.57</v>
      </c>
      <c r="H464" s="47" t="s">
        <v>24</v>
      </c>
      <c r="I464" s="47" t="s">
        <v>58</v>
      </c>
      <c r="J464" s="32"/>
    </row>
    <row r="465" spans="1:10" x14ac:dyDescent="0.2">
      <c r="A465" s="32"/>
      <c r="B465" s="36" t="s">
        <v>879</v>
      </c>
      <c r="C465" s="37" t="s">
        <v>880</v>
      </c>
      <c r="D465" s="38" t="s">
        <v>337</v>
      </c>
      <c r="E465" s="39">
        <v>1</v>
      </c>
      <c r="F465" s="40">
        <v>38</v>
      </c>
      <c r="G465" s="40">
        <f t="shared" si="7"/>
        <v>38</v>
      </c>
      <c r="H465" s="41" t="s">
        <v>24</v>
      </c>
      <c r="I465" s="41" t="s">
        <v>338</v>
      </c>
      <c r="J465" s="32"/>
    </row>
    <row r="466" spans="1:10" x14ac:dyDescent="0.2">
      <c r="A466" s="32"/>
      <c r="B466" s="42" t="s">
        <v>881</v>
      </c>
      <c r="C466" s="43" t="s">
        <v>880</v>
      </c>
      <c r="D466" s="44" t="s">
        <v>41</v>
      </c>
      <c r="E466" s="45">
        <v>1</v>
      </c>
      <c r="F466" s="46">
        <v>14</v>
      </c>
      <c r="G466" s="46">
        <f t="shared" si="7"/>
        <v>14</v>
      </c>
      <c r="H466" s="47" t="s">
        <v>26</v>
      </c>
      <c r="I466" s="47" t="s">
        <v>58</v>
      </c>
      <c r="J466" s="32"/>
    </row>
    <row r="467" spans="1:10" x14ac:dyDescent="0.2">
      <c r="A467" s="32"/>
      <c r="B467" s="36" t="s">
        <v>882</v>
      </c>
      <c r="C467" s="37" t="s">
        <v>883</v>
      </c>
      <c r="D467" s="38" t="s">
        <v>238</v>
      </c>
      <c r="E467" s="39">
        <v>1</v>
      </c>
      <c r="F467" s="40">
        <v>9</v>
      </c>
      <c r="G467" s="40">
        <f t="shared" si="7"/>
        <v>9</v>
      </c>
      <c r="H467" s="41" t="s">
        <v>24</v>
      </c>
      <c r="I467" s="41" t="s">
        <v>58</v>
      </c>
      <c r="J467" s="32"/>
    </row>
    <row r="468" spans="1:10" x14ac:dyDescent="0.2">
      <c r="A468" s="32"/>
      <c r="B468" s="42" t="s">
        <v>884</v>
      </c>
      <c r="C468" s="43" t="s">
        <v>883</v>
      </c>
      <c r="D468" s="44" t="s">
        <v>466</v>
      </c>
      <c r="E468" s="45">
        <v>1</v>
      </c>
      <c r="F468" s="46">
        <v>84</v>
      </c>
      <c r="G468" s="46">
        <f t="shared" si="7"/>
        <v>84</v>
      </c>
      <c r="H468" s="47" t="s">
        <v>24</v>
      </c>
      <c r="I468" s="47" t="s">
        <v>58</v>
      </c>
      <c r="J468" s="32"/>
    </row>
    <row r="469" spans="1:10" x14ac:dyDescent="0.2">
      <c r="A469" s="32"/>
      <c r="B469" s="36" t="s">
        <v>885</v>
      </c>
      <c r="C469" s="37" t="s">
        <v>883</v>
      </c>
      <c r="D469" s="38" t="s">
        <v>41</v>
      </c>
      <c r="E469" s="39">
        <v>1</v>
      </c>
      <c r="F469" s="40">
        <v>11</v>
      </c>
      <c r="G469" s="40">
        <f t="shared" si="7"/>
        <v>11</v>
      </c>
      <c r="H469" s="41" t="s">
        <v>26</v>
      </c>
      <c r="I469" s="41" t="s">
        <v>58</v>
      </c>
      <c r="J469" s="32"/>
    </row>
    <row r="470" spans="1:10" x14ac:dyDescent="0.2">
      <c r="A470" s="32"/>
      <c r="B470" s="42" t="s">
        <v>886</v>
      </c>
      <c r="C470" s="43" t="s">
        <v>887</v>
      </c>
      <c r="D470" s="44" t="s">
        <v>888</v>
      </c>
      <c r="E470" s="45">
        <v>1</v>
      </c>
      <c r="F470" s="46">
        <v>44.18</v>
      </c>
      <c r="G470" s="46">
        <f t="shared" si="7"/>
        <v>44.18</v>
      </c>
      <c r="H470" s="47" t="s">
        <v>24</v>
      </c>
      <c r="I470" s="47" t="s">
        <v>245</v>
      </c>
      <c r="J470" s="32"/>
    </row>
    <row r="471" spans="1:10" x14ac:dyDescent="0.2">
      <c r="A471" s="32"/>
      <c r="B471" s="36" t="s">
        <v>889</v>
      </c>
      <c r="C471" s="37" t="s">
        <v>887</v>
      </c>
      <c r="D471" s="38" t="s">
        <v>890</v>
      </c>
      <c r="E471" s="39">
        <v>1</v>
      </c>
      <c r="F471" s="40">
        <v>9</v>
      </c>
      <c r="G471" s="40">
        <f t="shared" si="7"/>
        <v>9</v>
      </c>
      <c r="H471" s="41" t="s">
        <v>24</v>
      </c>
      <c r="I471" s="41" t="s">
        <v>58</v>
      </c>
      <c r="J471" s="32"/>
    </row>
    <row r="472" spans="1:10" x14ac:dyDescent="0.2">
      <c r="A472" s="32"/>
      <c r="B472" s="42" t="s">
        <v>891</v>
      </c>
      <c r="C472" s="43" t="s">
        <v>892</v>
      </c>
      <c r="D472" s="44" t="s">
        <v>54</v>
      </c>
      <c r="E472" s="45">
        <v>1</v>
      </c>
      <c r="F472" s="46">
        <v>4.99</v>
      </c>
      <c r="G472" s="46">
        <f t="shared" si="7"/>
        <v>4.99</v>
      </c>
      <c r="H472" s="47" t="s">
        <v>26</v>
      </c>
      <c r="I472" s="47" t="s">
        <v>55</v>
      </c>
      <c r="J472" s="32"/>
    </row>
    <row r="473" spans="1:10" x14ac:dyDescent="0.2">
      <c r="A473" s="32"/>
      <c r="B473" s="36" t="s">
        <v>893</v>
      </c>
      <c r="C473" s="37" t="s">
        <v>892</v>
      </c>
      <c r="D473" s="38" t="s">
        <v>686</v>
      </c>
      <c r="E473" s="39">
        <v>1</v>
      </c>
      <c r="F473" s="40">
        <v>4.29</v>
      </c>
      <c r="G473" s="40">
        <f t="shared" si="7"/>
        <v>4.29</v>
      </c>
      <c r="H473" s="41" t="s">
        <v>24</v>
      </c>
      <c r="I473" s="41" t="s">
        <v>58</v>
      </c>
      <c r="J473" s="32"/>
    </row>
    <row r="474" spans="1:10" x14ac:dyDescent="0.2">
      <c r="A474" s="32"/>
      <c r="B474" s="42" t="s">
        <v>894</v>
      </c>
      <c r="C474" s="43" t="s">
        <v>895</v>
      </c>
      <c r="D474" s="44" t="s">
        <v>896</v>
      </c>
      <c r="E474" s="45">
        <v>1</v>
      </c>
      <c r="F474" s="46">
        <v>4.29</v>
      </c>
      <c r="G474" s="46">
        <f t="shared" si="7"/>
        <v>4.29</v>
      </c>
      <c r="H474" s="47" t="s">
        <v>24</v>
      </c>
      <c r="I474" s="47" t="s">
        <v>58</v>
      </c>
      <c r="J474" s="32"/>
    </row>
    <row r="475" spans="1:10" x14ac:dyDescent="0.2">
      <c r="A475" s="32"/>
      <c r="B475" s="36" t="s">
        <v>897</v>
      </c>
      <c r="C475" s="37" t="s">
        <v>895</v>
      </c>
      <c r="D475" s="38" t="s">
        <v>898</v>
      </c>
      <c r="E475" s="39">
        <v>1</v>
      </c>
      <c r="F475" s="40">
        <v>7.99</v>
      </c>
      <c r="G475" s="40">
        <f t="shared" si="7"/>
        <v>7.99</v>
      </c>
      <c r="H475" s="41" t="s">
        <v>24</v>
      </c>
      <c r="I475" s="41" t="s">
        <v>58</v>
      </c>
      <c r="J475" s="32"/>
    </row>
    <row r="476" spans="1:10" x14ac:dyDescent="0.2">
      <c r="A476" s="32"/>
      <c r="B476" s="42" t="s">
        <v>899</v>
      </c>
      <c r="C476" s="43" t="s">
        <v>900</v>
      </c>
      <c r="D476" s="44" t="s">
        <v>901</v>
      </c>
      <c r="E476" s="45">
        <v>1</v>
      </c>
      <c r="F476" s="46">
        <v>36</v>
      </c>
      <c r="G476" s="46">
        <f t="shared" si="7"/>
        <v>36</v>
      </c>
      <c r="H476" s="47" t="s">
        <v>26</v>
      </c>
      <c r="I476" s="47" t="s">
        <v>58</v>
      </c>
      <c r="J476" s="32"/>
    </row>
    <row r="477" spans="1:10" x14ac:dyDescent="0.2">
      <c r="A477" s="32"/>
      <c r="B477" s="36" t="s">
        <v>902</v>
      </c>
      <c r="C477" s="37" t="s">
        <v>900</v>
      </c>
      <c r="D477" s="38" t="s">
        <v>41</v>
      </c>
      <c r="E477" s="39">
        <v>1</v>
      </c>
      <c r="F477" s="40">
        <v>9</v>
      </c>
      <c r="G477" s="40">
        <f t="shared" si="7"/>
        <v>9</v>
      </c>
      <c r="H477" s="41" t="s">
        <v>26</v>
      </c>
      <c r="I477" s="41" t="s">
        <v>58</v>
      </c>
      <c r="J477" s="32"/>
    </row>
    <row r="478" spans="1:10" x14ac:dyDescent="0.2">
      <c r="A478" s="32"/>
      <c r="B478" s="42" t="s">
        <v>903</v>
      </c>
      <c r="C478" s="43" t="s">
        <v>904</v>
      </c>
      <c r="D478" s="44" t="s">
        <v>337</v>
      </c>
      <c r="E478" s="45">
        <v>1</v>
      </c>
      <c r="F478" s="46">
        <v>38</v>
      </c>
      <c r="G478" s="46">
        <f t="shared" si="7"/>
        <v>38</v>
      </c>
      <c r="H478" s="47" t="s">
        <v>24</v>
      </c>
      <c r="I478" s="47" t="s">
        <v>338</v>
      </c>
      <c r="J478" s="32"/>
    </row>
    <row r="479" spans="1:10" x14ac:dyDescent="0.2">
      <c r="A479" s="32"/>
      <c r="B479" s="36" t="s">
        <v>905</v>
      </c>
      <c r="C479" s="37" t="s">
        <v>904</v>
      </c>
      <c r="D479" s="38" t="s">
        <v>906</v>
      </c>
      <c r="E479" s="39">
        <v>1</v>
      </c>
      <c r="F479" s="40">
        <v>6</v>
      </c>
      <c r="G479" s="40">
        <f t="shared" si="7"/>
        <v>6</v>
      </c>
      <c r="H479" s="41" t="s">
        <v>24</v>
      </c>
      <c r="I479" s="41" t="s">
        <v>58</v>
      </c>
      <c r="J479" s="32"/>
    </row>
    <row r="480" spans="1:10" x14ac:dyDescent="0.2">
      <c r="A480" s="32"/>
      <c r="B480" s="42" t="s">
        <v>907</v>
      </c>
      <c r="C480" s="43" t="s">
        <v>904</v>
      </c>
      <c r="D480" s="44" t="s">
        <v>41</v>
      </c>
      <c r="E480" s="45">
        <v>1</v>
      </c>
      <c r="F480" s="46">
        <v>14</v>
      </c>
      <c r="G480" s="46">
        <f t="shared" si="7"/>
        <v>14</v>
      </c>
      <c r="H480" s="47" t="s">
        <v>26</v>
      </c>
      <c r="I480" s="47" t="s">
        <v>58</v>
      </c>
      <c r="J480" s="32"/>
    </row>
    <row r="481" spans="1:10" x14ac:dyDescent="0.2">
      <c r="A481" s="32"/>
      <c r="B481" s="36" t="s">
        <v>908</v>
      </c>
      <c r="C481" s="37" t="s">
        <v>909</v>
      </c>
      <c r="D481" s="38" t="s">
        <v>910</v>
      </c>
      <c r="E481" s="39">
        <v>1</v>
      </c>
      <c r="F481" s="40">
        <v>51</v>
      </c>
      <c r="G481" s="40">
        <f t="shared" si="7"/>
        <v>51</v>
      </c>
      <c r="H481" s="41" t="s">
        <v>24</v>
      </c>
      <c r="I481" s="41" t="s">
        <v>338</v>
      </c>
      <c r="J481" s="32"/>
    </row>
    <row r="482" spans="1:10" x14ac:dyDescent="0.2">
      <c r="A482" s="32"/>
      <c r="B482" s="42" t="s">
        <v>911</v>
      </c>
      <c r="C482" s="43" t="s">
        <v>909</v>
      </c>
      <c r="D482" s="44" t="s">
        <v>906</v>
      </c>
      <c r="E482" s="45">
        <v>1</v>
      </c>
      <c r="F482" s="46">
        <v>6</v>
      </c>
      <c r="G482" s="46">
        <f t="shared" si="7"/>
        <v>6</v>
      </c>
      <c r="H482" s="47" t="s">
        <v>24</v>
      </c>
      <c r="I482" s="47" t="s">
        <v>58</v>
      </c>
      <c r="J482" s="32"/>
    </row>
    <row r="483" spans="1:10" x14ac:dyDescent="0.2">
      <c r="A483" s="32"/>
      <c r="B483" s="36" t="s">
        <v>912</v>
      </c>
      <c r="C483" s="37" t="s">
        <v>909</v>
      </c>
      <c r="D483" s="38" t="s">
        <v>41</v>
      </c>
      <c r="E483" s="39">
        <v>1</v>
      </c>
      <c r="F483" s="40">
        <v>14</v>
      </c>
      <c r="G483" s="40">
        <f t="shared" si="7"/>
        <v>14</v>
      </c>
      <c r="H483" s="41" t="s">
        <v>26</v>
      </c>
      <c r="I483" s="41" t="s">
        <v>58</v>
      </c>
      <c r="J483" s="32"/>
    </row>
    <row r="484" spans="1:10" x14ac:dyDescent="0.2">
      <c r="A484" s="32"/>
      <c r="B484" s="42" t="s">
        <v>913</v>
      </c>
      <c r="C484" s="43" t="s">
        <v>909</v>
      </c>
      <c r="D484" s="44" t="s">
        <v>914</v>
      </c>
      <c r="E484" s="45">
        <v>1</v>
      </c>
      <c r="F484" s="46">
        <v>86</v>
      </c>
      <c r="G484" s="46">
        <f t="shared" si="7"/>
        <v>86</v>
      </c>
      <c r="H484" s="47" t="s">
        <v>24</v>
      </c>
      <c r="I484" s="47" t="s">
        <v>338</v>
      </c>
      <c r="J484" s="32"/>
    </row>
    <row r="485" spans="1:10" x14ac:dyDescent="0.2">
      <c r="A485" s="32"/>
      <c r="B485" s="36" t="s">
        <v>915</v>
      </c>
      <c r="C485" s="37" t="s">
        <v>909</v>
      </c>
      <c r="D485" s="38" t="s">
        <v>41</v>
      </c>
      <c r="E485" s="39">
        <v>1</v>
      </c>
      <c r="F485" s="40">
        <v>4.9000000000000004</v>
      </c>
      <c r="G485" s="40">
        <f t="shared" si="7"/>
        <v>4.9000000000000004</v>
      </c>
      <c r="H485" s="41" t="s">
        <v>26</v>
      </c>
      <c r="I485" s="41" t="s">
        <v>58</v>
      </c>
      <c r="J485" s="32"/>
    </row>
    <row r="486" spans="1:10" x14ac:dyDescent="0.2">
      <c r="A486" s="32"/>
      <c r="B486" s="42" t="s">
        <v>916</v>
      </c>
      <c r="C486" s="43" t="s">
        <v>917</v>
      </c>
      <c r="D486" s="44" t="s">
        <v>337</v>
      </c>
      <c r="E486" s="45">
        <v>1</v>
      </c>
      <c r="F486" s="46">
        <v>38</v>
      </c>
      <c r="G486" s="46">
        <f t="shared" si="7"/>
        <v>38</v>
      </c>
      <c r="H486" s="47" t="s">
        <v>24</v>
      </c>
      <c r="I486" s="47" t="s">
        <v>338</v>
      </c>
      <c r="J486" s="32"/>
    </row>
    <row r="487" spans="1:10" x14ac:dyDescent="0.2">
      <c r="A487" s="32"/>
      <c r="B487" s="36" t="s">
        <v>918</v>
      </c>
      <c r="C487" s="37" t="s">
        <v>917</v>
      </c>
      <c r="D487" s="38" t="s">
        <v>41</v>
      </c>
      <c r="E487" s="39">
        <v>1</v>
      </c>
      <c r="F487" s="40">
        <v>14</v>
      </c>
      <c r="G487" s="40">
        <f t="shared" si="7"/>
        <v>14</v>
      </c>
      <c r="H487" s="41" t="s">
        <v>26</v>
      </c>
      <c r="I487" s="41" t="s">
        <v>58</v>
      </c>
      <c r="J487" s="32"/>
    </row>
    <row r="488" spans="1:10" x14ac:dyDescent="0.2">
      <c r="A488" s="32"/>
      <c r="B488" s="42" t="s">
        <v>919</v>
      </c>
      <c r="C488" s="43" t="s">
        <v>917</v>
      </c>
      <c r="D488" s="44" t="s">
        <v>337</v>
      </c>
      <c r="E488" s="45">
        <v>1</v>
      </c>
      <c r="F488" s="46">
        <v>38</v>
      </c>
      <c r="G488" s="46">
        <f t="shared" si="7"/>
        <v>38</v>
      </c>
      <c r="H488" s="47" t="s">
        <v>24</v>
      </c>
      <c r="I488" s="47" t="s">
        <v>338</v>
      </c>
      <c r="J488" s="32"/>
    </row>
    <row r="489" spans="1:10" x14ac:dyDescent="0.2">
      <c r="A489" s="32"/>
      <c r="B489" s="36" t="s">
        <v>920</v>
      </c>
      <c r="C489" s="37" t="s">
        <v>917</v>
      </c>
      <c r="D489" s="38" t="s">
        <v>41</v>
      </c>
      <c r="E489" s="39">
        <v>1</v>
      </c>
      <c r="F489" s="40">
        <v>14</v>
      </c>
      <c r="G489" s="40">
        <f t="shared" si="7"/>
        <v>14</v>
      </c>
      <c r="H489" s="41" t="s">
        <v>26</v>
      </c>
      <c r="I489" s="41" t="s">
        <v>58</v>
      </c>
      <c r="J489" s="32"/>
    </row>
    <row r="490" spans="1:10" x14ac:dyDescent="0.2">
      <c r="A490" s="32"/>
      <c r="B490" s="42" t="s">
        <v>921</v>
      </c>
      <c r="C490" s="43" t="s">
        <v>917</v>
      </c>
      <c r="D490" s="44" t="s">
        <v>337</v>
      </c>
      <c r="E490" s="45">
        <v>1</v>
      </c>
      <c r="F490" s="46">
        <v>38</v>
      </c>
      <c r="G490" s="46">
        <f t="shared" si="7"/>
        <v>38</v>
      </c>
      <c r="H490" s="47" t="s">
        <v>24</v>
      </c>
      <c r="I490" s="47" t="s">
        <v>338</v>
      </c>
      <c r="J490" s="32"/>
    </row>
    <row r="491" spans="1:10" x14ac:dyDescent="0.2">
      <c r="A491" s="32"/>
      <c r="B491" s="36" t="s">
        <v>922</v>
      </c>
      <c r="C491" s="37" t="s">
        <v>917</v>
      </c>
      <c r="D491" s="38" t="s">
        <v>41</v>
      </c>
      <c r="E491" s="39">
        <v>1</v>
      </c>
      <c r="F491" s="40">
        <v>14</v>
      </c>
      <c r="G491" s="40">
        <f t="shared" si="7"/>
        <v>14</v>
      </c>
      <c r="H491" s="41" t="s">
        <v>26</v>
      </c>
      <c r="I491" s="41" t="s">
        <v>58</v>
      </c>
      <c r="J491" s="32"/>
    </row>
    <row r="492" spans="1:10" x14ac:dyDescent="0.2">
      <c r="A492" s="32"/>
      <c r="B492" s="42" t="s">
        <v>923</v>
      </c>
      <c r="C492" s="43" t="s">
        <v>924</v>
      </c>
      <c r="D492" s="44" t="s">
        <v>337</v>
      </c>
      <c r="E492" s="45">
        <v>1</v>
      </c>
      <c r="F492" s="46">
        <v>42</v>
      </c>
      <c r="G492" s="46">
        <f t="shared" si="7"/>
        <v>42</v>
      </c>
      <c r="H492" s="47" t="s">
        <v>24</v>
      </c>
      <c r="I492" s="47" t="s">
        <v>338</v>
      </c>
      <c r="J492" s="32"/>
    </row>
    <row r="493" spans="1:10" x14ac:dyDescent="0.2">
      <c r="A493" s="32"/>
      <c r="B493" s="36" t="s">
        <v>925</v>
      </c>
      <c r="C493" s="37" t="s">
        <v>924</v>
      </c>
      <c r="D493" s="38" t="s">
        <v>41</v>
      </c>
      <c r="E493" s="39">
        <v>1</v>
      </c>
      <c r="F493" s="40">
        <v>14</v>
      </c>
      <c r="G493" s="40">
        <f t="shared" si="7"/>
        <v>14</v>
      </c>
      <c r="H493" s="41" t="s">
        <v>26</v>
      </c>
      <c r="I493" s="41" t="s">
        <v>58</v>
      </c>
      <c r="J493" s="32"/>
    </row>
    <row r="494" spans="1:10" x14ac:dyDescent="0.2">
      <c r="A494" s="32"/>
      <c r="B494" s="42" t="s">
        <v>926</v>
      </c>
      <c r="C494" s="43" t="s">
        <v>927</v>
      </c>
      <c r="D494" s="44" t="s">
        <v>236</v>
      </c>
      <c r="E494" s="45">
        <v>1</v>
      </c>
      <c r="F494" s="46">
        <v>9</v>
      </c>
      <c r="G494" s="46">
        <f t="shared" si="7"/>
        <v>9</v>
      </c>
      <c r="H494" s="47" t="s">
        <v>24</v>
      </c>
      <c r="I494" s="47" t="s">
        <v>58</v>
      </c>
      <c r="J494" s="32"/>
    </row>
    <row r="495" spans="1:10" x14ac:dyDescent="0.2">
      <c r="A495" s="32"/>
      <c r="B495" s="36" t="s">
        <v>928</v>
      </c>
      <c r="C495" s="37" t="s">
        <v>927</v>
      </c>
      <c r="D495" s="38" t="s">
        <v>318</v>
      </c>
      <c r="E495" s="39">
        <v>1</v>
      </c>
      <c r="F495" s="40">
        <v>6</v>
      </c>
      <c r="G495" s="40">
        <f t="shared" si="7"/>
        <v>6</v>
      </c>
      <c r="H495" s="41" t="s">
        <v>24</v>
      </c>
      <c r="I495" s="41" t="s">
        <v>58</v>
      </c>
      <c r="J495" s="32"/>
    </row>
    <row r="496" spans="1:10" x14ac:dyDescent="0.2">
      <c r="A496" s="32"/>
      <c r="B496" s="42" t="s">
        <v>929</v>
      </c>
      <c r="C496" s="43" t="s">
        <v>927</v>
      </c>
      <c r="D496" s="44" t="s">
        <v>930</v>
      </c>
      <c r="E496" s="45">
        <v>1</v>
      </c>
      <c r="F496" s="46">
        <v>29.99</v>
      </c>
      <c r="G496" s="46">
        <f t="shared" si="7"/>
        <v>29.99</v>
      </c>
      <c r="H496" s="47" t="s">
        <v>24</v>
      </c>
      <c r="I496" s="47" t="s">
        <v>58</v>
      </c>
      <c r="J496" s="32"/>
    </row>
    <row r="497" spans="1:10" x14ac:dyDescent="0.2">
      <c r="A497" s="32"/>
      <c r="B497" s="36" t="s">
        <v>931</v>
      </c>
      <c r="C497" s="37" t="s">
        <v>927</v>
      </c>
      <c r="D497" s="38" t="s">
        <v>41</v>
      </c>
      <c r="E497" s="39">
        <v>1</v>
      </c>
      <c r="F497" s="40">
        <v>11</v>
      </c>
      <c r="G497" s="40">
        <f t="shared" si="7"/>
        <v>11</v>
      </c>
      <c r="H497" s="41" t="s">
        <v>26</v>
      </c>
      <c r="I497" s="41" t="s">
        <v>58</v>
      </c>
      <c r="J497" s="32"/>
    </row>
    <row r="498" spans="1:10" x14ac:dyDescent="0.2">
      <c r="A498" s="32"/>
      <c r="B498" s="42" t="s">
        <v>932</v>
      </c>
      <c r="C498" s="43" t="s">
        <v>927</v>
      </c>
      <c r="D498" s="44" t="s">
        <v>933</v>
      </c>
      <c r="E498" s="45">
        <v>1</v>
      </c>
      <c r="F498" s="46">
        <v>41.18</v>
      </c>
      <c r="G498" s="46">
        <f t="shared" si="7"/>
        <v>41.18</v>
      </c>
      <c r="H498" s="47" t="s">
        <v>24</v>
      </c>
      <c r="I498" s="47" t="s">
        <v>245</v>
      </c>
      <c r="J498" s="32"/>
    </row>
    <row r="499" spans="1:10" x14ac:dyDescent="0.2">
      <c r="A499" s="32"/>
      <c r="B499" s="36" t="s">
        <v>934</v>
      </c>
      <c r="C499" s="37" t="s">
        <v>927</v>
      </c>
      <c r="D499" s="38" t="s">
        <v>890</v>
      </c>
      <c r="E499" s="39">
        <v>1</v>
      </c>
      <c r="F499" s="40">
        <v>9</v>
      </c>
      <c r="G499" s="40">
        <f t="shared" si="7"/>
        <v>9</v>
      </c>
      <c r="H499" s="41" t="s">
        <v>24</v>
      </c>
      <c r="I499" s="41" t="s">
        <v>58</v>
      </c>
      <c r="J499" s="32"/>
    </row>
    <row r="500" spans="1:10" x14ac:dyDescent="0.2">
      <c r="A500" s="32"/>
      <c r="B500" s="42" t="s">
        <v>935</v>
      </c>
      <c r="C500" s="43" t="s">
        <v>936</v>
      </c>
      <c r="D500" s="44" t="s">
        <v>937</v>
      </c>
      <c r="E500" s="45">
        <v>1</v>
      </c>
      <c r="F500" s="46">
        <v>70</v>
      </c>
      <c r="G500" s="46">
        <f t="shared" si="7"/>
        <v>70</v>
      </c>
      <c r="H500" s="47" t="s">
        <v>24</v>
      </c>
      <c r="I500" s="47" t="s">
        <v>58</v>
      </c>
      <c r="J500" s="32"/>
    </row>
    <row r="501" spans="1:10" x14ac:dyDescent="0.2">
      <c r="A501" s="32"/>
      <c r="B501" s="36" t="s">
        <v>938</v>
      </c>
      <c r="C501" s="37" t="s">
        <v>939</v>
      </c>
      <c r="D501" s="38" t="s">
        <v>54</v>
      </c>
      <c r="E501" s="39">
        <v>1</v>
      </c>
      <c r="F501" s="40">
        <v>5.49</v>
      </c>
      <c r="G501" s="40">
        <f t="shared" si="7"/>
        <v>5.49</v>
      </c>
      <c r="H501" s="41" t="s">
        <v>26</v>
      </c>
      <c r="I501" s="41" t="s">
        <v>55</v>
      </c>
      <c r="J501" s="32"/>
    </row>
    <row r="502" spans="1:10" x14ac:dyDescent="0.2">
      <c r="A502" s="32"/>
      <c r="B502" s="42" t="s">
        <v>940</v>
      </c>
      <c r="C502" s="43" t="s">
        <v>939</v>
      </c>
      <c r="D502" s="44" t="s">
        <v>896</v>
      </c>
      <c r="E502" s="45">
        <v>1</v>
      </c>
      <c r="F502" s="46">
        <v>4.29</v>
      </c>
      <c r="G502" s="46">
        <f t="shared" si="7"/>
        <v>4.29</v>
      </c>
      <c r="H502" s="47" t="s">
        <v>24</v>
      </c>
      <c r="I502" s="47" t="s">
        <v>58</v>
      </c>
      <c r="J502" s="32"/>
    </row>
    <row r="503" spans="1:10" x14ac:dyDescent="0.2">
      <c r="A503" s="32"/>
      <c r="B503" s="36" t="s">
        <v>941</v>
      </c>
      <c r="C503" s="37" t="s">
        <v>942</v>
      </c>
      <c r="D503" s="38" t="s">
        <v>337</v>
      </c>
      <c r="E503" s="39">
        <v>1</v>
      </c>
      <c r="F503" s="40">
        <v>42</v>
      </c>
      <c r="G503" s="40">
        <f t="shared" si="7"/>
        <v>42</v>
      </c>
      <c r="H503" s="41" t="s">
        <v>24</v>
      </c>
      <c r="I503" s="41" t="s">
        <v>338</v>
      </c>
      <c r="J503" s="32"/>
    </row>
    <row r="504" spans="1:10" x14ac:dyDescent="0.2">
      <c r="A504" s="32"/>
      <c r="B504" s="42" t="s">
        <v>943</v>
      </c>
      <c r="C504" s="43" t="s">
        <v>942</v>
      </c>
      <c r="D504" s="44" t="s">
        <v>906</v>
      </c>
      <c r="E504" s="45">
        <v>1</v>
      </c>
      <c r="F504" s="46">
        <v>6</v>
      </c>
      <c r="G504" s="46">
        <f t="shared" si="7"/>
        <v>6</v>
      </c>
      <c r="H504" s="47" t="s">
        <v>24</v>
      </c>
      <c r="I504" s="47" t="s">
        <v>58</v>
      </c>
      <c r="J504" s="32"/>
    </row>
    <row r="505" spans="1:10" x14ac:dyDescent="0.2">
      <c r="A505" s="32"/>
      <c r="B505" s="36" t="s">
        <v>944</v>
      </c>
      <c r="C505" s="37" t="s">
        <v>942</v>
      </c>
      <c r="D505" s="38" t="s">
        <v>41</v>
      </c>
      <c r="E505" s="39">
        <v>1</v>
      </c>
      <c r="F505" s="40">
        <v>14</v>
      </c>
      <c r="G505" s="40">
        <f t="shared" si="7"/>
        <v>14</v>
      </c>
      <c r="H505" s="41" t="s">
        <v>26</v>
      </c>
      <c r="I505" s="41" t="s">
        <v>58</v>
      </c>
      <c r="J505" s="32"/>
    </row>
    <row r="506" spans="1:10" x14ac:dyDescent="0.2">
      <c r="A506" s="32"/>
      <c r="B506" s="42" t="s">
        <v>945</v>
      </c>
      <c r="C506" s="43" t="s">
        <v>946</v>
      </c>
      <c r="D506" s="44" t="s">
        <v>337</v>
      </c>
      <c r="E506" s="45">
        <v>1</v>
      </c>
      <c r="F506" s="46">
        <v>42</v>
      </c>
      <c r="G506" s="46">
        <f t="shared" si="7"/>
        <v>42</v>
      </c>
      <c r="H506" s="47" t="s">
        <v>24</v>
      </c>
      <c r="I506" s="47" t="s">
        <v>338</v>
      </c>
      <c r="J506" s="32"/>
    </row>
    <row r="507" spans="1:10" x14ac:dyDescent="0.2">
      <c r="A507" s="32"/>
      <c r="B507" s="36" t="s">
        <v>947</v>
      </c>
      <c r="C507" s="37" t="s">
        <v>946</v>
      </c>
      <c r="D507" s="38" t="s">
        <v>41</v>
      </c>
      <c r="E507" s="39">
        <v>1</v>
      </c>
      <c r="F507" s="40">
        <v>14</v>
      </c>
      <c r="G507" s="40">
        <f t="shared" si="7"/>
        <v>14</v>
      </c>
      <c r="H507" s="41" t="s">
        <v>26</v>
      </c>
      <c r="I507" s="41" t="s">
        <v>58</v>
      </c>
      <c r="J507" s="32"/>
    </row>
    <row r="508" spans="1:10" x14ac:dyDescent="0.2">
      <c r="A508" s="32"/>
      <c r="B508" s="42" t="s">
        <v>948</v>
      </c>
      <c r="C508" s="43" t="s">
        <v>949</v>
      </c>
      <c r="D508" s="44" t="s">
        <v>763</v>
      </c>
      <c r="E508" s="45">
        <v>1</v>
      </c>
      <c r="F508" s="46">
        <v>51.896869000000002</v>
      </c>
      <c r="G508" s="46">
        <f t="shared" si="7"/>
        <v>51.896869000000002</v>
      </c>
      <c r="H508" s="47" t="s">
        <v>24</v>
      </c>
      <c r="I508" s="47" t="s">
        <v>58</v>
      </c>
      <c r="J508" s="32"/>
    </row>
    <row r="509" spans="1:10" x14ac:dyDescent="0.2">
      <c r="A509" s="32"/>
      <c r="B509" s="36" t="s">
        <v>950</v>
      </c>
      <c r="C509" s="37" t="s">
        <v>949</v>
      </c>
      <c r="D509" s="38" t="s">
        <v>951</v>
      </c>
      <c r="E509" s="39">
        <v>1</v>
      </c>
      <c r="F509" s="40">
        <v>32.902583999999997</v>
      </c>
      <c r="G509" s="40">
        <f t="shared" si="7"/>
        <v>32.902583999999997</v>
      </c>
      <c r="H509" s="41" t="s">
        <v>24</v>
      </c>
      <c r="I509" s="41" t="s">
        <v>58</v>
      </c>
      <c r="J509" s="32"/>
    </row>
    <row r="510" spans="1:10" x14ac:dyDescent="0.2">
      <c r="A510" s="32"/>
      <c r="B510" s="42" t="s">
        <v>952</v>
      </c>
      <c r="C510" s="43" t="s">
        <v>949</v>
      </c>
      <c r="D510" s="44" t="s">
        <v>953</v>
      </c>
      <c r="E510" s="45">
        <v>1</v>
      </c>
      <c r="F510" s="46">
        <v>11.99</v>
      </c>
      <c r="G510" s="46">
        <f t="shared" si="7"/>
        <v>11.99</v>
      </c>
      <c r="H510" s="47" t="s">
        <v>24</v>
      </c>
      <c r="I510" s="47" t="s">
        <v>58</v>
      </c>
      <c r="J510" s="32"/>
    </row>
    <row r="511" spans="1:10" x14ac:dyDescent="0.2">
      <c r="A511" s="32"/>
      <c r="B511" s="36" t="s">
        <v>954</v>
      </c>
      <c r="C511" s="37" t="s">
        <v>949</v>
      </c>
      <c r="D511" s="38" t="s">
        <v>955</v>
      </c>
      <c r="E511" s="39">
        <v>1</v>
      </c>
      <c r="F511" s="40">
        <v>11.99</v>
      </c>
      <c r="G511" s="40">
        <f t="shared" si="7"/>
        <v>11.99</v>
      </c>
      <c r="H511" s="41" t="s">
        <v>24</v>
      </c>
      <c r="I511" s="41" t="s">
        <v>58</v>
      </c>
      <c r="J511" s="32"/>
    </row>
    <row r="512" spans="1:10" x14ac:dyDescent="0.2">
      <c r="A512" s="32"/>
      <c r="B512" s="42" t="s">
        <v>956</v>
      </c>
      <c r="C512" s="43" t="s">
        <v>949</v>
      </c>
      <c r="D512" s="44" t="s">
        <v>957</v>
      </c>
      <c r="E512" s="45">
        <v>1</v>
      </c>
      <c r="F512" s="46">
        <v>7.49</v>
      </c>
      <c r="G512" s="46">
        <f t="shared" si="7"/>
        <v>7.49</v>
      </c>
      <c r="H512" s="47" t="s">
        <v>24</v>
      </c>
      <c r="I512" s="47" t="s">
        <v>58</v>
      </c>
      <c r="J512" s="32"/>
    </row>
    <row r="513" spans="1:10" x14ac:dyDescent="0.2">
      <c r="A513" s="32"/>
      <c r="B513" s="36" t="s">
        <v>958</v>
      </c>
      <c r="C513" s="37" t="s">
        <v>949</v>
      </c>
      <c r="D513" s="38" t="s">
        <v>959</v>
      </c>
      <c r="E513" s="39">
        <v>1</v>
      </c>
      <c r="F513" s="40">
        <v>2.79</v>
      </c>
      <c r="G513" s="40">
        <f t="shared" si="7"/>
        <v>2.79</v>
      </c>
      <c r="H513" s="41" t="s">
        <v>24</v>
      </c>
      <c r="I513" s="41" t="s">
        <v>58</v>
      </c>
      <c r="J513" s="32"/>
    </row>
    <row r="514" spans="1:10" x14ac:dyDescent="0.2">
      <c r="A514" s="32"/>
      <c r="B514" s="42" t="s">
        <v>960</v>
      </c>
      <c r="C514" s="43" t="s">
        <v>949</v>
      </c>
      <c r="D514" s="44" t="s">
        <v>408</v>
      </c>
      <c r="E514" s="45">
        <v>1</v>
      </c>
      <c r="F514" s="46">
        <v>3.79</v>
      </c>
      <c r="G514" s="46">
        <f t="shared" si="7"/>
        <v>3.79</v>
      </c>
      <c r="H514" s="47" t="s">
        <v>24</v>
      </c>
      <c r="I514" s="47" t="s">
        <v>58</v>
      </c>
      <c r="J514" s="32"/>
    </row>
    <row r="515" spans="1:10" x14ac:dyDescent="0.2">
      <c r="A515" s="32"/>
      <c r="B515" s="36" t="s">
        <v>961</v>
      </c>
      <c r="C515" s="37" t="s">
        <v>949</v>
      </c>
      <c r="D515" s="38" t="s">
        <v>962</v>
      </c>
      <c r="E515" s="39">
        <v>1</v>
      </c>
      <c r="F515" s="40">
        <v>2.79</v>
      </c>
      <c r="G515" s="40">
        <f t="shared" si="7"/>
        <v>2.79</v>
      </c>
      <c r="H515" s="41" t="s">
        <v>24</v>
      </c>
      <c r="I515" s="41" t="s">
        <v>58</v>
      </c>
      <c r="J515" s="32"/>
    </row>
    <row r="516" spans="1:10" x14ac:dyDescent="0.2">
      <c r="A516" s="32"/>
      <c r="B516" s="42" t="s">
        <v>963</v>
      </c>
      <c r="C516" s="43" t="s">
        <v>949</v>
      </c>
      <c r="D516" s="44" t="s">
        <v>964</v>
      </c>
      <c r="E516" s="45">
        <v>1</v>
      </c>
      <c r="F516" s="46">
        <v>108.98374</v>
      </c>
      <c r="G516" s="46">
        <f t="shared" si="7"/>
        <v>108.98374</v>
      </c>
      <c r="H516" s="47" t="s">
        <v>24</v>
      </c>
      <c r="I516" s="47" t="s">
        <v>58</v>
      </c>
      <c r="J516" s="32"/>
    </row>
    <row r="517" spans="1:10" x14ac:dyDescent="0.2">
      <c r="A517" s="32"/>
      <c r="B517" s="36" t="s">
        <v>965</v>
      </c>
      <c r="C517" s="37" t="s">
        <v>949</v>
      </c>
      <c r="D517" s="38" t="s">
        <v>966</v>
      </c>
      <c r="E517" s="39">
        <v>1</v>
      </c>
      <c r="F517" s="40">
        <v>14.989919</v>
      </c>
      <c r="G517" s="40">
        <f t="shared" ref="G517:G580" si="8">E517*F517</f>
        <v>14.989919</v>
      </c>
      <c r="H517" s="41" t="s">
        <v>24</v>
      </c>
      <c r="I517" s="41" t="s">
        <v>58</v>
      </c>
      <c r="J517" s="32"/>
    </row>
    <row r="518" spans="1:10" x14ac:dyDescent="0.2">
      <c r="A518" s="32"/>
      <c r="B518" s="42" t="s">
        <v>967</v>
      </c>
      <c r="C518" s="43" t="s">
        <v>949</v>
      </c>
      <c r="D518" s="44" t="s">
        <v>968</v>
      </c>
      <c r="E518" s="45">
        <v>1</v>
      </c>
      <c r="F518" s="46">
        <v>21.9</v>
      </c>
      <c r="G518" s="46">
        <f t="shared" si="8"/>
        <v>21.9</v>
      </c>
      <c r="H518" s="47" t="s">
        <v>24</v>
      </c>
      <c r="I518" s="47" t="s">
        <v>58</v>
      </c>
      <c r="J518" s="32"/>
    </row>
    <row r="519" spans="1:10" x14ac:dyDescent="0.2">
      <c r="A519" s="32"/>
      <c r="B519" s="36" t="s">
        <v>969</v>
      </c>
      <c r="C519" s="37" t="s">
        <v>949</v>
      </c>
      <c r="D519" s="38" t="s">
        <v>968</v>
      </c>
      <c r="E519" s="39">
        <v>1</v>
      </c>
      <c r="F519" s="40">
        <v>21.9</v>
      </c>
      <c r="G519" s="40">
        <f t="shared" si="8"/>
        <v>21.9</v>
      </c>
      <c r="H519" s="41" t="s">
        <v>24</v>
      </c>
      <c r="I519" s="41" t="s">
        <v>58</v>
      </c>
      <c r="J519" s="32"/>
    </row>
    <row r="520" spans="1:10" x14ac:dyDescent="0.2">
      <c r="A520" s="32"/>
      <c r="B520" s="42" t="s">
        <v>970</v>
      </c>
      <c r="C520" s="43" t="s">
        <v>949</v>
      </c>
      <c r="D520" s="44" t="s">
        <v>971</v>
      </c>
      <c r="E520" s="45">
        <v>1</v>
      </c>
      <c r="F520" s="46">
        <v>12.99</v>
      </c>
      <c r="G520" s="46">
        <f t="shared" si="8"/>
        <v>12.99</v>
      </c>
      <c r="H520" s="47" t="s">
        <v>24</v>
      </c>
      <c r="I520" s="47" t="s">
        <v>58</v>
      </c>
      <c r="J520" s="32"/>
    </row>
    <row r="521" spans="1:10" x14ac:dyDescent="0.2">
      <c r="A521" s="32"/>
      <c r="B521" s="36" t="s">
        <v>972</v>
      </c>
      <c r="C521" s="37" t="s">
        <v>949</v>
      </c>
      <c r="D521" s="38" t="s">
        <v>973</v>
      </c>
      <c r="E521" s="39">
        <v>1</v>
      </c>
      <c r="F521" s="40">
        <v>89.895832999999996</v>
      </c>
      <c r="G521" s="40">
        <f t="shared" si="8"/>
        <v>89.895832999999996</v>
      </c>
      <c r="H521" s="41" t="s">
        <v>24</v>
      </c>
      <c r="I521" s="41" t="s">
        <v>58</v>
      </c>
      <c r="J521" s="32"/>
    </row>
    <row r="522" spans="1:10" x14ac:dyDescent="0.2">
      <c r="A522" s="32"/>
      <c r="B522" s="42" t="s">
        <v>974</v>
      </c>
      <c r="C522" s="43" t="s">
        <v>949</v>
      </c>
      <c r="D522" s="44" t="s">
        <v>975</v>
      </c>
      <c r="E522" s="45">
        <v>1</v>
      </c>
      <c r="F522" s="46">
        <v>84.913792999999998</v>
      </c>
      <c r="G522" s="46">
        <f t="shared" si="8"/>
        <v>84.913792999999998</v>
      </c>
      <c r="H522" s="47" t="s">
        <v>24</v>
      </c>
      <c r="I522" s="47" t="s">
        <v>58</v>
      </c>
      <c r="J522" s="32"/>
    </row>
    <row r="523" spans="1:10" x14ac:dyDescent="0.2">
      <c r="A523" s="32"/>
      <c r="B523" s="36" t="s">
        <v>976</v>
      </c>
      <c r="C523" s="37" t="s">
        <v>949</v>
      </c>
      <c r="D523" s="38" t="s">
        <v>977</v>
      </c>
      <c r="E523" s="39">
        <v>1</v>
      </c>
      <c r="F523" s="40">
        <v>99.876542999999998</v>
      </c>
      <c r="G523" s="40">
        <f t="shared" si="8"/>
        <v>99.876542999999998</v>
      </c>
      <c r="H523" s="41" t="s">
        <v>24</v>
      </c>
      <c r="I523" s="41" t="s">
        <v>58</v>
      </c>
      <c r="J523" s="32"/>
    </row>
    <row r="524" spans="1:10" x14ac:dyDescent="0.2">
      <c r="A524" s="32"/>
      <c r="B524" s="42" t="s">
        <v>978</v>
      </c>
      <c r="C524" s="43" t="s">
        <v>949</v>
      </c>
      <c r="D524" s="44" t="s">
        <v>761</v>
      </c>
      <c r="E524" s="45">
        <v>1</v>
      </c>
      <c r="F524" s="46">
        <v>23.99</v>
      </c>
      <c r="G524" s="46">
        <f t="shared" si="8"/>
        <v>23.99</v>
      </c>
      <c r="H524" s="47" t="s">
        <v>28</v>
      </c>
      <c r="I524" s="47" t="s">
        <v>58</v>
      </c>
      <c r="J524" s="32"/>
    </row>
    <row r="525" spans="1:10" x14ac:dyDescent="0.2">
      <c r="A525" s="32"/>
      <c r="B525" s="36" t="s">
        <v>979</v>
      </c>
      <c r="C525" s="37" t="s">
        <v>949</v>
      </c>
      <c r="D525" s="38" t="s">
        <v>980</v>
      </c>
      <c r="E525" s="39">
        <v>1</v>
      </c>
      <c r="F525" s="40">
        <v>99.913792999999998</v>
      </c>
      <c r="G525" s="40">
        <f t="shared" si="8"/>
        <v>99.913792999999998</v>
      </c>
      <c r="H525" s="41" t="s">
        <v>24</v>
      </c>
      <c r="I525" s="41" t="s">
        <v>58</v>
      </c>
      <c r="J525" s="32"/>
    </row>
    <row r="526" spans="1:10" x14ac:dyDescent="0.2">
      <c r="A526" s="32"/>
      <c r="B526" s="42" t="s">
        <v>981</v>
      </c>
      <c r="C526" s="43" t="s">
        <v>949</v>
      </c>
      <c r="D526" s="44" t="s">
        <v>982</v>
      </c>
      <c r="E526" s="45">
        <v>1</v>
      </c>
      <c r="F526" s="46">
        <v>5.2926830000000002</v>
      </c>
      <c r="G526" s="46">
        <f t="shared" si="8"/>
        <v>5.2926830000000002</v>
      </c>
      <c r="H526" s="47" t="s">
        <v>24</v>
      </c>
      <c r="I526" s="47" t="s">
        <v>58</v>
      </c>
      <c r="J526" s="32"/>
    </row>
    <row r="527" spans="1:10" x14ac:dyDescent="0.2">
      <c r="A527" s="32"/>
      <c r="B527" s="36" t="s">
        <v>983</v>
      </c>
      <c r="C527" s="37" t="s">
        <v>949</v>
      </c>
      <c r="D527" s="38" t="s">
        <v>984</v>
      </c>
      <c r="E527" s="39">
        <v>1</v>
      </c>
      <c r="F527" s="40">
        <v>14.89</v>
      </c>
      <c r="G527" s="40">
        <f t="shared" si="8"/>
        <v>14.89</v>
      </c>
      <c r="H527" s="41" t="s">
        <v>24</v>
      </c>
      <c r="I527" s="41" t="s">
        <v>58</v>
      </c>
      <c r="J527" s="32"/>
    </row>
    <row r="528" spans="1:10" x14ac:dyDescent="0.2">
      <c r="A528" s="32"/>
      <c r="B528" s="42" t="s">
        <v>985</v>
      </c>
      <c r="C528" s="43" t="s">
        <v>949</v>
      </c>
      <c r="D528" s="44" t="s">
        <v>986</v>
      </c>
      <c r="E528" s="45">
        <v>1</v>
      </c>
      <c r="F528" s="46">
        <v>13.99</v>
      </c>
      <c r="G528" s="46">
        <f t="shared" si="8"/>
        <v>13.99</v>
      </c>
      <c r="H528" s="47" t="s">
        <v>24</v>
      </c>
      <c r="I528" s="47" t="s">
        <v>58</v>
      </c>
      <c r="J528" s="32"/>
    </row>
    <row r="529" spans="1:10" x14ac:dyDescent="0.2">
      <c r="A529" s="32"/>
      <c r="B529" s="36" t="s">
        <v>987</v>
      </c>
      <c r="C529" s="37" t="s">
        <v>949</v>
      </c>
      <c r="D529" s="38" t="s">
        <v>988</v>
      </c>
      <c r="E529" s="39">
        <v>1</v>
      </c>
      <c r="F529" s="40">
        <v>16.989999999999998</v>
      </c>
      <c r="G529" s="40">
        <f t="shared" si="8"/>
        <v>16.989999999999998</v>
      </c>
      <c r="H529" s="41" t="s">
        <v>24</v>
      </c>
      <c r="I529" s="41" t="s">
        <v>58</v>
      </c>
      <c r="J529" s="32"/>
    </row>
    <row r="530" spans="1:10" x14ac:dyDescent="0.2">
      <c r="A530" s="32"/>
      <c r="B530" s="42" t="s">
        <v>989</v>
      </c>
      <c r="C530" s="43" t="s">
        <v>949</v>
      </c>
      <c r="D530" s="44" t="s">
        <v>814</v>
      </c>
      <c r="E530" s="45">
        <v>1</v>
      </c>
      <c r="F530" s="46">
        <v>8.99</v>
      </c>
      <c r="G530" s="46">
        <f t="shared" si="8"/>
        <v>8.99</v>
      </c>
      <c r="H530" s="47" t="s">
        <v>24</v>
      </c>
      <c r="I530" s="47" t="s">
        <v>58</v>
      </c>
      <c r="J530" s="32"/>
    </row>
    <row r="531" spans="1:10" x14ac:dyDescent="0.2">
      <c r="A531" s="32"/>
      <c r="B531" s="36" t="s">
        <v>990</v>
      </c>
      <c r="C531" s="37" t="s">
        <v>949</v>
      </c>
      <c r="D531" s="38" t="s">
        <v>991</v>
      </c>
      <c r="E531" s="39">
        <v>1</v>
      </c>
      <c r="F531" s="40">
        <v>16.989999999999998</v>
      </c>
      <c r="G531" s="40">
        <f t="shared" si="8"/>
        <v>16.989999999999998</v>
      </c>
      <c r="H531" s="41" t="s">
        <v>24</v>
      </c>
      <c r="I531" s="41" t="s">
        <v>58</v>
      </c>
      <c r="J531" s="32"/>
    </row>
    <row r="532" spans="1:10" x14ac:dyDescent="0.2">
      <c r="A532" s="32"/>
      <c r="B532" s="42" t="s">
        <v>992</v>
      </c>
      <c r="C532" s="43" t="s">
        <v>949</v>
      </c>
      <c r="D532" s="44" t="s">
        <v>993</v>
      </c>
      <c r="E532" s="45">
        <v>1</v>
      </c>
      <c r="F532" s="46">
        <v>10.99</v>
      </c>
      <c r="G532" s="46">
        <f t="shared" si="8"/>
        <v>10.99</v>
      </c>
      <c r="H532" s="47" t="s">
        <v>24</v>
      </c>
      <c r="I532" s="47" t="s">
        <v>58</v>
      </c>
      <c r="J532" s="32"/>
    </row>
    <row r="533" spans="1:10" x14ac:dyDescent="0.2">
      <c r="A533" s="32"/>
      <c r="B533" s="36" t="s">
        <v>994</v>
      </c>
      <c r="C533" s="37" t="s">
        <v>949</v>
      </c>
      <c r="D533" s="38" t="s">
        <v>995</v>
      </c>
      <c r="E533" s="39">
        <v>1</v>
      </c>
      <c r="F533" s="40">
        <v>40</v>
      </c>
      <c r="G533" s="40">
        <f t="shared" si="8"/>
        <v>40</v>
      </c>
      <c r="H533" s="41" t="s">
        <v>24</v>
      </c>
      <c r="I533" s="41" t="s">
        <v>58</v>
      </c>
      <c r="J533" s="32"/>
    </row>
    <row r="534" spans="1:10" x14ac:dyDescent="0.2">
      <c r="A534" s="32"/>
      <c r="B534" s="42" t="s">
        <v>996</v>
      </c>
      <c r="C534" s="43" t="s">
        <v>949</v>
      </c>
      <c r="D534" s="44" t="s">
        <v>997</v>
      </c>
      <c r="E534" s="45">
        <v>1</v>
      </c>
      <c r="F534" s="46">
        <v>11.986755</v>
      </c>
      <c r="G534" s="46">
        <f t="shared" si="8"/>
        <v>11.986755</v>
      </c>
      <c r="H534" s="47" t="s">
        <v>24</v>
      </c>
      <c r="I534" s="47" t="s">
        <v>58</v>
      </c>
      <c r="J534" s="32"/>
    </row>
    <row r="535" spans="1:10" x14ac:dyDescent="0.2">
      <c r="A535" s="32"/>
      <c r="B535" s="36" t="s">
        <v>998</v>
      </c>
      <c r="C535" s="37" t="s">
        <v>949</v>
      </c>
      <c r="D535" s="38" t="s">
        <v>999</v>
      </c>
      <c r="E535" s="39">
        <v>1</v>
      </c>
      <c r="F535" s="40">
        <v>35</v>
      </c>
      <c r="G535" s="40">
        <f t="shared" si="8"/>
        <v>35</v>
      </c>
      <c r="H535" s="41" t="s">
        <v>24</v>
      </c>
      <c r="I535" s="41" t="s">
        <v>58</v>
      </c>
      <c r="J535" s="32"/>
    </row>
    <row r="536" spans="1:10" x14ac:dyDescent="0.2">
      <c r="A536" s="32"/>
      <c r="B536" s="42" t="s">
        <v>1000</v>
      </c>
      <c r="C536" s="43" t="s">
        <v>949</v>
      </c>
      <c r="D536" s="44" t="s">
        <v>1001</v>
      </c>
      <c r="E536" s="45">
        <v>1</v>
      </c>
      <c r="F536" s="46">
        <v>3.992</v>
      </c>
      <c r="G536" s="46">
        <f t="shared" si="8"/>
        <v>3.992</v>
      </c>
      <c r="H536" s="47" t="s">
        <v>24</v>
      </c>
      <c r="I536" s="47" t="s">
        <v>58</v>
      </c>
      <c r="J536" s="32"/>
    </row>
    <row r="537" spans="1:10" x14ac:dyDescent="0.2">
      <c r="A537" s="32"/>
      <c r="B537" s="36" t="s">
        <v>1002</v>
      </c>
      <c r="C537" s="37" t="s">
        <v>949</v>
      </c>
      <c r="D537" s="38" t="s">
        <v>743</v>
      </c>
      <c r="E537" s="39">
        <v>1</v>
      </c>
      <c r="F537" s="40">
        <v>5.6937800000000003</v>
      </c>
      <c r="G537" s="40">
        <f t="shared" si="8"/>
        <v>5.6937800000000003</v>
      </c>
      <c r="H537" s="41" t="s">
        <v>24</v>
      </c>
      <c r="I537" s="41" t="s">
        <v>58</v>
      </c>
      <c r="J537" s="32"/>
    </row>
    <row r="538" spans="1:10" x14ac:dyDescent="0.2">
      <c r="A538" s="32"/>
      <c r="B538" s="42" t="s">
        <v>1003</v>
      </c>
      <c r="C538" s="43" t="s">
        <v>949</v>
      </c>
      <c r="D538" s="44" t="s">
        <v>739</v>
      </c>
      <c r="E538" s="45">
        <v>1</v>
      </c>
      <c r="F538" s="46">
        <v>2.4864860000000002</v>
      </c>
      <c r="G538" s="46">
        <f t="shared" si="8"/>
        <v>2.4864860000000002</v>
      </c>
      <c r="H538" s="47" t="s">
        <v>24</v>
      </c>
      <c r="I538" s="47" t="s">
        <v>58</v>
      </c>
      <c r="J538" s="32"/>
    </row>
    <row r="539" spans="1:10" x14ac:dyDescent="0.2">
      <c r="A539" s="32"/>
      <c r="B539" s="36" t="s">
        <v>1004</v>
      </c>
      <c r="C539" s="37" t="s">
        <v>949</v>
      </c>
      <c r="D539" s="38" t="s">
        <v>42</v>
      </c>
      <c r="E539" s="39">
        <v>1</v>
      </c>
      <c r="F539" s="40">
        <v>5.9858159999999998</v>
      </c>
      <c r="G539" s="40">
        <f t="shared" si="8"/>
        <v>5.9858159999999998</v>
      </c>
      <c r="H539" s="41" t="s">
        <v>24</v>
      </c>
      <c r="I539" s="41" t="s">
        <v>58</v>
      </c>
      <c r="J539" s="32"/>
    </row>
    <row r="540" spans="1:10" x14ac:dyDescent="0.2">
      <c r="A540" s="32"/>
      <c r="B540" s="42" t="s">
        <v>1005</v>
      </c>
      <c r="C540" s="43" t="s">
        <v>949</v>
      </c>
      <c r="D540" s="44" t="s">
        <v>373</v>
      </c>
      <c r="E540" s="45">
        <v>1</v>
      </c>
      <c r="F540" s="46">
        <v>3.9905879999999998</v>
      </c>
      <c r="G540" s="46">
        <f t="shared" si="8"/>
        <v>3.9905879999999998</v>
      </c>
      <c r="H540" s="47" t="s">
        <v>24</v>
      </c>
      <c r="I540" s="47" t="s">
        <v>58</v>
      </c>
      <c r="J540" s="32"/>
    </row>
    <row r="541" spans="1:10" x14ac:dyDescent="0.2">
      <c r="A541" s="32"/>
      <c r="B541" s="36" t="s">
        <v>1006</v>
      </c>
      <c r="C541" s="37" t="s">
        <v>949</v>
      </c>
      <c r="D541" s="38" t="s">
        <v>1007</v>
      </c>
      <c r="E541" s="39">
        <v>1</v>
      </c>
      <c r="F541" s="40">
        <v>5</v>
      </c>
      <c r="G541" s="40">
        <f t="shared" si="8"/>
        <v>5</v>
      </c>
      <c r="H541" s="41" t="s">
        <v>24</v>
      </c>
      <c r="I541" s="41" t="s">
        <v>58</v>
      </c>
      <c r="J541" s="32"/>
    </row>
    <row r="542" spans="1:10" x14ac:dyDescent="0.2">
      <c r="A542" s="32"/>
      <c r="B542" s="42" t="s">
        <v>1008</v>
      </c>
      <c r="C542" s="43" t="s">
        <v>949</v>
      </c>
      <c r="D542" s="44" t="s">
        <v>1009</v>
      </c>
      <c r="E542" s="45">
        <v>1</v>
      </c>
      <c r="F542" s="46">
        <v>11.99</v>
      </c>
      <c r="G542" s="46">
        <f t="shared" si="8"/>
        <v>11.99</v>
      </c>
      <c r="H542" s="47" t="s">
        <v>24</v>
      </c>
      <c r="I542" s="47" t="s">
        <v>58</v>
      </c>
      <c r="J542" s="32"/>
    </row>
    <row r="543" spans="1:10" x14ac:dyDescent="0.2">
      <c r="A543" s="32"/>
      <c r="B543" s="36" t="s">
        <v>1010</v>
      </c>
      <c r="C543" s="37" t="s">
        <v>949</v>
      </c>
      <c r="D543" s="38" t="s">
        <v>76</v>
      </c>
      <c r="E543" s="39">
        <v>1</v>
      </c>
      <c r="F543" s="40">
        <v>5.9926469999999998</v>
      </c>
      <c r="G543" s="40">
        <f t="shared" si="8"/>
        <v>5.9926469999999998</v>
      </c>
      <c r="H543" s="41" t="s">
        <v>24</v>
      </c>
      <c r="I543" s="41" t="s">
        <v>58</v>
      </c>
      <c r="J543" s="32"/>
    </row>
    <row r="544" spans="1:10" x14ac:dyDescent="0.2">
      <c r="A544" s="32"/>
      <c r="B544" s="42" t="s">
        <v>1011</v>
      </c>
      <c r="C544" s="43" t="s">
        <v>949</v>
      </c>
      <c r="D544" s="44" t="s">
        <v>1012</v>
      </c>
      <c r="E544" s="45">
        <v>1</v>
      </c>
      <c r="F544" s="46">
        <v>3.6875</v>
      </c>
      <c r="G544" s="46">
        <f t="shared" si="8"/>
        <v>3.6875</v>
      </c>
      <c r="H544" s="47" t="s">
        <v>24</v>
      </c>
      <c r="I544" s="47" t="s">
        <v>58</v>
      </c>
      <c r="J544" s="32"/>
    </row>
    <row r="545" spans="1:10" x14ac:dyDescent="0.2">
      <c r="A545" s="32"/>
      <c r="B545" s="36" t="s">
        <v>1013</v>
      </c>
      <c r="C545" s="37" t="s">
        <v>949</v>
      </c>
      <c r="D545" s="38" t="s">
        <v>38</v>
      </c>
      <c r="E545" s="39">
        <v>1</v>
      </c>
      <c r="F545" s="40">
        <v>2.6887759999999998</v>
      </c>
      <c r="G545" s="40">
        <f t="shared" si="8"/>
        <v>2.6887759999999998</v>
      </c>
      <c r="H545" s="41" t="s">
        <v>24</v>
      </c>
      <c r="I545" s="41" t="s">
        <v>58</v>
      </c>
      <c r="J545" s="32"/>
    </row>
    <row r="546" spans="1:10" x14ac:dyDescent="0.2">
      <c r="A546" s="32"/>
      <c r="B546" s="42" t="s">
        <v>1014</v>
      </c>
      <c r="C546" s="43" t="s">
        <v>949</v>
      </c>
      <c r="D546" s="44" t="s">
        <v>1015</v>
      </c>
      <c r="E546" s="45">
        <v>1</v>
      </c>
      <c r="F546" s="46">
        <v>18</v>
      </c>
      <c r="G546" s="46">
        <f t="shared" si="8"/>
        <v>18</v>
      </c>
      <c r="H546" s="47" t="s">
        <v>24</v>
      </c>
      <c r="I546" s="47" t="s">
        <v>58</v>
      </c>
      <c r="J546" s="32"/>
    </row>
    <row r="547" spans="1:10" x14ac:dyDescent="0.2">
      <c r="A547" s="32"/>
      <c r="B547" s="36" t="s">
        <v>1016</v>
      </c>
      <c r="C547" s="37" t="s">
        <v>949</v>
      </c>
      <c r="D547" s="38" t="s">
        <v>1017</v>
      </c>
      <c r="E547" s="39">
        <v>1</v>
      </c>
      <c r="F547" s="40">
        <v>8.49</v>
      </c>
      <c r="G547" s="40">
        <f t="shared" si="8"/>
        <v>8.49</v>
      </c>
      <c r="H547" s="41" t="s">
        <v>24</v>
      </c>
      <c r="I547" s="41" t="s">
        <v>58</v>
      </c>
      <c r="J547" s="32"/>
    </row>
    <row r="548" spans="1:10" x14ac:dyDescent="0.2">
      <c r="A548" s="32"/>
      <c r="B548" s="42" t="s">
        <v>1018</v>
      </c>
      <c r="C548" s="43" t="s">
        <v>949</v>
      </c>
      <c r="D548" s="44" t="s">
        <v>1019</v>
      </c>
      <c r="E548" s="45">
        <v>1</v>
      </c>
      <c r="F548" s="46">
        <v>0.99</v>
      </c>
      <c r="G548" s="46">
        <f t="shared" si="8"/>
        <v>0.99</v>
      </c>
      <c r="H548" s="47" t="s">
        <v>24</v>
      </c>
      <c r="I548" s="47" t="s">
        <v>58</v>
      </c>
      <c r="J548" s="32"/>
    </row>
    <row r="549" spans="1:10" x14ac:dyDescent="0.2">
      <c r="A549" s="32"/>
      <c r="B549" s="36" t="s">
        <v>1020</v>
      </c>
      <c r="C549" s="37" t="s">
        <v>949</v>
      </c>
      <c r="D549" s="38" t="s">
        <v>787</v>
      </c>
      <c r="E549" s="39">
        <v>1</v>
      </c>
      <c r="F549" s="40">
        <v>11.99</v>
      </c>
      <c r="G549" s="40">
        <f t="shared" si="8"/>
        <v>11.99</v>
      </c>
      <c r="H549" s="41" t="s">
        <v>24</v>
      </c>
      <c r="I549" s="41" t="s">
        <v>58</v>
      </c>
      <c r="J549" s="32"/>
    </row>
    <row r="550" spans="1:10" x14ac:dyDescent="0.2">
      <c r="A550" s="32"/>
      <c r="B550" s="42" t="s">
        <v>1021</v>
      </c>
      <c r="C550" s="43" t="s">
        <v>949</v>
      </c>
      <c r="D550" s="44" t="s">
        <v>1022</v>
      </c>
      <c r="E550" s="45">
        <v>1</v>
      </c>
      <c r="F550" s="46">
        <v>4.49</v>
      </c>
      <c r="G550" s="46">
        <f t="shared" si="8"/>
        <v>4.49</v>
      </c>
      <c r="H550" s="47" t="s">
        <v>24</v>
      </c>
      <c r="I550" s="47" t="s">
        <v>58</v>
      </c>
      <c r="J550" s="32"/>
    </row>
    <row r="551" spans="1:10" x14ac:dyDescent="0.2">
      <c r="A551" s="32"/>
      <c r="B551" s="36" t="s">
        <v>1023</v>
      </c>
      <c r="C551" s="37" t="s">
        <v>949</v>
      </c>
      <c r="D551" s="38" t="s">
        <v>1024</v>
      </c>
      <c r="E551" s="39">
        <v>1</v>
      </c>
      <c r="F551" s="40">
        <v>10.49</v>
      </c>
      <c r="G551" s="40">
        <f t="shared" si="8"/>
        <v>10.49</v>
      </c>
      <c r="H551" s="41" t="s">
        <v>24</v>
      </c>
      <c r="I551" s="41" t="s">
        <v>58</v>
      </c>
      <c r="J551" s="32"/>
    </row>
    <row r="552" spans="1:10" x14ac:dyDescent="0.2">
      <c r="A552" s="32"/>
      <c r="B552" s="42" t="s">
        <v>1025</v>
      </c>
      <c r="C552" s="43" t="s">
        <v>949</v>
      </c>
      <c r="D552" s="44" t="s">
        <v>1026</v>
      </c>
      <c r="E552" s="45">
        <v>1</v>
      </c>
      <c r="F552" s="46">
        <v>5.79</v>
      </c>
      <c r="G552" s="46">
        <f t="shared" si="8"/>
        <v>5.79</v>
      </c>
      <c r="H552" s="47" t="s">
        <v>24</v>
      </c>
      <c r="I552" s="47" t="s">
        <v>58</v>
      </c>
      <c r="J552" s="32"/>
    </row>
    <row r="553" spans="1:10" x14ac:dyDescent="0.2">
      <c r="A553" s="32"/>
      <c r="B553" s="36" t="s">
        <v>1027</v>
      </c>
      <c r="C553" s="37" t="s">
        <v>949</v>
      </c>
      <c r="D553" s="38" t="s">
        <v>1028</v>
      </c>
      <c r="E553" s="39">
        <v>1</v>
      </c>
      <c r="F553" s="40">
        <v>6.19</v>
      </c>
      <c r="G553" s="40">
        <f t="shared" si="8"/>
        <v>6.19</v>
      </c>
      <c r="H553" s="41" t="s">
        <v>24</v>
      </c>
      <c r="I553" s="41" t="s">
        <v>58</v>
      </c>
      <c r="J553" s="32"/>
    </row>
    <row r="554" spans="1:10" x14ac:dyDescent="0.2">
      <c r="A554" s="32"/>
      <c r="B554" s="42" t="s">
        <v>1029</v>
      </c>
      <c r="C554" s="43" t="s">
        <v>949</v>
      </c>
      <c r="D554" s="44" t="s">
        <v>1030</v>
      </c>
      <c r="E554" s="45">
        <v>1</v>
      </c>
      <c r="F554" s="46">
        <v>5.49</v>
      </c>
      <c r="G554" s="46">
        <f t="shared" si="8"/>
        <v>5.49</v>
      </c>
      <c r="H554" s="47" t="s">
        <v>24</v>
      </c>
      <c r="I554" s="47" t="s">
        <v>58</v>
      </c>
      <c r="J554" s="32"/>
    </row>
    <row r="555" spans="1:10" x14ac:dyDescent="0.2">
      <c r="A555" s="32"/>
      <c r="B555" s="36" t="s">
        <v>1031</v>
      </c>
      <c r="C555" s="37" t="s">
        <v>949</v>
      </c>
      <c r="D555" s="38" t="s">
        <v>427</v>
      </c>
      <c r="E555" s="39">
        <v>1</v>
      </c>
      <c r="F555" s="40">
        <v>0.99</v>
      </c>
      <c r="G555" s="40">
        <f t="shared" si="8"/>
        <v>0.99</v>
      </c>
      <c r="H555" s="41" t="s">
        <v>24</v>
      </c>
      <c r="I555" s="41" t="s">
        <v>58</v>
      </c>
      <c r="J555" s="32"/>
    </row>
    <row r="556" spans="1:10" x14ac:dyDescent="0.2">
      <c r="A556" s="32"/>
      <c r="B556" s="42" t="s">
        <v>1032</v>
      </c>
      <c r="C556" s="43" t="s">
        <v>949</v>
      </c>
      <c r="D556" s="44" t="s">
        <v>429</v>
      </c>
      <c r="E556" s="45">
        <v>1</v>
      </c>
      <c r="F556" s="46">
        <v>1.99</v>
      </c>
      <c r="G556" s="46">
        <f t="shared" si="8"/>
        <v>1.99</v>
      </c>
      <c r="H556" s="47" t="s">
        <v>24</v>
      </c>
      <c r="I556" s="47" t="s">
        <v>58</v>
      </c>
      <c r="J556" s="32"/>
    </row>
    <row r="557" spans="1:10" x14ac:dyDescent="0.2">
      <c r="A557" s="32"/>
      <c r="B557" s="36" t="s">
        <v>1033</v>
      </c>
      <c r="C557" s="37" t="s">
        <v>949</v>
      </c>
      <c r="D557" s="38" t="s">
        <v>1034</v>
      </c>
      <c r="E557" s="39">
        <v>1</v>
      </c>
      <c r="F557" s="40">
        <v>9.99</v>
      </c>
      <c r="G557" s="40">
        <f t="shared" si="8"/>
        <v>9.99</v>
      </c>
      <c r="H557" s="41" t="s">
        <v>24</v>
      </c>
      <c r="I557" s="41" t="s">
        <v>58</v>
      </c>
      <c r="J557" s="32"/>
    </row>
    <row r="558" spans="1:10" x14ac:dyDescent="0.2">
      <c r="A558" s="32"/>
      <c r="B558" s="42" t="s">
        <v>1035</v>
      </c>
      <c r="C558" s="43" t="s">
        <v>949</v>
      </c>
      <c r="D558" s="44" t="s">
        <v>1036</v>
      </c>
      <c r="E558" s="45">
        <v>1</v>
      </c>
      <c r="F558" s="46">
        <v>12.98</v>
      </c>
      <c r="G558" s="46">
        <f t="shared" si="8"/>
        <v>12.98</v>
      </c>
      <c r="H558" s="47" t="s">
        <v>25</v>
      </c>
      <c r="I558" s="47" t="s">
        <v>58</v>
      </c>
      <c r="J558" s="32"/>
    </row>
    <row r="559" spans="1:10" x14ac:dyDescent="0.2">
      <c r="A559" s="32"/>
      <c r="B559" s="36" t="s">
        <v>1037</v>
      </c>
      <c r="C559" s="37" t="s">
        <v>949</v>
      </c>
      <c r="D559" s="38" t="s">
        <v>1038</v>
      </c>
      <c r="E559" s="39">
        <v>1</v>
      </c>
      <c r="F559" s="40">
        <v>13.99</v>
      </c>
      <c r="G559" s="40">
        <f t="shared" si="8"/>
        <v>13.99</v>
      </c>
      <c r="H559" s="41" t="s">
        <v>24</v>
      </c>
      <c r="I559" s="41" t="s">
        <v>58</v>
      </c>
      <c r="J559" s="32"/>
    </row>
    <row r="560" spans="1:10" x14ac:dyDescent="0.2">
      <c r="A560" s="32"/>
      <c r="B560" s="42" t="s">
        <v>1039</v>
      </c>
      <c r="C560" s="43" t="s">
        <v>949</v>
      </c>
      <c r="D560" s="44" t="s">
        <v>1040</v>
      </c>
      <c r="E560" s="45">
        <v>1</v>
      </c>
      <c r="F560" s="46">
        <v>12.9</v>
      </c>
      <c r="G560" s="46">
        <f t="shared" si="8"/>
        <v>12.9</v>
      </c>
      <c r="H560" s="47" t="s">
        <v>24</v>
      </c>
      <c r="I560" s="47" t="s">
        <v>58</v>
      </c>
      <c r="J560" s="32"/>
    </row>
    <row r="561" spans="1:10" x14ac:dyDescent="0.2">
      <c r="A561" s="32"/>
      <c r="B561" s="36" t="s">
        <v>1041</v>
      </c>
      <c r="C561" s="37" t="s">
        <v>949</v>
      </c>
      <c r="D561" s="38" t="s">
        <v>1042</v>
      </c>
      <c r="E561" s="39">
        <v>1</v>
      </c>
      <c r="F561" s="40">
        <v>13.99</v>
      </c>
      <c r="G561" s="40">
        <f t="shared" si="8"/>
        <v>13.99</v>
      </c>
      <c r="H561" s="41" t="s">
        <v>24</v>
      </c>
      <c r="I561" s="41" t="s">
        <v>58</v>
      </c>
      <c r="J561" s="32"/>
    </row>
    <row r="562" spans="1:10" x14ac:dyDescent="0.2">
      <c r="A562" s="32"/>
      <c r="B562" s="42" t="s">
        <v>1043</v>
      </c>
      <c r="C562" s="43" t="s">
        <v>949</v>
      </c>
      <c r="D562" s="44" t="s">
        <v>834</v>
      </c>
      <c r="E562" s="45">
        <v>1</v>
      </c>
      <c r="F562" s="46">
        <v>4.3899999999999997</v>
      </c>
      <c r="G562" s="46">
        <f t="shared" si="8"/>
        <v>4.3899999999999997</v>
      </c>
      <c r="H562" s="47" t="s">
        <v>25</v>
      </c>
      <c r="I562" s="47" t="s">
        <v>58</v>
      </c>
      <c r="J562" s="32"/>
    </row>
    <row r="563" spans="1:10" x14ac:dyDescent="0.2">
      <c r="A563" s="32"/>
      <c r="B563" s="36" t="s">
        <v>1044</v>
      </c>
      <c r="C563" s="37" t="s">
        <v>949</v>
      </c>
      <c r="D563" s="38" t="s">
        <v>1045</v>
      </c>
      <c r="E563" s="39">
        <v>1</v>
      </c>
      <c r="F563" s="40">
        <v>4.3899999999999997</v>
      </c>
      <c r="G563" s="40">
        <f t="shared" si="8"/>
        <v>4.3899999999999997</v>
      </c>
      <c r="H563" s="41" t="s">
        <v>25</v>
      </c>
      <c r="I563" s="41" t="s">
        <v>58</v>
      </c>
      <c r="J563" s="32"/>
    </row>
    <row r="564" spans="1:10" x14ac:dyDescent="0.2">
      <c r="A564" s="32"/>
      <c r="B564" s="42" t="s">
        <v>1046</v>
      </c>
      <c r="C564" s="43" t="s">
        <v>949</v>
      </c>
      <c r="D564" s="44" t="s">
        <v>1047</v>
      </c>
      <c r="E564" s="45">
        <v>1</v>
      </c>
      <c r="F564" s="46">
        <v>7.49</v>
      </c>
      <c r="G564" s="46">
        <f t="shared" si="8"/>
        <v>7.49</v>
      </c>
      <c r="H564" s="47" t="s">
        <v>25</v>
      </c>
      <c r="I564" s="47" t="s">
        <v>58</v>
      </c>
      <c r="J564" s="32"/>
    </row>
    <row r="565" spans="1:10" x14ac:dyDescent="0.2">
      <c r="A565" s="32"/>
      <c r="B565" s="36" t="s">
        <v>1048</v>
      </c>
      <c r="C565" s="37" t="s">
        <v>949</v>
      </c>
      <c r="D565" s="38" t="s">
        <v>1049</v>
      </c>
      <c r="E565" s="39">
        <v>1</v>
      </c>
      <c r="F565" s="40">
        <v>12.98</v>
      </c>
      <c r="G565" s="40">
        <f t="shared" si="8"/>
        <v>12.98</v>
      </c>
      <c r="H565" s="41" t="s">
        <v>25</v>
      </c>
      <c r="I565" s="41" t="s">
        <v>58</v>
      </c>
      <c r="J565" s="32"/>
    </row>
    <row r="566" spans="1:10" x14ac:dyDescent="0.2">
      <c r="A566" s="32"/>
      <c r="B566" s="42" t="s">
        <v>1050</v>
      </c>
      <c r="C566" s="43" t="s">
        <v>949</v>
      </c>
      <c r="D566" s="44" t="s">
        <v>1047</v>
      </c>
      <c r="E566" s="45">
        <v>1</v>
      </c>
      <c r="F566" s="46">
        <v>7.49</v>
      </c>
      <c r="G566" s="46">
        <f t="shared" si="8"/>
        <v>7.49</v>
      </c>
      <c r="H566" s="47" t="s">
        <v>25</v>
      </c>
      <c r="I566" s="47" t="s">
        <v>58</v>
      </c>
      <c r="J566" s="32"/>
    </row>
    <row r="567" spans="1:10" x14ac:dyDescent="0.2">
      <c r="A567" s="32"/>
      <c r="B567" s="36" t="s">
        <v>1051</v>
      </c>
      <c r="C567" s="37" t="s">
        <v>949</v>
      </c>
      <c r="D567" s="38" t="s">
        <v>1052</v>
      </c>
      <c r="E567" s="39">
        <v>1</v>
      </c>
      <c r="F567" s="40">
        <v>11.99</v>
      </c>
      <c r="G567" s="40">
        <f t="shared" si="8"/>
        <v>11.99</v>
      </c>
      <c r="H567" s="41" t="s">
        <v>25</v>
      </c>
      <c r="I567" s="41" t="s">
        <v>58</v>
      </c>
      <c r="J567" s="32"/>
    </row>
    <row r="568" spans="1:10" x14ac:dyDescent="0.2">
      <c r="A568" s="32"/>
      <c r="B568" s="42" t="s">
        <v>1053</v>
      </c>
      <c r="C568" s="43" t="s">
        <v>949</v>
      </c>
      <c r="D568" s="44" t="s">
        <v>1054</v>
      </c>
      <c r="E568" s="45">
        <v>1</v>
      </c>
      <c r="F568" s="46">
        <v>5.29</v>
      </c>
      <c r="G568" s="46">
        <f t="shared" si="8"/>
        <v>5.29</v>
      </c>
      <c r="H568" s="47" t="s">
        <v>28</v>
      </c>
      <c r="I568" s="47" t="s">
        <v>58</v>
      </c>
      <c r="J568" s="32"/>
    </row>
    <row r="569" spans="1:10" x14ac:dyDescent="0.2">
      <c r="A569" s="32"/>
      <c r="B569" s="36" t="s">
        <v>1055</v>
      </c>
      <c r="C569" s="37" t="s">
        <v>949</v>
      </c>
      <c r="D569" s="38" t="s">
        <v>1056</v>
      </c>
      <c r="E569" s="39">
        <v>1</v>
      </c>
      <c r="F569" s="40">
        <v>22.99</v>
      </c>
      <c r="G569" s="40">
        <f t="shared" si="8"/>
        <v>22.99</v>
      </c>
      <c r="H569" s="41" t="s">
        <v>24</v>
      </c>
      <c r="I569" s="41" t="s">
        <v>58</v>
      </c>
      <c r="J569" s="32"/>
    </row>
    <row r="570" spans="1:10" x14ac:dyDescent="0.2">
      <c r="A570" s="32"/>
      <c r="B570" s="42" t="s">
        <v>1057</v>
      </c>
      <c r="C570" s="43" t="s">
        <v>1058</v>
      </c>
      <c r="D570" s="44" t="s">
        <v>1059</v>
      </c>
      <c r="E570" s="45">
        <v>1</v>
      </c>
      <c r="F570" s="46">
        <v>32</v>
      </c>
      <c r="G570" s="46">
        <f t="shared" si="8"/>
        <v>32</v>
      </c>
      <c r="H570" s="47" t="s">
        <v>24</v>
      </c>
      <c r="I570" s="47" t="s">
        <v>58</v>
      </c>
      <c r="J570" s="32"/>
    </row>
    <row r="571" spans="1:10" x14ac:dyDescent="0.2">
      <c r="A571" s="32"/>
      <c r="B571" s="36" t="s">
        <v>1060</v>
      </c>
      <c r="C571" s="37" t="s">
        <v>1058</v>
      </c>
      <c r="D571" s="38" t="s">
        <v>41</v>
      </c>
      <c r="E571" s="39">
        <v>1</v>
      </c>
      <c r="F571" s="40">
        <v>11</v>
      </c>
      <c r="G571" s="40">
        <f t="shared" si="8"/>
        <v>11</v>
      </c>
      <c r="H571" s="41" t="s">
        <v>26</v>
      </c>
      <c r="I571" s="41" t="s">
        <v>58</v>
      </c>
      <c r="J571" s="32"/>
    </row>
    <row r="572" spans="1:10" x14ac:dyDescent="0.2">
      <c r="A572" s="32"/>
      <c r="B572" s="42" t="s">
        <v>1061</v>
      </c>
      <c r="C572" s="43" t="s">
        <v>1062</v>
      </c>
      <c r="D572" s="44" t="s">
        <v>466</v>
      </c>
      <c r="E572" s="45">
        <v>1</v>
      </c>
      <c r="F572" s="46">
        <v>84</v>
      </c>
      <c r="G572" s="46">
        <f t="shared" si="8"/>
        <v>84</v>
      </c>
      <c r="H572" s="47" t="s">
        <v>24</v>
      </c>
      <c r="I572" s="47" t="s">
        <v>58</v>
      </c>
      <c r="J572" s="32"/>
    </row>
    <row r="573" spans="1:10" x14ac:dyDescent="0.2">
      <c r="A573" s="32"/>
      <c r="B573" s="36" t="s">
        <v>1063</v>
      </c>
      <c r="C573" s="37" t="s">
        <v>1062</v>
      </c>
      <c r="D573" s="38" t="s">
        <v>41</v>
      </c>
      <c r="E573" s="39">
        <v>1</v>
      </c>
      <c r="F573" s="40">
        <v>11</v>
      </c>
      <c r="G573" s="40">
        <f t="shared" si="8"/>
        <v>11</v>
      </c>
      <c r="H573" s="41" t="s">
        <v>26</v>
      </c>
      <c r="I573" s="41" t="s">
        <v>58</v>
      </c>
      <c r="J573" s="32"/>
    </row>
    <row r="574" spans="1:10" x14ac:dyDescent="0.2">
      <c r="A574" s="32"/>
      <c r="B574" s="42" t="s">
        <v>1064</v>
      </c>
      <c r="C574" s="43" t="s">
        <v>1065</v>
      </c>
      <c r="D574" s="44" t="s">
        <v>1066</v>
      </c>
      <c r="E574" s="45">
        <v>1</v>
      </c>
      <c r="F574" s="46">
        <v>55</v>
      </c>
      <c r="G574" s="46">
        <f t="shared" si="8"/>
        <v>55</v>
      </c>
      <c r="H574" s="47" t="s">
        <v>24</v>
      </c>
      <c r="I574" s="47" t="s">
        <v>245</v>
      </c>
      <c r="J574" s="32"/>
    </row>
    <row r="575" spans="1:10" x14ac:dyDescent="0.2">
      <c r="A575" s="32"/>
      <c r="B575" s="36" t="s">
        <v>1067</v>
      </c>
      <c r="C575" s="37" t="s">
        <v>1065</v>
      </c>
      <c r="D575" s="38" t="s">
        <v>714</v>
      </c>
      <c r="E575" s="39">
        <v>1</v>
      </c>
      <c r="F575" s="40">
        <v>47</v>
      </c>
      <c r="G575" s="40">
        <f t="shared" si="8"/>
        <v>47</v>
      </c>
      <c r="H575" s="41" t="s">
        <v>24</v>
      </c>
      <c r="I575" s="41" t="s">
        <v>58</v>
      </c>
      <c r="J575" s="32"/>
    </row>
    <row r="576" spans="1:10" x14ac:dyDescent="0.2">
      <c r="A576" s="32"/>
      <c r="B576" s="42" t="s">
        <v>1068</v>
      </c>
      <c r="C576" s="43" t="s">
        <v>1065</v>
      </c>
      <c r="D576" s="44" t="s">
        <v>41</v>
      </c>
      <c r="E576" s="45">
        <v>1</v>
      </c>
      <c r="F576" s="46">
        <v>11</v>
      </c>
      <c r="G576" s="46">
        <f t="shared" si="8"/>
        <v>11</v>
      </c>
      <c r="H576" s="47" t="s">
        <v>26</v>
      </c>
      <c r="I576" s="47" t="s">
        <v>58</v>
      </c>
      <c r="J576" s="32"/>
    </row>
    <row r="577" spans="1:10" x14ac:dyDescent="0.2">
      <c r="A577" s="32"/>
      <c r="B577" s="36" t="s">
        <v>1069</v>
      </c>
      <c r="C577" s="37" t="s">
        <v>1070</v>
      </c>
      <c r="D577" s="38" t="s">
        <v>54</v>
      </c>
      <c r="E577" s="39">
        <v>1</v>
      </c>
      <c r="F577" s="40">
        <v>5.49</v>
      </c>
      <c r="G577" s="40">
        <f t="shared" si="8"/>
        <v>5.49</v>
      </c>
      <c r="H577" s="41" t="s">
        <v>26</v>
      </c>
      <c r="I577" s="41" t="s">
        <v>55</v>
      </c>
      <c r="J577" s="32"/>
    </row>
    <row r="578" spans="1:10" x14ac:dyDescent="0.2">
      <c r="A578" s="32"/>
      <c r="B578" s="42" t="s">
        <v>1071</v>
      </c>
      <c r="C578" s="43" t="s">
        <v>1070</v>
      </c>
      <c r="D578" s="44" t="s">
        <v>896</v>
      </c>
      <c r="E578" s="45">
        <v>1</v>
      </c>
      <c r="F578" s="46">
        <v>4.29</v>
      </c>
      <c r="G578" s="46">
        <f t="shared" si="8"/>
        <v>4.29</v>
      </c>
      <c r="H578" s="47" t="s">
        <v>24</v>
      </c>
      <c r="I578" s="47" t="s">
        <v>58</v>
      </c>
      <c r="J578" s="32"/>
    </row>
    <row r="579" spans="1:10" x14ac:dyDescent="0.2">
      <c r="A579" s="32"/>
      <c r="B579" s="36" t="s">
        <v>1072</v>
      </c>
      <c r="C579" s="37" t="s">
        <v>1073</v>
      </c>
      <c r="D579" s="38" t="s">
        <v>54</v>
      </c>
      <c r="E579" s="39">
        <v>1</v>
      </c>
      <c r="F579" s="40">
        <v>5.49</v>
      </c>
      <c r="G579" s="40">
        <f t="shared" si="8"/>
        <v>5.49</v>
      </c>
      <c r="H579" s="41" t="s">
        <v>26</v>
      </c>
      <c r="I579" s="41" t="s">
        <v>55</v>
      </c>
      <c r="J579" s="32"/>
    </row>
    <row r="580" spans="1:10" x14ac:dyDescent="0.2">
      <c r="A580" s="32"/>
      <c r="B580" s="42" t="s">
        <v>1074</v>
      </c>
      <c r="C580" s="43" t="s">
        <v>1073</v>
      </c>
      <c r="D580" s="44" t="s">
        <v>896</v>
      </c>
      <c r="E580" s="45">
        <v>1</v>
      </c>
      <c r="F580" s="46">
        <v>4.29</v>
      </c>
      <c r="G580" s="46">
        <f t="shared" si="8"/>
        <v>4.29</v>
      </c>
      <c r="H580" s="47" t="s">
        <v>24</v>
      </c>
      <c r="I580" s="47" t="s">
        <v>58</v>
      </c>
      <c r="J580" s="32"/>
    </row>
    <row r="581" spans="1:10" x14ac:dyDescent="0.2">
      <c r="A581" s="32"/>
      <c r="B581" s="36" t="s">
        <v>1075</v>
      </c>
      <c r="C581" s="37" t="s">
        <v>1073</v>
      </c>
      <c r="D581" s="38" t="s">
        <v>898</v>
      </c>
      <c r="E581" s="39">
        <v>1</v>
      </c>
      <c r="F581" s="40">
        <v>7.99</v>
      </c>
      <c r="G581" s="40">
        <f t="shared" ref="G581:G644" si="9">E581*F581</f>
        <v>7.99</v>
      </c>
      <c r="H581" s="41" t="s">
        <v>24</v>
      </c>
      <c r="I581" s="41" t="s">
        <v>58</v>
      </c>
      <c r="J581" s="32"/>
    </row>
    <row r="582" spans="1:10" x14ac:dyDescent="0.2">
      <c r="A582" s="32"/>
      <c r="B582" s="42" t="s">
        <v>1076</v>
      </c>
      <c r="C582" s="43" t="s">
        <v>1077</v>
      </c>
      <c r="D582" s="44" t="s">
        <v>54</v>
      </c>
      <c r="E582" s="45">
        <v>1</v>
      </c>
      <c r="F582" s="46">
        <v>7.49</v>
      </c>
      <c r="G582" s="46">
        <f t="shared" si="9"/>
        <v>7.49</v>
      </c>
      <c r="H582" s="47" t="s">
        <v>26</v>
      </c>
      <c r="I582" s="47" t="s">
        <v>55</v>
      </c>
      <c r="J582" s="32"/>
    </row>
    <row r="583" spans="1:10" x14ac:dyDescent="0.2">
      <c r="A583" s="32"/>
      <c r="B583" s="36" t="s">
        <v>1078</v>
      </c>
      <c r="C583" s="37" t="s">
        <v>1077</v>
      </c>
      <c r="D583" s="38" t="s">
        <v>896</v>
      </c>
      <c r="E583" s="39">
        <v>1</v>
      </c>
      <c r="F583" s="40">
        <v>4.29</v>
      </c>
      <c r="G583" s="40">
        <f t="shared" si="9"/>
        <v>4.29</v>
      </c>
      <c r="H583" s="41" t="s">
        <v>24</v>
      </c>
      <c r="I583" s="41" t="s">
        <v>58</v>
      </c>
      <c r="J583" s="32"/>
    </row>
    <row r="584" spans="1:10" x14ac:dyDescent="0.2">
      <c r="A584" s="32"/>
      <c r="B584" s="42" t="s">
        <v>1079</v>
      </c>
      <c r="C584" s="43" t="s">
        <v>946</v>
      </c>
      <c r="D584" s="44" t="s">
        <v>54</v>
      </c>
      <c r="E584" s="45">
        <v>1</v>
      </c>
      <c r="F584" s="46">
        <v>5.49</v>
      </c>
      <c r="G584" s="46">
        <f t="shared" si="9"/>
        <v>5.49</v>
      </c>
      <c r="H584" s="47" t="s">
        <v>26</v>
      </c>
      <c r="I584" s="47" t="s">
        <v>55</v>
      </c>
      <c r="J584" s="32"/>
    </row>
    <row r="585" spans="1:10" x14ac:dyDescent="0.2">
      <c r="A585" s="32"/>
      <c r="B585" s="36" t="s">
        <v>1080</v>
      </c>
      <c r="C585" s="37" t="s">
        <v>946</v>
      </c>
      <c r="D585" s="38" t="s">
        <v>896</v>
      </c>
      <c r="E585" s="39">
        <v>1</v>
      </c>
      <c r="F585" s="40">
        <v>4.29</v>
      </c>
      <c r="G585" s="40">
        <f t="shared" si="9"/>
        <v>4.29</v>
      </c>
      <c r="H585" s="41" t="s">
        <v>24</v>
      </c>
      <c r="I585" s="41" t="s">
        <v>58</v>
      </c>
      <c r="J585" s="32"/>
    </row>
    <row r="586" spans="1:10" x14ac:dyDescent="0.2">
      <c r="A586" s="32"/>
      <c r="B586" s="42" t="s">
        <v>1081</v>
      </c>
      <c r="C586" s="43" t="s">
        <v>1082</v>
      </c>
      <c r="D586" s="44" t="s">
        <v>54</v>
      </c>
      <c r="E586" s="45">
        <v>1</v>
      </c>
      <c r="F586" s="46">
        <v>5.49</v>
      </c>
      <c r="G586" s="46">
        <f t="shared" si="9"/>
        <v>5.49</v>
      </c>
      <c r="H586" s="47" t="s">
        <v>26</v>
      </c>
      <c r="I586" s="47" t="s">
        <v>55</v>
      </c>
      <c r="J586" s="32"/>
    </row>
    <row r="587" spans="1:10" x14ac:dyDescent="0.2">
      <c r="A587" s="32"/>
      <c r="B587" s="36" t="s">
        <v>1083</v>
      </c>
      <c r="C587" s="37" t="s">
        <v>1082</v>
      </c>
      <c r="D587" s="38" t="s">
        <v>896</v>
      </c>
      <c r="E587" s="39">
        <v>1</v>
      </c>
      <c r="F587" s="40">
        <v>4.29</v>
      </c>
      <c r="G587" s="40">
        <f t="shared" si="9"/>
        <v>4.29</v>
      </c>
      <c r="H587" s="41" t="s">
        <v>24</v>
      </c>
      <c r="I587" s="41" t="s">
        <v>58</v>
      </c>
      <c r="J587" s="32"/>
    </row>
    <row r="588" spans="1:10" x14ac:dyDescent="0.2">
      <c r="A588" s="32"/>
      <c r="B588" s="42" t="s">
        <v>1084</v>
      </c>
      <c r="C588" s="43" t="s">
        <v>946</v>
      </c>
      <c r="D588" s="44" t="s">
        <v>1085</v>
      </c>
      <c r="E588" s="45">
        <v>1</v>
      </c>
      <c r="F588" s="46">
        <v>13.92</v>
      </c>
      <c r="G588" s="46">
        <f t="shared" si="9"/>
        <v>13.92</v>
      </c>
      <c r="H588" s="47" t="s">
        <v>27</v>
      </c>
      <c r="I588" s="47" t="s">
        <v>1086</v>
      </c>
      <c r="J588" s="32"/>
    </row>
    <row r="589" spans="1:10" x14ac:dyDescent="0.2">
      <c r="A589" s="32"/>
      <c r="B589" s="36" t="s">
        <v>1087</v>
      </c>
      <c r="C589" s="37" t="s">
        <v>946</v>
      </c>
      <c r="D589" s="38" t="s">
        <v>1085</v>
      </c>
      <c r="E589" s="39">
        <v>1</v>
      </c>
      <c r="F589" s="40">
        <v>13.9</v>
      </c>
      <c r="G589" s="40">
        <f t="shared" si="9"/>
        <v>13.9</v>
      </c>
      <c r="H589" s="41" t="s">
        <v>27</v>
      </c>
      <c r="I589" s="41" t="s">
        <v>1086</v>
      </c>
      <c r="J589" s="32"/>
    </row>
    <row r="590" spans="1:10" x14ac:dyDescent="0.2">
      <c r="A590" s="32"/>
      <c r="B590" s="42" t="s">
        <v>1088</v>
      </c>
      <c r="C590" s="43" t="s">
        <v>946</v>
      </c>
      <c r="D590" s="44" t="s">
        <v>1085</v>
      </c>
      <c r="E590" s="45">
        <v>1</v>
      </c>
      <c r="F590" s="46">
        <v>13.9</v>
      </c>
      <c r="G590" s="46">
        <f t="shared" si="9"/>
        <v>13.9</v>
      </c>
      <c r="H590" s="47" t="s">
        <v>27</v>
      </c>
      <c r="I590" s="47" t="s">
        <v>1086</v>
      </c>
      <c r="J590" s="32"/>
    </row>
    <row r="591" spans="1:10" x14ac:dyDescent="0.2">
      <c r="A591" s="32"/>
      <c r="B591" s="36" t="s">
        <v>1089</v>
      </c>
      <c r="C591" s="37" t="s">
        <v>946</v>
      </c>
      <c r="D591" s="38" t="s">
        <v>1085</v>
      </c>
      <c r="E591" s="39">
        <v>1</v>
      </c>
      <c r="F591" s="40">
        <v>13.9</v>
      </c>
      <c r="G591" s="40">
        <f t="shared" si="9"/>
        <v>13.9</v>
      </c>
      <c r="H591" s="41" t="s">
        <v>27</v>
      </c>
      <c r="I591" s="41" t="s">
        <v>1086</v>
      </c>
      <c r="J591" s="32"/>
    </row>
    <row r="592" spans="1:10" x14ac:dyDescent="0.2">
      <c r="A592" s="32"/>
      <c r="B592" s="42" t="s">
        <v>1090</v>
      </c>
      <c r="C592" s="43" t="s">
        <v>1065</v>
      </c>
      <c r="D592" s="44" t="s">
        <v>1091</v>
      </c>
      <c r="E592" s="45">
        <v>1</v>
      </c>
      <c r="F592" s="46">
        <v>336.9</v>
      </c>
      <c r="G592" s="46">
        <f t="shared" si="9"/>
        <v>336.9</v>
      </c>
      <c r="H592" s="47" t="s">
        <v>24</v>
      </c>
      <c r="I592" s="47" t="s">
        <v>58</v>
      </c>
      <c r="J592" s="32"/>
    </row>
    <row r="593" spans="1:10" x14ac:dyDescent="0.2">
      <c r="A593" s="32"/>
      <c r="B593" s="36" t="s">
        <v>1092</v>
      </c>
      <c r="C593" s="37" t="s">
        <v>1093</v>
      </c>
      <c r="D593" s="38" t="s">
        <v>337</v>
      </c>
      <c r="E593" s="39">
        <v>1</v>
      </c>
      <c r="F593" s="40">
        <v>42</v>
      </c>
      <c r="G593" s="40">
        <f t="shared" si="9"/>
        <v>42</v>
      </c>
      <c r="H593" s="41" t="s">
        <v>24</v>
      </c>
      <c r="I593" s="41" t="s">
        <v>338</v>
      </c>
      <c r="J593" s="32"/>
    </row>
    <row r="594" spans="1:10" x14ac:dyDescent="0.2">
      <c r="A594" s="32"/>
      <c r="B594" s="42" t="s">
        <v>1094</v>
      </c>
      <c r="C594" s="43" t="s">
        <v>1093</v>
      </c>
      <c r="D594" s="44" t="s">
        <v>906</v>
      </c>
      <c r="E594" s="45">
        <v>1</v>
      </c>
      <c r="F594" s="46">
        <v>6</v>
      </c>
      <c r="G594" s="46">
        <f t="shared" si="9"/>
        <v>6</v>
      </c>
      <c r="H594" s="47" t="s">
        <v>24</v>
      </c>
      <c r="I594" s="47" t="s">
        <v>58</v>
      </c>
      <c r="J594" s="32"/>
    </row>
    <row r="595" spans="1:10" x14ac:dyDescent="0.2">
      <c r="A595" s="32"/>
      <c r="B595" s="36" t="s">
        <v>1095</v>
      </c>
      <c r="C595" s="37" t="s">
        <v>1093</v>
      </c>
      <c r="D595" s="38" t="s">
        <v>1096</v>
      </c>
      <c r="E595" s="39">
        <v>1</v>
      </c>
      <c r="F595" s="40">
        <v>9</v>
      </c>
      <c r="G595" s="40">
        <f t="shared" si="9"/>
        <v>9</v>
      </c>
      <c r="H595" s="41" t="s">
        <v>24</v>
      </c>
      <c r="I595" s="41" t="s">
        <v>58</v>
      </c>
      <c r="J595" s="32"/>
    </row>
    <row r="596" spans="1:10" x14ac:dyDescent="0.2">
      <c r="A596" s="32"/>
      <c r="B596" s="42" t="s">
        <v>1097</v>
      </c>
      <c r="C596" s="43" t="s">
        <v>1093</v>
      </c>
      <c r="D596" s="44" t="s">
        <v>1098</v>
      </c>
      <c r="E596" s="45">
        <v>1</v>
      </c>
      <c r="F596" s="46">
        <v>69</v>
      </c>
      <c r="G596" s="46">
        <f t="shared" si="9"/>
        <v>69</v>
      </c>
      <c r="H596" s="47" t="s">
        <v>24</v>
      </c>
      <c r="I596" s="47" t="s">
        <v>58</v>
      </c>
      <c r="J596" s="32"/>
    </row>
    <row r="597" spans="1:10" x14ac:dyDescent="0.2">
      <c r="A597" s="32"/>
      <c r="B597" s="36" t="s">
        <v>1099</v>
      </c>
      <c r="C597" s="37" t="s">
        <v>1093</v>
      </c>
      <c r="D597" s="38" t="s">
        <v>41</v>
      </c>
      <c r="E597" s="39">
        <v>1</v>
      </c>
      <c r="F597" s="40">
        <v>14</v>
      </c>
      <c r="G597" s="40">
        <f t="shared" si="9"/>
        <v>14</v>
      </c>
      <c r="H597" s="41" t="s">
        <v>26</v>
      </c>
      <c r="I597" s="41" t="s">
        <v>58</v>
      </c>
      <c r="J597" s="32"/>
    </row>
    <row r="598" spans="1:10" x14ac:dyDescent="0.2">
      <c r="A598" s="32"/>
      <c r="B598" s="42" t="s">
        <v>1100</v>
      </c>
      <c r="C598" s="43" t="s">
        <v>1101</v>
      </c>
      <c r="D598" s="44" t="s">
        <v>340</v>
      </c>
      <c r="E598" s="45">
        <v>1</v>
      </c>
      <c r="F598" s="46">
        <v>53</v>
      </c>
      <c r="G598" s="46">
        <f t="shared" si="9"/>
        <v>53</v>
      </c>
      <c r="H598" s="47" t="s">
        <v>24</v>
      </c>
      <c r="I598" s="47" t="s">
        <v>58</v>
      </c>
      <c r="J598" s="32"/>
    </row>
    <row r="599" spans="1:10" x14ac:dyDescent="0.2">
      <c r="A599" s="32"/>
      <c r="B599" s="36" t="s">
        <v>1102</v>
      </c>
      <c r="C599" s="37" t="s">
        <v>1101</v>
      </c>
      <c r="D599" s="38" t="s">
        <v>1103</v>
      </c>
      <c r="E599" s="39">
        <v>1</v>
      </c>
      <c r="F599" s="40">
        <v>70</v>
      </c>
      <c r="G599" s="40">
        <f t="shared" si="9"/>
        <v>70</v>
      </c>
      <c r="H599" s="41" t="s">
        <v>24</v>
      </c>
      <c r="I599" s="41" t="s">
        <v>58</v>
      </c>
      <c r="J599" s="32"/>
    </row>
    <row r="600" spans="1:10" x14ac:dyDescent="0.2">
      <c r="A600" s="32"/>
      <c r="B600" s="42" t="s">
        <v>1104</v>
      </c>
      <c r="C600" s="43" t="s">
        <v>1101</v>
      </c>
      <c r="D600" s="44" t="s">
        <v>41</v>
      </c>
      <c r="E600" s="45">
        <v>1</v>
      </c>
      <c r="F600" s="46">
        <v>14</v>
      </c>
      <c r="G600" s="46">
        <f t="shared" si="9"/>
        <v>14</v>
      </c>
      <c r="H600" s="47" t="s">
        <v>26</v>
      </c>
      <c r="I600" s="47" t="s">
        <v>58</v>
      </c>
      <c r="J600" s="32"/>
    </row>
    <row r="601" spans="1:10" x14ac:dyDescent="0.2">
      <c r="A601" s="32"/>
      <c r="B601" s="36" t="s">
        <v>1105</v>
      </c>
      <c r="C601" s="37" t="s">
        <v>1106</v>
      </c>
      <c r="D601" s="38" t="s">
        <v>54</v>
      </c>
      <c r="E601" s="39">
        <v>1</v>
      </c>
      <c r="F601" s="40">
        <v>5.49</v>
      </c>
      <c r="G601" s="40">
        <f t="shared" si="9"/>
        <v>5.49</v>
      </c>
      <c r="H601" s="41" t="s">
        <v>26</v>
      </c>
      <c r="I601" s="41" t="s">
        <v>55</v>
      </c>
      <c r="J601" s="32"/>
    </row>
    <row r="602" spans="1:10" x14ac:dyDescent="0.2">
      <c r="A602" s="32"/>
      <c r="B602" s="42" t="s">
        <v>1107</v>
      </c>
      <c r="C602" s="43" t="s">
        <v>1106</v>
      </c>
      <c r="D602" s="44" t="s">
        <v>1108</v>
      </c>
      <c r="E602" s="45">
        <v>1</v>
      </c>
      <c r="F602" s="46">
        <v>81.400000000000006</v>
      </c>
      <c r="G602" s="46">
        <f t="shared" si="9"/>
        <v>81.400000000000006</v>
      </c>
      <c r="H602" s="47" t="s">
        <v>24</v>
      </c>
      <c r="I602" s="47" t="s">
        <v>58</v>
      </c>
      <c r="J602" s="32"/>
    </row>
    <row r="603" spans="1:10" x14ac:dyDescent="0.2">
      <c r="A603" s="32"/>
      <c r="B603" s="36" t="s">
        <v>1109</v>
      </c>
      <c r="C603" s="37" t="s">
        <v>1110</v>
      </c>
      <c r="D603" s="38" t="s">
        <v>54</v>
      </c>
      <c r="E603" s="39">
        <v>1</v>
      </c>
      <c r="F603" s="40">
        <v>5.49</v>
      </c>
      <c r="G603" s="40">
        <f t="shared" si="9"/>
        <v>5.49</v>
      </c>
      <c r="H603" s="41" t="s">
        <v>26</v>
      </c>
      <c r="I603" s="41" t="s">
        <v>55</v>
      </c>
      <c r="J603" s="32"/>
    </row>
    <row r="604" spans="1:10" x14ac:dyDescent="0.2">
      <c r="A604" s="32"/>
      <c r="B604" s="42" t="s">
        <v>1111</v>
      </c>
      <c r="C604" s="43" t="s">
        <v>1110</v>
      </c>
      <c r="D604" s="44" t="s">
        <v>1112</v>
      </c>
      <c r="E604" s="45">
        <v>1</v>
      </c>
      <c r="F604" s="46">
        <v>63.87</v>
      </c>
      <c r="G604" s="46">
        <f t="shared" si="9"/>
        <v>63.87</v>
      </c>
      <c r="H604" s="47" t="s">
        <v>24</v>
      </c>
      <c r="I604" s="47" t="s">
        <v>58</v>
      </c>
      <c r="J604" s="32"/>
    </row>
    <row r="605" spans="1:10" x14ac:dyDescent="0.2">
      <c r="A605" s="32"/>
      <c r="B605" s="36" t="s">
        <v>1113</v>
      </c>
      <c r="C605" s="37" t="s">
        <v>1114</v>
      </c>
      <c r="D605" s="38" t="s">
        <v>337</v>
      </c>
      <c r="E605" s="39">
        <v>1</v>
      </c>
      <c r="F605" s="40">
        <v>42</v>
      </c>
      <c r="G605" s="40">
        <f t="shared" si="9"/>
        <v>42</v>
      </c>
      <c r="H605" s="41" t="s">
        <v>24</v>
      </c>
      <c r="I605" s="41" t="s">
        <v>338</v>
      </c>
      <c r="J605" s="32"/>
    </row>
    <row r="606" spans="1:10" x14ac:dyDescent="0.2">
      <c r="A606" s="32"/>
      <c r="B606" s="42" t="s">
        <v>1115</v>
      </c>
      <c r="C606" s="43" t="s">
        <v>1114</v>
      </c>
      <c r="D606" s="44" t="s">
        <v>41</v>
      </c>
      <c r="E606" s="45">
        <v>1</v>
      </c>
      <c r="F606" s="46">
        <v>14</v>
      </c>
      <c r="G606" s="46">
        <f t="shared" si="9"/>
        <v>14</v>
      </c>
      <c r="H606" s="47" t="s">
        <v>26</v>
      </c>
      <c r="I606" s="47" t="s">
        <v>58</v>
      </c>
      <c r="J606" s="32"/>
    </row>
    <row r="607" spans="1:10" x14ac:dyDescent="0.2">
      <c r="A607" s="32"/>
      <c r="B607" s="36" t="s">
        <v>1116</v>
      </c>
      <c r="C607" s="37" t="s">
        <v>1117</v>
      </c>
      <c r="D607" s="38" t="s">
        <v>337</v>
      </c>
      <c r="E607" s="39">
        <v>1</v>
      </c>
      <c r="F607" s="40">
        <v>42</v>
      </c>
      <c r="G607" s="40">
        <f t="shared" si="9"/>
        <v>42</v>
      </c>
      <c r="H607" s="41" t="s">
        <v>24</v>
      </c>
      <c r="I607" s="41" t="s">
        <v>338</v>
      </c>
      <c r="J607" s="32"/>
    </row>
    <row r="608" spans="1:10" x14ac:dyDescent="0.2">
      <c r="A608" s="32"/>
      <c r="B608" s="42" t="s">
        <v>1118</v>
      </c>
      <c r="C608" s="43" t="s">
        <v>1117</v>
      </c>
      <c r="D608" s="44" t="s">
        <v>340</v>
      </c>
      <c r="E608" s="45">
        <v>1</v>
      </c>
      <c r="F608" s="46">
        <v>53</v>
      </c>
      <c r="G608" s="46">
        <f t="shared" si="9"/>
        <v>53</v>
      </c>
      <c r="H608" s="47" t="s">
        <v>24</v>
      </c>
      <c r="I608" s="47" t="s">
        <v>58</v>
      </c>
      <c r="J608" s="32"/>
    </row>
    <row r="609" spans="1:10" x14ac:dyDescent="0.2">
      <c r="A609" s="32"/>
      <c r="B609" s="36" t="s">
        <v>1119</v>
      </c>
      <c r="C609" s="37" t="s">
        <v>1117</v>
      </c>
      <c r="D609" s="38" t="s">
        <v>41</v>
      </c>
      <c r="E609" s="39">
        <v>1</v>
      </c>
      <c r="F609" s="40">
        <v>14</v>
      </c>
      <c r="G609" s="40">
        <f t="shared" si="9"/>
        <v>14</v>
      </c>
      <c r="H609" s="41" t="s">
        <v>26</v>
      </c>
      <c r="I609" s="41" t="s">
        <v>58</v>
      </c>
      <c r="J609" s="32"/>
    </row>
    <row r="610" spans="1:10" x14ac:dyDescent="0.2">
      <c r="A610" s="32"/>
      <c r="B610" s="42" t="s">
        <v>1120</v>
      </c>
      <c r="C610" s="43" t="s">
        <v>1121</v>
      </c>
      <c r="D610" s="44" t="s">
        <v>337</v>
      </c>
      <c r="E610" s="45">
        <v>1</v>
      </c>
      <c r="F610" s="46">
        <v>42</v>
      </c>
      <c r="G610" s="46">
        <f t="shared" si="9"/>
        <v>42</v>
      </c>
      <c r="H610" s="47" t="s">
        <v>24</v>
      </c>
      <c r="I610" s="47" t="s">
        <v>338</v>
      </c>
      <c r="J610" s="32"/>
    </row>
    <row r="611" spans="1:10" x14ac:dyDescent="0.2">
      <c r="A611" s="32"/>
      <c r="B611" s="36" t="s">
        <v>1122</v>
      </c>
      <c r="C611" s="37" t="s">
        <v>1121</v>
      </c>
      <c r="D611" s="38" t="s">
        <v>906</v>
      </c>
      <c r="E611" s="39">
        <v>1</v>
      </c>
      <c r="F611" s="40">
        <v>6</v>
      </c>
      <c r="G611" s="40">
        <f t="shared" si="9"/>
        <v>6</v>
      </c>
      <c r="H611" s="41" t="s">
        <v>24</v>
      </c>
      <c r="I611" s="41" t="s">
        <v>58</v>
      </c>
      <c r="J611" s="32"/>
    </row>
    <row r="612" spans="1:10" x14ac:dyDescent="0.2">
      <c r="A612" s="32"/>
      <c r="B612" s="42" t="s">
        <v>1123</v>
      </c>
      <c r="C612" s="43" t="s">
        <v>1121</v>
      </c>
      <c r="D612" s="44" t="s">
        <v>41</v>
      </c>
      <c r="E612" s="45">
        <v>1</v>
      </c>
      <c r="F612" s="46">
        <v>14</v>
      </c>
      <c r="G612" s="46">
        <f t="shared" si="9"/>
        <v>14</v>
      </c>
      <c r="H612" s="47" t="s">
        <v>26</v>
      </c>
      <c r="I612" s="47" t="s">
        <v>58</v>
      </c>
      <c r="J612" s="32"/>
    </row>
    <row r="613" spans="1:10" x14ac:dyDescent="0.2">
      <c r="A613" s="32"/>
      <c r="B613" s="36" t="s">
        <v>1124</v>
      </c>
      <c r="C613" s="37" t="s">
        <v>1125</v>
      </c>
      <c r="D613" s="38" t="s">
        <v>337</v>
      </c>
      <c r="E613" s="39">
        <v>1</v>
      </c>
      <c r="F613" s="40">
        <v>42</v>
      </c>
      <c r="G613" s="40">
        <f t="shared" si="9"/>
        <v>42</v>
      </c>
      <c r="H613" s="41" t="s">
        <v>24</v>
      </c>
      <c r="I613" s="41" t="s">
        <v>338</v>
      </c>
      <c r="J613" s="32"/>
    </row>
    <row r="614" spans="1:10" x14ac:dyDescent="0.2">
      <c r="A614" s="32"/>
      <c r="B614" s="42" t="s">
        <v>1126</v>
      </c>
      <c r="C614" s="43" t="s">
        <v>1125</v>
      </c>
      <c r="D614" s="44" t="s">
        <v>340</v>
      </c>
      <c r="E614" s="45">
        <v>1</v>
      </c>
      <c r="F614" s="46">
        <v>53</v>
      </c>
      <c r="G614" s="46">
        <f t="shared" si="9"/>
        <v>53</v>
      </c>
      <c r="H614" s="47" t="s">
        <v>24</v>
      </c>
      <c r="I614" s="47" t="s">
        <v>58</v>
      </c>
      <c r="J614" s="32"/>
    </row>
    <row r="615" spans="1:10" x14ac:dyDescent="0.2">
      <c r="A615" s="32"/>
      <c r="B615" s="36" t="s">
        <v>1127</v>
      </c>
      <c r="C615" s="37" t="s">
        <v>1125</v>
      </c>
      <c r="D615" s="38" t="s">
        <v>906</v>
      </c>
      <c r="E615" s="39">
        <v>1</v>
      </c>
      <c r="F615" s="40">
        <v>6</v>
      </c>
      <c r="G615" s="40">
        <f t="shared" si="9"/>
        <v>6</v>
      </c>
      <c r="H615" s="41" t="s">
        <v>24</v>
      </c>
      <c r="I615" s="41" t="s">
        <v>58</v>
      </c>
      <c r="J615" s="32"/>
    </row>
    <row r="616" spans="1:10" x14ac:dyDescent="0.2">
      <c r="A616" s="32"/>
      <c r="B616" s="42" t="s">
        <v>1128</v>
      </c>
      <c r="C616" s="43" t="s">
        <v>1125</v>
      </c>
      <c r="D616" s="44" t="s">
        <v>41</v>
      </c>
      <c r="E616" s="45">
        <v>1</v>
      </c>
      <c r="F616" s="46">
        <v>14</v>
      </c>
      <c r="G616" s="46">
        <f t="shared" si="9"/>
        <v>14</v>
      </c>
      <c r="H616" s="47" t="s">
        <v>26</v>
      </c>
      <c r="I616" s="47" t="s">
        <v>58</v>
      </c>
      <c r="J616" s="32"/>
    </row>
    <row r="617" spans="1:10" x14ac:dyDescent="0.2">
      <c r="A617" s="32"/>
      <c r="B617" s="36" t="s">
        <v>1129</v>
      </c>
      <c r="C617" s="37" t="s">
        <v>1130</v>
      </c>
      <c r="D617" s="38" t="s">
        <v>1131</v>
      </c>
      <c r="E617" s="39">
        <v>1</v>
      </c>
      <c r="F617" s="40">
        <v>15.9</v>
      </c>
      <c r="G617" s="40">
        <f t="shared" si="9"/>
        <v>15.9</v>
      </c>
      <c r="H617" s="41" t="s">
        <v>24</v>
      </c>
      <c r="I617" s="41" t="s">
        <v>58</v>
      </c>
      <c r="J617" s="32"/>
    </row>
    <row r="618" spans="1:10" x14ac:dyDescent="0.2">
      <c r="A618" s="32"/>
      <c r="B618" s="42" t="s">
        <v>1132</v>
      </c>
      <c r="C618" s="43" t="s">
        <v>1130</v>
      </c>
      <c r="D618" s="44" t="s">
        <v>1133</v>
      </c>
      <c r="E618" s="45">
        <v>1</v>
      </c>
      <c r="F618" s="46">
        <v>9.9</v>
      </c>
      <c r="G618" s="46">
        <f t="shared" si="9"/>
        <v>9.9</v>
      </c>
      <c r="H618" s="47" t="s">
        <v>24</v>
      </c>
      <c r="I618" s="47" t="s">
        <v>58</v>
      </c>
      <c r="J618" s="32"/>
    </row>
    <row r="619" spans="1:10" x14ac:dyDescent="0.2">
      <c r="A619" s="32"/>
      <c r="B619" s="36" t="s">
        <v>1134</v>
      </c>
      <c r="C619" s="37" t="s">
        <v>1130</v>
      </c>
      <c r="D619" s="38" t="s">
        <v>41</v>
      </c>
      <c r="E619" s="39">
        <v>1</v>
      </c>
      <c r="F619" s="40">
        <v>9.9</v>
      </c>
      <c r="G619" s="40">
        <f t="shared" si="9"/>
        <v>9.9</v>
      </c>
      <c r="H619" s="41" t="s">
        <v>26</v>
      </c>
      <c r="I619" s="41" t="s">
        <v>58</v>
      </c>
      <c r="J619" s="32"/>
    </row>
    <row r="620" spans="1:10" x14ac:dyDescent="0.2">
      <c r="A620" s="32"/>
      <c r="B620" s="42" t="s">
        <v>1135</v>
      </c>
      <c r="C620" s="43" t="s">
        <v>1136</v>
      </c>
      <c r="D620" s="44" t="s">
        <v>1131</v>
      </c>
      <c r="E620" s="45">
        <v>1</v>
      </c>
      <c r="F620" s="46">
        <v>15.9</v>
      </c>
      <c r="G620" s="46">
        <f t="shared" si="9"/>
        <v>15.9</v>
      </c>
      <c r="H620" s="47" t="s">
        <v>24</v>
      </c>
      <c r="I620" s="47" t="s">
        <v>58</v>
      </c>
      <c r="J620" s="32"/>
    </row>
    <row r="621" spans="1:10" x14ac:dyDescent="0.2">
      <c r="A621" s="32"/>
      <c r="B621" s="36" t="s">
        <v>1137</v>
      </c>
      <c r="C621" s="37" t="s">
        <v>1136</v>
      </c>
      <c r="D621" s="38" t="s">
        <v>41</v>
      </c>
      <c r="E621" s="39">
        <v>1</v>
      </c>
      <c r="F621" s="40">
        <v>9.9</v>
      </c>
      <c r="G621" s="40">
        <f t="shared" si="9"/>
        <v>9.9</v>
      </c>
      <c r="H621" s="41" t="s">
        <v>26</v>
      </c>
      <c r="I621" s="41" t="s">
        <v>58</v>
      </c>
      <c r="J621" s="32"/>
    </row>
    <row r="622" spans="1:10" x14ac:dyDescent="0.2">
      <c r="A622" s="32"/>
      <c r="B622" s="42" t="s">
        <v>1138</v>
      </c>
      <c r="C622" s="43" t="s">
        <v>1139</v>
      </c>
      <c r="D622" s="44" t="s">
        <v>1133</v>
      </c>
      <c r="E622" s="45">
        <v>1</v>
      </c>
      <c r="F622" s="46">
        <v>9.9</v>
      </c>
      <c r="G622" s="46">
        <f t="shared" si="9"/>
        <v>9.9</v>
      </c>
      <c r="H622" s="47" t="s">
        <v>24</v>
      </c>
      <c r="I622" s="47" t="s">
        <v>58</v>
      </c>
      <c r="J622" s="32"/>
    </row>
    <row r="623" spans="1:10" x14ac:dyDescent="0.2">
      <c r="A623" s="32"/>
      <c r="B623" s="36" t="s">
        <v>1140</v>
      </c>
      <c r="C623" s="37" t="s">
        <v>1139</v>
      </c>
      <c r="D623" s="38" t="s">
        <v>1141</v>
      </c>
      <c r="E623" s="39">
        <v>1</v>
      </c>
      <c r="F623" s="40">
        <v>27.9</v>
      </c>
      <c r="G623" s="40">
        <f t="shared" si="9"/>
        <v>27.9</v>
      </c>
      <c r="H623" s="41" t="s">
        <v>24</v>
      </c>
      <c r="I623" s="41" t="s">
        <v>58</v>
      </c>
      <c r="J623" s="32"/>
    </row>
    <row r="624" spans="1:10" x14ac:dyDescent="0.2">
      <c r="A624" s="32"/>
      <c r="B624" s="42" t="s">
        <v>1142</v>
      </c>
      <c r="C624" s="43" t="s">
        <v>1139</v>
      </c>
      <c r="D624" s="44" t="s">
        <v>1143</v>
      </c>
      <c r="E624" s="45">
        <v>1</v>
      </c>
      <c r="F624" s="46">
        <v>12.9</v>
      </c>
      <c r="G624" s="46">
        <f t="shared" si="9"/>
        <v>12.9</v>
      </c>
      <c r="H624" s="47" t="s">
        <v>24</v>
      </c>
      <c r="I624" s="47" t="s">
        <v>58</v>
      </c>
      <c r="J624" s="32"/>
    </row>
    <row r="625" spans="1:10" x14ac:dyDescent="0.2">
      <c r="A625" s="32"/>
      <c r="B625" s="36" t="s">
        <v>1144</v>
      </c>
      <c r="C625" s="37" t="s">
        <v>1139</v>
      </c>
      <c r="D625" s="38" t="s">
        <v>41</v>
      </c>
      <c r="E625" s="39">
        <v>1</v>
      </c>
      <c r="F625" s="40">
        <v>9.9</v>
      </c>
      <c r="G625" s="40">
        <f t="shared" si="9"/>
        <v>9.9</v>
      </c>
      <c r="H625" s="41" t="s">
        <v>26</v>
      </c>
      <c r="I625" s="41" t="s">
        <v>58</v>
      </c>
      <c r="J625" s="32"/>
    </row>
    <row r="626" spans="1:10" x14ac:dyDescent="0.2">
      <c r="A626" s="32"/>
      <c r="B626" s="42" t="s">
        <v>1145</v>
      </c>
      <c r="C626" s="43" t="s">
        <v>1146</v>
      </c>
      <c r="D626" s="44" t="s">
        <v>1143</v>
      </c>
      <c r="E626" s="45">
        <v>1</v>
      </c>
      <c r="F626" s="46">
        <v>12.9</v>
      </c>
      <c r="G626" s="46">
        <f t="shared" si="9"/>
        <v>12.9</v>
      </c>
      <c r="H626" s="47" t="s">
        <v>24</v>
      </c>
      <c r="I626" s="47" t="s">
        <v>58</v>
      </c>
      <c r="J626" s="32"/>
    </row>
    <row r="627" spans="1:10" x14ac:dyDescent="0.2">
      <c r="A627" s="32"/>
      <c r="B627" s="36" t="s">
        <v>1147</v>
      </c>
      <c r="C627" s="37" t="s">
        <v>1146</v>
      </c>
      <c r="D627" s="38" t="s">
        <v>41</v>
      </c>
      <c r="E627" s="39">
        <v>1</v>
      </c>
      <c r="F627" s="40">
        <v>9.9</v>
      </c>
      <c r="G627" s="40">
        <f t="shared" si="9"/>
        <v>9.9</v>
      </c>
      <c r="H627" s="41" t="s">
        <v>26</v>
      </c>
      <c r="I627" s="41" t="s">
        <v>58</v>
      </c>
      <c r="J627" s="32"/>
    </row>
    <row r="628" spans="1:10" x14ac:dyDescent="0.2">
      <c r="A628" s="32"/>
      <c r="B628" s="42" t="s">
        <v>1148</v>
      </c>
      <c r="C628" s="43" t="s">
        <v>1149</v>
      </c>
      <c r="D628" s="44" t="s">
        <v>1150</v>
      </c>
      <c r="E628" s="45">
        <v>1</v>
      </c>
      <c r="F628" s="46">
        <v>26</v>
      </c>
      <c r="G628" s="46">
        <f t="shared" si="9"/>
        <v>26</v>
      </c>
      <c r="H628" s="47" t="s">
        <v>24</v>
      </c>
      <c r="I628" s="47" t="s">
        <v>58</v>
      </c>
      <c r="J628" s="32"/>
    </row>
    <row r="629" spans="1:10" x14ac:dyDescent="0.2">
      <c r="A629" s="32"/>
      <c r="B629" s="36" t="s">
        <v>1151</v>
      </c>
      <c r="C629" s="37" t="s">
        <v>1149</v>
      </c>
      <c r="D629" s="38" t="s">
        <v>1131</v>
      </c>
      <c r="E629" s="39">
        <v>1</v>
      </c>
      <c r="F629" s="40">
        <v>15.9</v>
      </c>
      <c r="G629" s="40">
        <f t="shared" si="9"/>
        <v>15.9</v>
      </c>
      <c r="H629" s="41" t="s">
        <v>24</v>
      </c>
      <c r="I629" s="41" t="s">
        <v>58</v>
      </c>
      <c r="J629" s="32"/>
    </row>
    <row r="630" spans="1:10" x14ac:dyDescent="0.2">
      <c r="A630" s="32"/>
      <c r="B630" s="42" t="s">
        <v>1152</v>
      </c>
      <c r="C630" s="43" t="s">
        <v>1149</v>
      </c>
      <c r="D630" s="44" t="s">
        <v>41</v>
      </c>
      <c r="E630" s="45">
        <v>1</v>
      </c>
      <c r="F630" s="46">
        <v>9.9</v>
      </c>
      <c r="G630" s="46">
        <f t="shared" si="9"/>
        <v>9.9</v>
      </c>
      <c r="H630" s="47" t="s">
        <v>26</v>
      </c>
      <c r="I630" s="47" t="s">
        <v>58</v>
      </c>
      <c r="J630" s="32"/>
    </row>
    <row r="631" spans="1:10" x14ac:dyDescent="0.2">
      <c r="A631" s="32"/>
      <c r="B631" s="36" t="s">
        <v>1153</v>
      </c>
      <c r="C631" s="37" t="s">
        <v>1154</v>
      </c>
      <c r="D631" s="38" t="s">
        <v>1150</v>
      </c>
      <c r="E631" s="39">
        <v>1</v>
      </c>
      <c r="F631" s="40">
        <v>26</v>
      </c>
      <c r="G631" s="40">
        <f t="shared" si="9"/>
        <v>26</v>
      </c>
      <c r="H631" s="41" t="s">
        <v>24</v>
      </c>
      <c r="I631" s="41" t="s">
        <v>58</v>
      </c>
      <c r="J631" s="32"/>
    </row>
    <row r="632" spans="1:10" x14ac:dyDescent="0.2">
      <c r="A632" s="32"/>
      <c r="B632" s="42" t="s">
        <v>1155</v>
      </c>
      <c r="C632" s="43" t="s">
        <v>1154</v>
      </c>
      <c r="D632" s="44" t="s">
        <v>1131</v>
      </c>
      <c r="E632" s="45">
        <v>1</v>
      </c>
      <c r="F632" s="46">
        <v>15.9</v>
      </c>
      <c r="G632" s="46">
        <f t="shared" si="9"/>
        <v>15.9</v>
      </c>
      <c r="H632" s="47" t="s">
        <v>24</v>
      </c>
      <c r="I632" s="47" t="s">
        <v>58</v>
      </c>
      <c r="J632" s="32"/>
    </row>
    <row r="633" spans="1:10" x14ac:dyDescent="0.2">
      <c r="A633" s="32"/>
      <c r="B633" s="36" t="s">
        <v>1156</v>
      </c>
      <c r="C633" s="37" t="s">
        <v>1154</v>
      </c>
      <c r="D633" s="38" t="s">
        <v>41</v>
      </c>
      <c r="E633" s="39">
        <v>1</v>
      </c>
      <c r="F633" s="40">
        <v>9.9</v>
      </c>
      <c r="G633" s="40">
        <f t="shared" si="9"/>
        <v>9.9</v>
      </c>
      <c r="H633" s="41" t="s">
        <v>26</v>
      </c>
      <c r="I633" s="41" t="s">
        <v>58</v>
      </c>
      <c r="J633" s="32"/>
    </row>
    <row r="634" spans="1:10" x14ac:dyDescent="0.2">
      <c r="A634" s="32"/>
      <c r="B634" s="42" t="s">
        <v>1157</v>
      </c>
      <c r="C634" s="43" t="s">
        <v>1158</v>
      </c>
      <c r="D634" s="44" t="s">
        <v>1131</v>
      </c>
      <c r="E634" s="45">
        <v>1</v>
      </c>
      <c r="F634" s="46">
        <v>15.9</v>
      </c>
      <c r="G634" s="46">
        <f t="shared" si="9"/>
        <v>15.9</v>
      </c>
      <c r="H634" s="47" t="s">
        <v>24</v>
      </c>
      <c r="I634" s="47" t="s">
        <v>58</v>
      </c>
      <c r="J634" s="32"/>
    </row>
    <row r="635" spans="1:10" x14ac:dyDescent="0.2">
      <c r="A635" s="32"/>
      <c r="B635" s="36" t="s">
        <v>1159</v>
      </c>
      <c r="C635" s="37" t="s">
        <v>1158</v>
      </c>
      <c r="D635" s="38" t="s">
        <v>41</v>
      </c>
      <c r="E635" s="39">
        <v>1</v>
      </c>
      <c r="F635" s="40">
        <v>9.9</v>
      </c>
      <c r="G635" s="40">
        <f t="shared" si="9"/>
        <v>9.9</v>
      </c>
      <c r="H635" s="41" t="s">
        <v>26</v>
      </c>
      <c r="I635" s="41" t="s">
        <v>58</v>
      </c>
      <c r="J635" s="32"/>
    </row>
    <row r="636" spans="1:10" x14ac:dyDescent="0.2">
      <c r="A636" s="32"/>
      <c r="B636" s="42" t="s">
        <v>1160</v>
      </c>
      <c r="C636" s="43" t="s">
        <v>1161</v>
      </c>
      <c r="D636" s="44" t="s">
        <v>1162</v>
      </c>
      <c r="E636" s="45">
        <v>1</v>
      </c>
      <c r="F636" s="46">
        <v>47.9</v>
      </c>
      <c r="G636" s="46">
        <f t="shared" si="9"/>
        <v>47.9</v>
      </c>
      <c r="H636" s="47" t="s">
        <v>24</v>
      </c>
      <c r="I636" s="47" t="s">
        <v>58</v>
      </c>
      <c r="J636" s="32"/>
    </row>
    <row r="637" spans="1:10" x14ac:dyDescent="0.2">
      <c r="A637" s="32"/>
      <c r="B637" s="36" t="s">
        <v>1163</v>
      </c>
      <c r="C637" s="37" t="s">
        <v>1161</v>
      </c>
      <c r="D637" s="38" t="s">
        <v>1164</v>
      </c>
      <c r="E637" s="39">
        <v>1</v>
      </c>
      <c r="F637" s="40">
        <v>7.5</v>
      </c>
      <c r="G637" s="40">
        <f t="shared" si="9"/>
        <v>7.5</v>
      </c>
      <c r="H637" s="41" t="s">
        <v>24</v>
      </c>
      <c r="I637" s="41" t="s">
        <v>58</v>
      </c>
      <c r="J637" s="32"/>
    </row>
    <row r="638" spans="1:10" x14ac:dyDescent="0.2">
      <c r="A638" s="32"/>
      <c r="B638" s="42" t="s">
        <v>1165</v>
      </c>
      <c r="C638" s="43" t="s">
        <v>1161</v>
      </c>
      <c r="D638" s="44" t="s">
        <v>1166</v>
      </c>
      <c r="E638" s="45">
        <v>1</v>
      </c>
      <c r="F638" s="46">
        <v>24.9</v>
      </c>
      <c r="G638" s="46">
        <f t="shared" si="9"/>
        <v>24.9</v>
      </c>
      <c r="H638" s="47" t="s">
        <v>24</v>
      </c>
      <c r="I638" s="47" t="s">
        <v>58</v>
      </c>
      <c r="J638" s="32"/>
    </row>
    <row r="639" spans="1:10" x14ac:dyDescent="0.2">
      <c r="A639" s="32"/>
      <c r="B639" s="36" t="s">
        <v>1167</v>
      </c>
      <c r="C639" s="37" t="s">
        <v>1161</v>
      </c>
      <c r="D639" s="38" t="s">
        <v>1168</v>
      </c>
      <c r="E639" s="39">
        <v>1</v>
      </c>
      <c r="F639" s="40">
        <v>10.5</v>
      </c>
      <c r="G639" s="40">
        <f t="shared" si="9"/>
        <v>10.5</v>
      </c>
      <c r="H639" s="41" t="s">
        <v>24</v>
      </c>
      <c r="I639" s="41" t="s">
        <v>58</v>
      </c>
      <c r="J639" s="32"/>
    </row>
    <row r="640" spans="1:10" x14ac:dyDescent="0.2">
      <c r="A640" s="32"/>
      <c r="B640" s="42" t="s">
        <v>1169</v>
      </c>
      <c r="C640" s="43" t="s">
        <v>1154</v>
      </c>
      <c r="D640" s="44" t="s">
        <v>1170</v>
      </c>
      <c r="E640" s="45">
        <v>1</v>
      </c>
      <c r="F640" s="46">
        <v>43.9</v>
      </c>
      <c r="G640" s="46">
        <f t="shared" si="9"/>
        <v>43.9</v>
      </c>
      <c r="H640" s="47" t="s">
        <v>24</v>
      </c>
      <c r="I640" s="47" t="s">
        <v>58</v>
      </c>
      <c r="J640" s="32"/>
    </row>
    <row r="641" spans="1:10" x14ac:dyDescent="0.2">
      <c r="A641" s="32"/>
      <c r="B641" s="36" t="s">
        <v>1171</v>
      </c>
      <c r="C641" s="37" t="s">
        <v>1154</v>
      </c>
      <c r="D641" s="38" t="s">
        <v>1172</v>
      </c>
      <c r="E641" s="39">
        <v>1</v>
      </c>
      <c r="F641" s="40">
        <v>33.9</v>
      </c>
      <c r="G641" s="40">
        <f t="shared" si="9"/>
        <v>33.9</v>
      </c>
      <c r="H641" s="41" t="s">
        <v>24</v>
      </c>
      <c r="I641" s="41" t="s">
        <v>58</v>
      </c>
      <c r="J641" s="32"/>
    </row>
    <row r="642" spans="1:10" x14ac:dyDescent="0.2">
      <c r="A642" s="32"/>
      <c r="B642" s="42" t="s">
        <v>1173</v>
      </c>
      <c r="C642" s="43" t="s">
        <v>1174</v>
      </c>
      <c r="D642" s="44" t="s">
        <v>1175</v>
      </c>
      <c r="E642" s="45">
        <v>1</v>
      </c>
      <c r="F642" s="46">
        <v>44.46</v>
      </c>
      <c r="G642" s="46">
        <f t="shared" si="9"/>
        <v>44.46</v>
      </c>
      <c r="H642" s="47" t="s">
        <v>24</v>
      </c>
      <c r="I642" s="47" t="s">
        <v>58</v>
      </c>
      <c r="J642" s="32"/>
    </row>
    <row r="643" spans="1:10" x14ac:dyDescent="0.2">
      <c r="A643" s="32"/>
      <c r="B643" s="36" t="s">
        <v>1176</v>
      </c>
      <c r="C643" s="37" t="s">
        <v>1174</v>
      </c>
      <c r="D643" s="38" t="s">
        <v>1177</v>
      </c>
      <c r="E643" s="39">
        <v>1</v>
      </c>
      <c r="F643" s="40">
        <v>131.75</v>
      </c>
      <c r="G643" s="40">
        <f t="shared" si="9"/>
        <v>131.75</v>
      </c>
      <c r="H643" s="41" t="s">
        <v>24</v>
      </c>
      <c r="I643" s="41" t="s">
        <v>58</v>
      </c>
      <c r="J643" s="32"/>
    </row>
    <row r="644" spans="1:10" x14ac:dyDescent="0.2">
      <c r="A644" s="32"/>
      <c r="B644" s="42" t="s">
        <v>1178</v>
      </c>
      <c r="C644" s="43" t="s">
        <v>1179</v>
      </c>
      <c r="D644" s="44" t="s">
        <v>504</v>
      </c>
      <c r="E644" s="45">
        <v>1</v>
      </c>
      <c r="F644" s="46">
        <v>59</v>
      </c>
      <c r="G644" s="46">
        <f t="shared" si="9"/>
        <v>59</v>
      </c>
      <c r="H644" s="47" t="s">
        <v>24</v>
      </c>
      <c r="I644" s="47" t="s">
        <v>58</v>
      </c>
      <c r="J644" s="32"/>
    </row>
    <row r="645" spans="1:10" x14ac:dyDescent="0.2">
      <c r="A645" s="32"/>
      <c r="B645" s="36" t="s">
        <v>1180</v>
      </c>
      <c r="C645" s="37" t="s">
        <v>1179</v>
      </c>
      <c r="D645" s="38" t="s">
        <v>906</v>
      </c>
      <c r="E645" s="39">
        <v>1</v>
      </c>
      <c r="F645" s="40">
        <v>6</v>
      </c>
      <c r="G645" s="40">
        <f t="shared" ref="G645:G708" si="10">E645*F645</f>
        <v>6</v>
      </c>
      <c r="H645" s="41" t="s">
        <v>24</v>
      </c>
      <c r="I645" s="41" t="s">
        <v>58</v>
      </c>
      <c r="J645" s="32"/>
    </row>
    <row r="646" spans="1:10" x14ac:dyDescent="0.2">
      <c r="A646" s="32"/>
      <c r="B646" s="42" t="s">
        <v>1181</v>
      </c>
      <c r="C646" s="43" t="s">
        <v>1179</v>
      </c>
      <c r="D646" s="44" t="s">
        <v>41</v>
      </c>
      <c r="E646" s="45">
        <v>1</v>
      </c>
      <c r="F646" s="46">
        <v>14</v>
      </c>
      <c r="G646" s="46">
        <f t="shared" si="10"/>
        <v>14</v>
      </c>
      <c r="H646" s="47" t="s">
        <v>26</v>
      </c>
      <c r="I646" s="47" t="s">
        <v>58</v>
      </c>
      <c r="J646" s="32"/>
    </row>
    <row r="647" spans="1:10" x14ac:dyDescent="0.2">
      <c r="A647" s="32"/>
      <c r="B647" s="36" t="s">
        <v>1182</v>
      </c>
      <c r="C647" s="37" t="s">
        <v>1183</v>
      </c>
      <c r="D647" s="38" t="s">
        <v>340</v>
      </c>
      <c r="E647" s="39">
        <v>1</v>
      </c>
      <c r="F647" s="40">
        <v>55</v>
      </c>
      <c r="G647" s="40">
        <f t="shared" si="10"/>
        <v>55</v>
      </c>
      <c r="H647" s="41" t="s">
        <v>24</v>
      </c>
      <c r="I647" s="41" t="s">
        <v>58</v>
      </c>
      <c r="J647" s="32"/>
    </row>
    <row r="648" spans="1:10" x14ac:dyDescent="0.2">
      <c r="A648" s="32"/>
      <c r="B648" s="42" t="s">
        <v>1184</v>
      </c>
      <c r="C648" s="43" t="s">
        <v>1183</v>
      </c>
      <c r="D648" s="44" t="s">
        <v>41</v>
      </c>
      <c r="E648" s="45">
        <v>1</v>
      </c>
      <c r="F648" s="46">
        <v>14</v>
      </c>
      <c r="G648" s="46">
        <f t="shared" si="10"/>
        <v>14</v>
      </c>
      <c r="H648" s="47" t="s">
        <v>26</v>
      </c>
      <c r="I648" s="47" t="s">
        <v>58</v>
      </c>
      <c r="J648" s="32"/>
    </row>
    <row r="649" spans="1:10" x14ac:dyDescent="0.2">
      <c r="A649" s="32"/>
      <c r="B649" s="36" t="s">
        <v>1185</v>
      </c>
      <c r="C649" s="37" t="s">
        <v>1186</v>
      </c>
      <c r="D649" s="38" t="s">
        <v>1131</v>
      </c>
      <c r="E649" s="39">
        <v>1</v>
      </c>
      <c r="F649" s="40">
        <v>15.9</v>
      </c>
      <c r="G649" s="40">
        <f t="shared" si="10"/>
        <v>15.9</v>
      </c>
      <c r="H649" s="41" t="s">
        <v>24</v>
      </c>
      <c r="I649" s="41" t="s">
        <v>58</v>
      </c>
      <c r="J649" s="32"/>
    </row>
    <row r="650" spans="1:10" x14ac:dyDescent="0.2">
      <c r="A650" s="32"/>
      <c r="B650" s="42" t="s">
        <v>1187</v>
      </c>
      <c r="C650" s="43" t="s">
        <v>1186</v>
      </c>
      <c r="D650" s="44" t="s">
        <v>41</v>
      </c>
      <c r="E650" s="45">
        <v>1</v>
      </c>
      <c r="F650" s="46">
        <v>9.9</v>
      </c>
      <c r="G650" s="46">
        <f t="shared" si="10"/>
        <v>9.9</v>
      </c>
      <c r="H650" s="47" t="s">
        <v>26</v>
      </c>
      <c r="I650" s="47" t="s">
        <v>58</v>
      </c>
      <c r="J650" s="32"/>
    </row>
    <row r="651" spans="1:10" x14ac:dyDescent="0.2">
      <c r="A651" s="32"/>
      <c r="B651" s="36" t="s">
        <v>1188</v>
      </c>
      <c r="C651" s="37" t="s">
        <v>1189</v>
      </c>
      <c r="D651" s="38" t="s">
        <v>1190</v>
      </c>
      <c r="E651" s="39">
        <v>1</v>
      </c>
      <c r="F651" s="40">
        <v>7.5</v>
      </c>
      <c r="G651" s="40">
        <f t="shared" si="10"/>
        <v>7.5</v>
      </c>
      <c r="H651" s="41" t="s">
        <v>24</v>
      </c>
      <c r="I651" s="41" t="s">
        <v>58</v>
      </c>
      <c r="J651" s="32"/>
    </row>
    <row r="652" spans="1:10" x14ac:dyDescent="0.2">
      <c r="A652" s="32"/>
      <c r="B652" s="42" t="s">
        <v>1191</v>
      </c>
      <c r="C652" s="43" t="s">
        <v>1189</v>
      </c>
      <c r="D652" s="44" t="s">
        <v>1143</v>
      </c>
      <c r="E652" s="45">
        <v>1</v>
      </c>
      <c r="F652" s="46">
        <v>12.9</v>
      </c>
      <c r="G652" s="46">
        <f t="shared" si="10"/>
        <v>12.9</v>
      </c>
      <c r="H652" s="47" t="s">
        <v>24</v>
      </c>
      <c r="I652" s="47" t="s">
        <v>58</v>
      </c>
      <c r="J652" s="32"/>
    </row>
    <row r="653" spans="1:10" x14ac:dyDescent="0.2">
      <c r="A653" s="32"/>
      <c r="B653" s="36" t="s">
        <v>1192</v>
      </c>
      <c r="C653" s="37" t="s">
        <v>1189</v>
      </c>
      <c r="D653" s="38" t="s">
        <v>41</v>
      </c>
      <c r="E653" s="39">
        <v>1</v>
      </c>
      <c r="F653" s="40">
        <v>9.9</v>
      </c>
      <c r="G653" s="40">
        <f t="shared" si="10"/>
        <v>9.9</v>
      </c>
      <c r="H653" s="41" t="s">
        <v>26</v>
      </c>
      <c r="I653" s="41" t="s">
        <v>58</v>
      </c>
      <c r="J653" s="32"/>
    </row>
    <row r="654" spans="1:10" x14ac:dyDescent="0.2">
      <c r="A654" s="32"/>
      <c r="B654" s="42" t="s">
        <v>1193</v>
      </c>
      <c r="C654" s="43" t="s">
        <v>1194</v>
      </c>
      <c r="D654" s="44" t="s">
        <v>485</v>
      </c>
      <c r="E654" s="45">
        <v>1</v>
      </c>
      <c r="F654" s="46">
        <v>47.5</v>
      </c>
      <c r="G654" s="46">
        <f t="shared" si="10"/>
        <v>47.5</v>
      </c>
      <c r="H654" s="47" t="s">
        <v>24</v>
      </c>
      <c r="I654" s="47" t="s">
        <v>58</v>
      </c>
      <c r="J654" s="32"/>
    </row>
    <row r="655" spans="1:10" x14ac:dyDescent="0.2">
      <c r="A655" s="32"/>
      <c r="B655" s="36" t="s">
        <v>1195</v>
      </c>
      <c r="C655" s="37" t="s">
        <v>1194</v>
      </c>
      <c r="D655" s="38" t="s">
        <v>485</v>
      </c>
      <c r="E655" s="39">
        <v>1</v>
      </c>
      <c r="F655" s="40">
        <v>47.5</v>
      </c>
      <c r="G655" s="40">
        <f t="shared" si="10"/>
        <v>47.5</v>
      </c>
      <c r="H655" s="41" t="s">
        <v>24</v>
      </c>
      <c r="I655" s="41" t="s">
        <v>58</v>
      </c>
      <c r="J655" s="32"/>
    </row>
    <row r="656" spans="1:10" x14ac:dyDescent="0.2">
      <c r="A656" s="32"/>
      <c r="B656" s="42" t="s">
        <v>1196</v>
      </c>
      <c r="C656" s="43" t="s">
        <v>1194</v>
      </c>
      <c r="D656" s="44" t="s">
        <v>485</v>
      </c>
      <c r="E656" s="45">
        <v>1</v>
      </c>
      <c r="F656" s="46">
        <v>47.5</v>
      </c>
      <c r="G656" s="46">
        <f t="shared" si="10"/>
        <v>47.5</v>
      </c>
      <c r="H656" s="47" t="s">
        <v>24</v>
      </c>
      <c r="I656" s="47" t="s">
        <v>58</v>
      </c>
      <c r="J656" s="32"/>
    </row>
    <row r="657" spans="1:10" x14ac:dyDescent="0.2">
      <c r="A657" s="32"/>
      <c r="B657" s="36" t="s">
        <v>1197</v>
      </c>
      <c r="C657" s="37" t="s">
        <v>1194</v>
      </c>
      <c r="D657" s="38" t="s">
        <v>485</v>
      </c>
      <c r="E657" s="39">
        <v>1</v>
      </c>
      <c r="F657" s="40">
        <v>47.5</v>
      </c>
      <c r="G657" s="40">
        <f t="shared" si="10"/>
        <v>47.5</v>
      </c>
      <c r="H657" s="41" t="s">
        <v>24</v>
      </c>
      <c r="I657" s="41" t="s">
        <v>58</v>
      </c>
      <c r="J657" s="32"/>
    </row>
    <row r="658" spans="1:10" x14ac:dyDescent="0.2">
      <c r="A658" s="32"/>
      <c r="B658" s="42" t="s">
        <v>1198</v>
      </c>
      <c r="C658" s="43" t="s">
        <v>1194</v>
      </c>
      <c r="D658" s="44" t="s">
        <v>485</v>
      </c>
      <c r="E658" s="45">
        <v>1</v>
      </c>
      <c r="F658" s="46">
        <v>58.5</v>
      </c>
      <c r="G658" s="46">
        <f t="shared" si="10"/>
        <v>58.5</v>
      </c>
      <c r="H658" s="47" t="s">
        <v>24</v>
      </c>
      <c r="I658" s="47" t="s">
        <v>58</v>
      </c>
      <c r="J658" s="32"/>
    </row>
    <row r="659" spans="1:10" x14ac:dyDescent="0.2">
      <c r="A659" s="32"/>
      <c r="B659" s="36" t="s">
        <v>1199</v>
      </c>
      <c r="C659" s="37" t="s">
        <v>1194</v>
      </c>
      <c r="D659" s="38" t="s">
        <v>41</v>
      </c>
      <c r="E659" s="39">
        <v>1</v>
      </c>
      <c r="F659" s="40">
        <v>7.5</v>
      </c>
      <c r="G659" s="40">
        <f t="shared" si="10"/>
        <v>7.5</v>
      </c>
      <c r="H659" s="41" t="s">
        <v>26</v>
      </c>
      <c r="I659" s="41" t="s">
        <v>58</v>
      </c>
      <c r="J659" s="32"/>
    </row>
    <row r="660" spans="1:10" x14ac:dyDescent="0.2">
      <c r="A660" s="32"/>
      <c r="B660" s="42" t="s">
        <v>1200</v>
      </c>
      <c r="C660" s="43" t="s">
        <v>1201</v>
      </c>
      <c r="D660" s="44" t="s">
        <v>1202</v>
      </c>
      <c r="E660" s="45">
        <v>1</v>
      </c>
      <c r="F660" s="46">
        <v>56.9</v>
      </c>
      <c r="G660" s="46">
        <f t="shared" si="10"/>
        <v>56.9</v>
      </c>
      <c r="H660" s="47" t="s">
        <v>24</v>
      </c>
      <c r="I660" s="47" t="s">
        <v>58</v>
      </c>
      <c r="J660" s="32"/>
    </row>
    <row r="661" spans="1:10" x14ac:dyDescent="0.2">
      <c r="A661" s="32"/>
      <c r="B661" s="36" t="s">
        <v>1203</v>
      </c>
      <c r="C661" s="37" t="s">
        <v>1201</v>
      </c>
      <c r="D661" s="38" t="s">
        <v>41</v>
      </c>
      <c r="E661" s="39">
        <v>1</v>
      </c>
      <c r="F661" s="40">
        <v>8.5</v>
      </c>
      <c r="G661" s="40">
        <f t="shared" si="10"/>
        <v>8.5</v>
      </c>
      <c r="H661" s="41" t="s">
        <v>26</v>
      </c>
      <c r="I661" s="41" t="s">
        <v>58</v>
      </c>
      <c r="J661" s="32"/>
    </row>
    <row r="662" spans="1:10" x14ac:dyDescent="0.2">
      <c r="A662" s="32"/>
      <c r="B662" s="42" t="s">
        <v>1204</v>
      </c>
      <c r="C662" s="43" t="s">
        <v>1205</v>
      </c>
      <c r="D662" s="44" t="s">
        <v>54</v>
      </c>
      <c r="E662" s="45">
        <v>1</v>
      </c>
      <c r="F662" s="46">
        <v>5.49</v>
      </c>
      <c r="G662" s="46">
        <f t="shared" si="10"/>
        <v>5.49</v>
      </c>
      <c r="H662" s="47" t="s">
        <v>26</v>
      </c>
      <c r="I662" s="47" t="s">
        <v>55</v>
      </c>
      <c r="J662" s="32"/>
    </row>
    <row r="663" spans="1:10" x14ac:dyDescent="0.2">
      <c r="A663" s="32"/>
      <c r="B663" s="36" t="s">
        <v>1206</v>
      </c>
      <c r="C663" s="37" t="s">
        <v>1205</v>
      </c>
      <c r="D663" s="38" t="s">
        <v>896</v>
      </c>
      <c r="E663" s="39">
        <v>1</v>
      </c>
      <c r="F663" s="40">
        <v>4.29</v>
      </c>
      <c r="G663" s="40">
        <f t="shared" si="10"/>
        <v>4.29</v>
      </c>
      <c r="H663" s="41" t="s">
        <v>24</v>
      </c>
      <c r="I663" s="41" t="s">
        <v>58</v>
      </c>
      <c r="J663" s="32"/>
    </row>
    <row r="664" spans="1:10" x14ac:dyDescent="0.2">
      <c r="A664" s="32"/>
      <c r="B664" s="42" t="s">
        <v>1207</v>
      </c>
      <c r="C664" s="43" t="s">
        <v>1194</v>
      </c>
      <c r="D664" s="44" t="s">
        <v>1175</v>
      </c>
      <c r="E664" s="45">
        <v>1</v>
      </c>
      <c r="F664" s="46">
        <v>51.89</v>
      </c>
      <c r="G664" s="46">
        <f t="shared" si="10"/>
        <v>51.89</v>
      </c>
      <c r="H664" s="47" t="s">
        <v>24</v>
      </c>
      <c r="I664" s="47" t="s">
        <v>58</v>
      </c>
      <c r="J664" s="32"/>
    </row>
    <row r="665" spans="1:10" x14ac:dyDescent="0.2">
      <c r="A665" s="32"/>
      <c r="B665" s="36" t="s">
        <v>1208</v>
      </c>
      <c r="C665" s="37" t="s">
        <v>1194</v>
      </c>
      <c r="D665" s="38" t="s">
        <v>1177</v>
      </c>
      <c r="E665" s="39">
        <v>1</v>
      </c>
      <c r="F665" s="40">
        <v>153.78</v>
      </c>
      <c r="G665" s="40">
        <f t="shared" si="10"/>
        <v>153.78</v>
      </c>
      <c r="H665" s="41" t="s">
        <v>24</v>
      </c>
      <c r="I665" s="41" t="s">
        <v>58</v>
      </c>
      <c r="J665" s="32"/>
    </row>
    <row r="666" spans="1:10" x14ac:dyDescent="0.2">
      <c r="A666" s="32"/>
      <c r="B666" s="42" t="s">
        <v>1209</v>
      </c>
      <c r="C666" s="43" t="s">
        <v>1210</v>
      </c>
      <c r="D666" s="44" t="s">
        <v>1175</v>
      </c>
      <c r="E666" s="45">
        <v>1</v>
      </c>
      <c r="F666" s="46">
        <v>53.99</v>
      </c>
      <c r="G666" s="46">
        <f t="shared" si="10"/>
        <v>53.99</v>
      </c>
      <c r="H666" s="47" t="s">
        <v>24</v>
      </c>
      <c r="I666" s="47" t="s">
        <v>58</v>
      </c>
      <c r="J666" s="32"/>
    </row>
    <row r="667" spans="1:10" x14ac:dyDescent="0.2">
      <c r="A667" s="32"/>
      <c r="B667" s="36" t="s">
        <v>1211</v>
      </c>
      <c r="C667" s="37" t="s">
        <v>1210</v>
      </c>
      <c r="D667" s="38" t="s">
        <v>1177</v>
      </c>
      <c r="E667" s="39">
        <v>1</v>
      </c>
      <c r="F667" s="40">
        <v>159.99</v>
      </c>
      <c r="G667" s="40">
        <f t="shared" si="10"/>
        <v>159.99</v>
      </c>
      <c r="H667" s="41" t="s">
        <v>24</v>
      </c>
      <c r="I667" s="41" t="s">
        <v>58</v>
      </c>
      <c r="J667" s="32"/>
    </row>
    <row r="668" spans="1:10" x14ac:dyDescent="0.2">
      <c r="A668" s="32"/>
      <c r="B668" s="42" t="s">
        <v>1212</v>
      </c>
      <c r="C668" s="43" t="s">
        <v>1213</v>
      </c>
      <c r="D668" s="44" t="s">
        <v>1214</v>
      </c>
      <c r="E668" s="45">
        <v>1</v>
      </c>
      <c r="F668" s="46">
        <v>68.59</v>
      </c>
      <c r="G668" s="46">
        <f t="shared" si="10"/>
        <v>68.59</v>
      </c>
      <c r="H668" s="47" t="s">
        <v>24</v>
      </c>
      <c r="I668" s="47" t="s">
        <v>58</v>
      </c>
      <c r="J668" s="32"/>
    </row>
    <row r="669" spans="1:10" x14ac:dyDescent="0.2">
      <c r="A669" s="32"/>
      <c r="B669" s="36" t="s">
        <v>1215</v>
      </c>
      <c r="C669" s="37" t="s">
        <v>1216</v>
      </c>
      <c r="D669" s="38" t="s">
        <v>1217</v>
      </c>
      <c r="E669" s="39">
        <v>1</v>
      </c>
      <c r="F669" s="40">
        <v>77</v>
      </c>
      <c r="G669" s="40">
        <f t="shared" si="10"/>
        <v>77</v>
      </c>
      <c r="H669" s="41" t="s">
        <v>24</v>
      </c>
      <c r="I669" s="41" t="s">
        <v>58</v>
      </c>
      <c r="J669" s="32"/>
    </row>
    <row r="670" spans="1:10" x14ac:dyDescent="0.2">
      <c r="A670" s="32"/>
      <c r="B670" s="42" t="s">
        <v>1218</v>
      </c>
      <c r="C670" s="43" t="s">
        <v>1216</v>
      </c>
      <c r="D670" s="44" t="s">
        <v>41</v>
      </c>
      <c r="E670" s="45">
        <v>1</v>
      </c>
      <c r="F670" s="46">
        <v>14</v>
      </c>
      <c r="G670" s="46">
        <f t="shared" si="10"/>
        <v>14</v>
      </c>
      <c r="H670" s="47" t="s">
        <v>26</v>
      </c>
      <c r="I670" s="47" t="s">
        <v>58</v>
      </c>
      <c r="J670" s="32"/>
    </row>
    <row r="671" spans="1:10" x14ac:dyDescent="0.2">
      <c r="A671" s="32"/>
      <c r="B671" s="36" t="s">
        <v>1219</v>
      </c>
      <c r="C671" s="37" t="s">
        <v>1220</v>
      </c>
      <c r="D671" s="38" t="s">
        <v>1217</v>
      </c>
      <c r="E671" s="39">
        <v>1</v>
      </c>
      <c r="F671" s="40">
        <v>77</v>
      </c>
      <c r="G671" s="40">
        <f t="shared" si="10"/>
        <v>77</v>
      </c>
      <c r="H671" s="41" t="s">
        <v>24</v>
      </c>
      <c r="I671" s="41" t="s">
        <v>58</v>
      </c>
      <c r="J671" s="32"/>
    </row>
    <row r="672" spans="1:10" x14ac:dyDescent="0.2">
      <c r="A672" s="32"/>
      <c r="B672" s="42" t="s">
        <v>1221</v>
      </c>
      <c r="C672" s="43" t="s">
        <v>1220</v>
      </c>
      <c r="D672" s="44" t="s">
        <v>41</v>
      </c>
      <c r="E672" s="45">
        <v>1</v>
      </c>
      <c r="F672" s="46">
        <v>14</v>
      </c>
      <c r="G672" s="46">
        <f t="shared" si="10"/>
        <v>14</v>
      </c>
      <c r="H672" s="47" t="s">
        <v>26</v>
      </c>
      <c r="I672" s="47" t="s">
        <v>58</v>
      </c>
      <c r="J672" s="32"/>
    </row>
    <row r="673" spans="1:10" x14ac:dyDescent="0.2">
      <c r="A673" s="32"/>
      <c r="B673" s="36" t="s">
        <v>1222</v>
      </c>
      <c r="C673" s="37" t="s">
        <v>1223</v>
      </c>
      <c r="D673" s="38" t="s">
        <v>485</v>
      </c>
      <c r="E673" s="39">
        <v>1</v>
      </c>
      <c r="F673" s="40">
        <v>47.5</v>
      </c>
      <c r="G673" s="40">
        <f t="shared" si="10"/>
        <v>47.5</v>
      </c>
      <c r="H673" s="41" t="s">
        <v>24</v>
      </c>
      <c r="I673" s="41" t="s">
        <v>58</v>
      </c>
      <c r="J673" s="32"/>
    </row>
    <row r="674" spans="1:10" x14ac:dyDescent="0.2">
      <c r="A674" s="32"/>
      <c r="B674" s="42" t="s">
        <v>1224</v>
      </c>
      <c r="C674" s="43" t="s">
        <v>1223</v>
      </c>
      <c r="D674" s="44" t="s">
        <v>41</v>
      </c>
      <c r="E674" s="45">
        <v>1</v>
      </c>
      <c r="F674" s="46">
        <v>7.5</v>
      </c>
      <c r="G674" s="46">
        <f t="shared" si="10"/>
        <v>7.5</v>
      </c>
      <c r="H674" s="47" t="s">
        <v>26</v>
      </c>
      <c r="I674" s="47" t="s">
        <v>58</v>
      </c>
      <c r="J674" s="32"/>
    </row>
    <row r="675" spans="1:10" x14ac:dyDescent="0.2">
      <c r="A675" s="32"/>
      <c r="B675" s="36" t="s">
        <v>1225</v>
      </c>
      <c r="C675" s="37" t="s">
        <v>1226</v>
      </c>
      <c r="D675" s="38" t="s">
        <v>1227</v>
      </c>
      <c r="E675" s="39">
        <v>1</v>
      </c>
      <c r="F675" s="40">
        <v>9.5</v>
      </c>
      <c r="G675" s="40">
        <f t="shared" si="10"/>
        <v>9.5</v>
      </c>
      <c r="H675" s="41" t="s">
        <v>26</v>
      </c>
      <c r="I675" s="41" t="s">
        <v>58</v>
      </c>
      <c r="J675" s="32"/>
    </row>
    <row r="676" spans="1:10" x14ac:dyDescent="0.2">
      <c r="A676" s="32"/>
      <c r="B676" s="42" t="s">
        <v>1228</v>
      </c>
      <c r="C676" s="43" t="s">
        <v>1226</v>
      </c>
      <c r="D676" s="44" t="s">
        <v>485</v>
      </c>
      <c r="E676" s="45">
        <v>1</v>
      </c>
      <c r="F676" s="46">
        <v>47.5</v>
      </c>
      <c r="G676" s="46">
        <f t="shared" si="10"/>
        <v>47.5</v>
      </c>
      <c r="H676" s="47" t="s">
        <v>24</v>
      </c>
      <c r="I676" s="47" t="s">
        <v>58</v>
      </c>
      <c r="J676" s="32"/>
    </row>
    <row r="677" spans="1:10" x14ac:dyDescent="0.2">
      <c r="A677" s="32"/>
      <c r="B677" s="36" t="s">
        <v>1229</v>
      </c>
      <c r="C677" s="37" t="s">
        <v>1226</v>
      </c>
      <c r="D677" s="38" t="s">
        <v>41</v>
      </c>
      <c r="E677" s="39">
        <v>1</v>
      </c>
      <c r="F677" s="40">
        <v>7.5</v>
      </c>
      <c r="G677" s="40">
        <f t="shared" si="10"/>
        <v>7.5</v>
      </c>
      <c r="H677" s="41" t="s">
        <v>26</v>
      </c>
      <c r="I677" s="41" t="s">
        <v>58</v>
      </c>
      <c r="J677" s="32"/>
    </row>
    <row r="678" spans="1:10" x14ac:dyDescent="0.2">
      <c r="A678" s="32"/>
      <c r="B678" s="42" t="s">
        <v>1230</v>
      </c>
      <c r="C678" s="43" t="s">
        <v>1231</v>
      </c>
      <c r="D678" s="44" t="s">
        <v>1170</v>
      </c>
      <c r="E678" s="45">
        <v>1</v>
      </c>
      <c r="F678" s="46">
        <v>44.4</v>
      </c>
      <c r="G678" s="46">
        <f t="shared" si="10"/>
        <v>44.4</v>
      </c>
      <c r="H678" s="47" t="s">
        <v>24</v>
      </c>
      <c r="I678" s="47" t="s">
        <v>58</v>
      </c>
      <c r="J678" s="32"/>
    </row>
    <row r="679" spans="1:10" x14ac:dyDescent="0.2">
      <c r="A679" s="32"/>
      <c r="B679" s="36" t="s">
        <v>1232</v>
      </c>
      <c r="C679" s="37" t="s">
        <v>1231</v>
      </c>
      <c r="D679" s="38" t="s">
        <v>1233</v>
      </c>
      <c r="E679" s="39">
        <v>1</v>
      </c>
      <c r="F679" s="40">
        <v>34.9</v>
      </c>
      <c r="G679" s="40">
        <f t="shared" si="10"/>
        <v>34.9</v>
      </c>
      <c r="H679" s="41" t="s">
        <v>24</v>
      </c>
      <c r="I679" s="41" t="s">
        <v>58</v>
      </c>
      <c r="J679" s="32"/>
    </row>
    <row r="680" spans="1:10" x14ac:dyDescent="0.2">
      <c r="A680" s="32"/>
      <c r="B680" s="42" t="s">
        <v>1234</v>
      </c>
      <c r="C680" s="43" t="s">
        <v>1231</v>
      </c>
      <c r="D680" s="44" t="s">
        <v>1235</v>
      </c>
      <c r="E680" s="45">
        <v>1</v>
      </c>
      <c r="F680" s="46">
        <v>4.5</v>
      </c>
      <c r="G680" s="46">
        <f t="shared" si="10"/>
        <v>4.5</v>
      </c>
      <c r="H680" s="47" t="s">
        <v>24</v>
      </c>
      <c r="I680" s="47" t="s">
        <v>58</v>
      </c>
      <c r="J680" s="32"/>
    </row>
    <row r="681" spans="1:10" x14ac:dyDescent="0.2">
      <c r="A681" s="32"/>
      <c r="B681" s="36" t="s">
        <v>1236</v>
      </c>
      <c r="C681" s="37" t="s">
        <v>1237</v>
      </c>
      <c r="D681" s="38" t="s">
        <v>1238</v>
      </c>
      <c r="E681" s="39">
        <v>1</v>
      </c>
      <c r="F681" s="40">
        <v>45.9</v>
      </c>
      <c r="G681" s="40">
        <f t="shared" si="10"/>
        <v>45.9</v>
      </c>
      <c r="H681" s="41" t="s">
        <v>24</v>
      </c>
      <c r="I681" s="41" t="s">
        <v>58</v>
      </c>
      <c r="J681" s="32"/>
    </row>
    <row r="682" spans="1:10" x14ac:dyDescent="0.2">
      <c r="A682" s="32"/>
      <c r="B682" s="42" t="s">
        <v>1239</v>
      </c>
      <c r="C682" s="43" t="s">
        <v>1237</v>
      </c>
      <c r="D682" s="44" t="s">
        <v>1240</v>
      </c>
      <c r="E682" s="45">
        <v>1</v>
      </c>
      <c r="F682" s="46">
        <v>43.9</v>
      </c>
      <c r="G682" s="46">
        <f t="shared" si="10"/>
        <v>43.9</v>
      </c>
      <c r="H682" s="47" t="s">
        <v>24</v>
      </c>
      <c r="I682" s="47" t="s">
        <v>58</v>
      </c>
      <c r="J682" s="32"/>
    </row>
    <row r="683" spans="1:10" x14ac:dyDescent="0.2">
      <c r="A683" s="32"/>
      <c r="B683" s="36" t="s">
        <v>1241</v>
      </c>
      <c r="C683" s="37" t="s">
        <v>1237</v>
      </c>
      <c r="D683" s="38" t="s">
        <v>1242</v>
      </c>
      <c r="E683" s="39">
        <v>1</v>
      </c>
      <c r="F683" s="40">
        <v>31.9</v>
      </c>
      <c r="G683" s="40">
        <f t="shared" si="10"/>
        <v>31.9</v>
      </c>
      <c r="H683" s="41" t="s">
        <v>24</v>
      </c>
      <c r="I683" s="41" t="s">
        <v>58</v>
      </c>
      <c r="J683" s="32"/>
    </row>
    <row r="684" spans="1:10" x14ac:dyDescent="0.2">
      <c r="A684" s="32"/>
      <c r="B684" s="42" t="s">
        <v>1243</v>
      </c>
      <c r="C684" s="43" t="s">
        <v>1244</v>
      </c>
      <c r="D684" s="44" t="s">
        <v>1175</v>
      </c>
      <c r="E684" s="45">
        <v>1</v>
      </c>
      <c r="F684" s="46">
        <v>52.02</v>
      </c>
      <c r="G684" s="46">
        <f t="shared" si="10"/>
        <v>52.02</v>
      </c>
      <c r="H684" s="47" t="s">
        <v>24</v>
      </c>
      <c r="I684" s="47" t="s">
        <v>58</v>
      </c>
      <c r="J684" s="32"/>
    </row>
    <row r="685" spans="1:10" x14ac:dyDescent="0.2">
      <c r="A685" s="32"/>
      <c r="B685" s="36" t="s">
        <v>1245</v>
      </c>
      <c r="C685" s="37" t="s">
        <v>1244</v>
      </c>
      <c r="D685" s="38" t="s">
        <v>1246</v>
      </c>
      <c r="E685" s="39">
        <v>1</v>
      </c>
      <c r="F685" s="40">
        <v>39.5</v>
      </c>
      <c r="G685" s="40">
        <f t="shared" si="10"/>
        <v>39.5</v>
      </c>
      <c r="H685" s="41" t="s">
        <v>24</v>
      </c>
      <c r="I685" s="41" t="s">
        <v>58</v>
      </c>
      <c r="J685" s="32"/>
    </row>
    <row r="686" spans="1:10" x14ac:dyDescent="0.2">
      <c r="A686" s="32"/>
      <c r="B686" s="42" t="s">
        <v>1247</v>
      </c>
      <c r="C686" s="43" t="s">
        <v>1244</v>
      </c>
      <c r="D686" s="44" t="s">
        <v>1248</v>
      </c>
      <c r="E686" s="45">
        <v>1</v>
      </c>
      <c r="F686" s="46">
        <v>125.25</v>
      </c>
      <c r="G686" s="46">
        <f t="shared" si="10"/>
        <v>125.25</v>
      </c>
      <c r="H686" s="47" t="s">
        <v>24</v>
      </c>
      <c r="I686" s="47" t="s">
        <v>58</v>
      </c>
      <c r="J686" s="32"/>
    </row>
    <row r="687" spans="1:10" x14ac:dyDescent="0.2">
      <c r="A687" s="32"/>
      <c r="B687" s="36" t="s">
        <v>1249</v>
      </c>
      <c r="C687" s="37" t="s">
        <v>1250</v>
      </c>
      <c r="D687" s="38" t="s">
        <v>910</v>
      </c>
      <c r="E687" s="39">
        <v>1</v>
      </c>
      <c r="F687" s="40">
        <v>54</v>
      </c>
      <c r="G687" s="40">
        <f t="shared" si="10"/>
        <v>54</v>
      </c>
      <c r="H687" s="41" t="s">
        <v>24</v>
      </c>
      <c r="I687" s="41" t="s">
        <v>338</v>
      </c>
      <c r="J687" s="32"/>
    </row>
    <row r="688" spans="1:10" x14ac:dyDescent="0.2">
      <c r="A688" s="32"/>
      <c r="B688" s="42" t="s">
        <v>1251</v>
      </c>
      <c r="C688" s="43" t="s">
        <v>1250</v>
      </c>
      <c r="D688" s="44" t="s">
        <v>41</v>
      </c>
      <c r="E688" s="45">
        <v>1</v>
      </c>
      <c r="F688" s="46">
        <v>14</v>
      </c>
      <c r="G688" s="46">
        <f t="shared" si="10"/>
        <v>14</v>
      </c>
      <c r="H688" s="47" t="s">
        <v>26</v>
      </c>
      <c r="I688" s="47" t="s">
        <v>58</v>
      </c>
      <c r="J688" s="32"/>
    </row>
    <row r="689" spans="1:10" x14ac:dyDescent="0.2">
      <c r="A689" s="32"/>
      <c r="B689" s="36" t="s">
        <v>1252</v>
      </c>
      <c r="C689" s="37" t="s">
        <v>1253</v>
      </c>
      <c r="D689" s="38" t="s">
        <v>485</v>
      </c>
      <c r="E689" s="39">
        <v>1</v>
      </c>
      <c r="F689" s="40">
        <v>48.5</v>
      </c>
      <c r="G689" s="40">
        <f t="shared" si="10"/>
        <v>48.5</v>
      </c>
      <c r="H689" s="41" t="s">
        <v>24</v>
      </c>
      <c r="I689" s="41" t="s">
        <v>58</v>
      </c>
      <c r="J689" s="32"/>
    </row>
    <row r="690" spans="1:10" x14ac:dyDescent="0.2">
      <c r="A690" s="32"/>
      <c r="B690" s="42" t="s">
        <v>1254</v>
      </c>
      <c r="C690" s="43" t="s">
        <v>1253</v>
      </c>
      <c r="D690" s="44" t="s">
        <v>41</v>
      </c>
      <c r="E690" s="45">
        <v>1</v>
      </c>
      <c r="F690" s="46">
        <v>7.5</v>
      </c>
      <c r="G690" s="46">
        <f t="shared" si="10"/>
        <v>7.5</v>
      </c>
      <c r="H690" s="47" t="s">
        <v>26</v>
      </c>
      <c r="I690" s="47" t="s">
        <v>58</v>
      </c>
      <c r="J690" s="32"/>
    </row>
    <row r="691" spans="1:10" x14ac:dyDescent="0.2">
      <c r="A691" s="32"/>
      <c r="B691" s="36" t="s">
        <v>1255</v>
      </c>
      <c r="C691" s="37" t="s">
        <v>1256</v>
      </c>
      <c r="D691" s="38" t="s">
        <v>1227</v>
      </c>
      <c r="E691" s="39">
        <v>1</v>
      </c>
      <c r="F691" s="40">
        <v>9.5</v>
      </c>
      <c r="G691" s="40">
        <f t="shared" si="10"/>
        <v>9.5</v>
      </c>
      <c r="H691" s="41" t="s">
        <v>26</v>
      </c>
      <c r="I691" s="41" t="s">
        <v>58</v>
      </c>
      <c r="J691" s="32"/>
    </row>
    <row r="692" spans="1:10" x14ac:dyDescent="0.2">
      <c r="A692" s="32"/>
      <c r="B692" s="42" t="s">
        <v>1257</v>
      </c>
      <c r="C692" s="43" t="s">
        <v>1256</v>
      </c>
      <c r="D692" s="44" t="s">
        <v>485</v>
      </c>
      <c r="E692" s="45">
        <v>1</v>
      </c>
      <c r="F692" s="46">
        <v>48.5</v>
      </c>
      <c r="G692" s="46">
        <f t="shared" si="10"/>
        <v>48.5</v>
      </c>
      <c r="H692" s="47" t="s">
        <v>24</v>
      </c>
      <c r="I692" s="47" t="s">
        <v>58</v>
      </c>
      <c r="J692" s="32"/>
    </row>
    <row r="693" spans="1:10" x14ac:dyDescent="0.2">
      <c r="A693" s="32"/>
      <c r="B693" s="36" t="s">
        <v>1258</v>
      </c>
      <c r="C693" s="37" t="s">
        <v>1256</v>
      </c>
      <c r="D693" s="38" t="s">
        <v>41</v>
      </c>
      <c r="E693" s="39">
        <v>1</v>
      </c>
      <c r="F693" s="40">
        <v>7.5</v>
      </c>
      <c r="G693" s="40">
        <f t="shared" si="10"/>
        <v>7.5</v>
      </c>
      <c r="H693" s="41" t="s">
        <v>26</v>
      </c>
      <c r="I693" s="41" t="s">
        <v>58</v>
      </c>
      <c r="J693" s="32"/>
    </row>
    <row r="694" spans="1:10" x14ac:dyDescent="0.2">
      <c r="A694" s="32"/>
      <c r="B694" s="42" t="s">
        <v>1259</v>
      </c>
      <c r="C694" s="43" t="s">
        <v>1260</v>
      </c>
      <c r="D694" s="44" t="s">
        <v>485</v>
      </c>
      <c r="E694" s="45">
        <v>1</v>
      </c>
      <c r="F694" s="46">
        <v>56.4</v>
      </c>
      <c r="G694" s="46">
        <f t="shared" si="10"/>
        <v>56.4</v>
      </c>
      <c r="H694" s="47" t="s">
        <v>24</v>
      </c>
      <c r="I694" s="47" t="s">
        <v>58</v>
      </c>
      <c r="J694" s="32"/>
    </row>
    <row r="695" spans="1:10" x14ac:dyDescent="0.2">
      <c r="A695" s="32"/>
      <c r="B695" s="36" t="s">
        <v>1261</v>
      </c>
      <c r="C695" s="37" t="s">
        <v>1260</v>
      </c>
      <c r="D695" s="38" t="s">
        <v>41</v>
      </c>
      <c r="E695" s="39">
        <v>1</v>
      </c>
      <c r="F695" s="40">
        <v>7.5</v>
      </c>
      <c r="G695" s="40">
        <f t="shared" si="10"/>
        <v>7.5</v>
      </c>
      <c r="H695" s="41" t="s">
        <v>26</v>
      </c>
      <c r="I695" s="41" t="s">
        <v>58</v>
      </c>
      <c r="J695" s="32"/>
    </row>
    <row r="696" spans="1:10" x14ac:dyDescent="0.2">
      <c r="A696" s="32"/>
      <c r="B696" s="42" t="s">
        <v>1262</v>
      </c>
      <c r="C696" s="43" t="s">
        <v>1263</v>
      </c>
      <c r="D696" s="44" t="s">
        <v>485</v>
      </c>
      <c r="E696" s="45">
        <v>1</v>
      </c>
      <c r="F696" s="46">
        <v>48.5</v>
      </c>
      <c r="G696" s="46">
        <f t="shared" si="10"/>
        <v>48.5</v>
      </c>
      <c r="H696" s="47" t="s">
        <v>24</v>
      </c>
      <c r="I696" s="47" t="s">
        <v>58</v>
      </c>
      <c r="J696" s="32"/>
    </row>
    <row r="697" spans="1:10" x14ac:dyDescent="0.2">
      <c r="A697" s="32"/>
      <c r="B697" s="36" t="s">
        <v>1264</v>
      </c>
      <c r="C697" s="37" t="s">
        <v>1263</v>
      </c>
      <c r="D697" s="38" t="s">
        <v>41</v>
      </c>
      <c r="E697" s="39">
        <v>1</v>
      </c>
      <c r="F697" s="40">
        <v>7.99</v>
      </c>
      <c r="G697" s="40">
        <f t="shared" si="10"/>
        <v>7.99</v>
      </c>
      <c r="H697" s="41" t="s">
        <v>26</v>
      </c>
      <c r="I697" s="41" t="s">
        <v>58</v>
      </c>
      <c r="J697" s="32"/>
    </row>
    <row r="698" spans="1:10" x14ac:dyDescent="0.2">
      <c r="A698" s="32"/>
      <c r="B698" s="42" t="s">
        <v>1265</v>
      </c>
      <c r="C698" s="43" t="s">
        <v>1266</v>
      </c>
      <c r="D698" s="44" t="s">
        <v>54</v>
      </c>
      <c r="E698" s="45">
        <v>1</v>
      </c>
      <c r="F698" s="46">
        <v>5.49</v>
      </c>
      <c r="G698" s="46">
        <f t="shared" si="10"/>
        <v>5.49</v>
      </c>
      <c r="H698" s="47" t="s">
        <v>26</v>
      </c>
      <c r="I698" s="47" t="s">
        <v>55</v>
      </c>
      <c r="J698" s="32"/>
    </row>
    <row r="699" spans="1:10" x14ac:dyDescent="0.2">
      <c r="A699" s="32"/>
      <c r="B699" s="36" t="s">
        <v>1267</v>
      </c>
      <c r="C699" s="37" t="s">
        <v>1266</v>
      </c>
      <c r="D699" s="38" t="s">
        <v>896</v>
      </c>
      <c r="E699" s="39">
        <v>1</v>
      </c>
      <c r="F699" s="40">
        <v>4.49</v>
      </c>
      <c r="G699" s="40">
        <f t="shared" si="10"/>
        <v>4.49</v>
      </c>
      <c r="H699" s="41" t="s">
        <v>24</v>
      </c>
      <c r="I699" s="41" t="s">
        <v>58</v>
      </c>
      <c r="J699" s="32"/>
    </row>
    <row r="700" spans="1:10" x14ac:dyDescent="0.2">
      <c r="A700" s="32"/>
      <c r="B700" s="42" t="s">
        <v>1268</v>
      </c>
      <c r="C700" s="43" t="s">
        <v>1269</v>
      </c>
      <c r="D700" s="44" t="s">
        <v>1238</v>
      </c>
      <c r="E700" s="45">
        <v>1</v>
      </c>
      <c r="F700" s="46">
        <v>45.9</v>
      </c>
      <c r="G700" s="46">
        <f t="shared" si="10"/>
        <v>45.9</v>
      </c>
      <c r="H700" s="47" t="s">
        <v>24</v>
      </c>
      <c r="I700" s="47" t="s">
        <v>58</v>
      </c>
      <c r="J700" s="32"/>
    </row>
    <row r="701" spans="1:10" x14ac:dyDescent="0.2">
      <c r="A701" s="32"/>
      <c r="B701" s="36" t="s">
        <v>1270</v>
      </c>
      <c r="C701" s="37" t="s">
        <v>1271</v>
      </c>
      <c r="D701" s="38" t="s">
        <v>1272</v>
      </c>
      <c r="E701" s="39">
        <v>1</v>
      </c>
      <c r="F701" s="40">
        <v>30</v>
      </c>
      <c r="G701" s="40">
        <f t="shared" si="10"/>
        <v>30</v>
      </c>
      <c r="H701" s="41" t="s">
        <v>24</v>
      </c>
      <c r="I701" s="41" t="s">
        <v>58</v>
      </c>
      <c r="J701" s="32"/>
    </row>
    <row r="702" spans="1:10" x14ac:dyDescent="0.2">
      <c r="A702" s="32"/>
      <c r="B702" s="42" t="s">
        <v>1273</v>
      </c>
      <c r="C702" s="43" t="s">
        <v>1271</v>
      </c>
      <c r="D702" s="44" t="s">
        <v>1274</v>
      </c>
      <c r="E702" s="45">
        <v>1</v>
      </c>
      <c r="F702" s="46">
        <v>160</v>
      </c>
      <c r="G702" s="46">
        <f t="shared" si="10"/>
        <v>160</v>
      </c>
      <c r="H702" s="47" t="s">
        <v>24</v>
      </c>
      <c r="I702" s="47" t="s">
        <v>58</v>
      </c>
      <c r="J702" s="32"/>
    </row>
    <row r="703" spans="1:10" x14ac:dyDescent="0.2">
      <c r="A703" s="32"/>
      <c r="B703" s="36" t="s">
        <v>1275</v>
      </c>
      <c r="C703" s="37" t="s">
        <v>1271</v>
      </c>
      <c r="D703" s="38" t="s">
        <v>1276</v>
      </c>
      <c r="E703" s="39">
        <v>1</v>
      </c>
      <c r="F703" s="40">
        <v>2000</v>
      </c>
      <c r="G703" s="40">
        <f t="shared" si="10"/>
        <v>2000</v>
      </c>
      <c r="H703" s="41" t="s">
        <v>24</v>
      </c>
      <c r="I703" s="41" t="s">
        <v>58</v>
      </c>
      <c r="J703" s="32"/>
    </row>
    <row r="704" spans="1:10" x14ac:dyDescent="0.2">
      <c r="A704" s="32"/>
      <c r="B704" s="42" t="s">
        <v>1277</v>
      </c>
      <c r="C704" s="43" t="s">
        <v>1271</v>
      </c>
      <c r="D704" s="44" t="s">
        <v>1278</v>
      </c>
      <c r="E704" s="45">
        <v>1</v>
      </c>
      <c r="F704" s="46">
        <v>30</v>
      </c>
      <c r="G704" s="46">
        <f t="shared" si="10"/>
        <v>30</v>
      </c>
      <c r="H704" s="47" t="s">
        <v>24</v>
      </c>
      <c r="I704" s="47" t="s">
        <v>58</v>
      </c>
      <c r="J704" s="32"/>
    </row>
    <row r="705" spans="1:10" x14ac:dyDescent="0.2">
      <c r="A705" s="32"/>
      <c r="B705" s="36" t="s">
        <v>1279</v>
      </c>
      <c r="C705" s="37" t="s">
        <v>1271</v>
      </c>
      <c r="D705" s="38" t="s">
        <v>1280</v>
      </c>
      <c r="E705" s="39">
        <v>1</v>
      </c>
      <c r="F705" s="40">
        <v>30</v>
      </c>
      <c r="G705" s="40">
        <f t="shared" si="10"/>
        <v>30</v>
      </c>
      <c r="H705" s="41" t="s">
        <v>24</v>
      </c>
      <c r="I705" s="41" t="s">
        <v>58</v>
      </c>
      <c r="J705" s="32"/>
    </row>
    <row r="706" spans="1:10" x14ac:dyDescent="0.2">
      <c r="A706" s="32"/>
      <c r="B706" s="42" t="s">
        <v>1281</v>
      </c>
      <c r="C706" s="43" t="s">
        <v>1271</v>
      </c>
      <c r="D706" s="44" t="s">
        <v>1282</v>
      </c>
      <c r="E706" s="45">
        <v>1</v>
      </c>
      <c r="F706" s="46">
        <v>80</v>
      </c>
      <c r="G706" s="46">
        <f t="shared" si="10"/>
        <v>80</v>
      </c>
      <c r="H706" s="47" t="s">
        <v>28</v>
      </c>
      <c r="I706" s="47" t="s">
        <v>58</v>
      </c>
      <c r="J706" s="32"/>
    </row>
    <row r="707" spans="1:10" x14ac:dyDescent="0.2">
      <c r="A707" s="32"/>
      <c r="B707" s="36" t="s">
        <v>1283</v>
      </c>
      <c r="C707" s="37" t="s">
        <v>1271</v>
      </c>
      <c r="D707" s="38" t="s">
        <v>1284</v>
      </c>
      <c r="E707" s="39">
        <v>1</v>
      </c>
      <c r="F707" s="40">
        <v>220</v>
      </c>
      <c r="G707" s="40">
        <f t="shared" si="10"/>
        <v>220</v>
      </c>
      <c r="H707" s="41" t="s">
        <v>24</v>
      </c>
      <c r="I707" s="41" t="s">
        <v>58</v>
      </c>
      <c r="J707" s="32"/>
    </row>
    <row r="708" spans="1:10" x14ac:dyDescent="0.2">
      <c r="A708" s="32"/>
      <c r="B708" s="42" t="s">
        <v>1285</v>
      </c>
      <c r="C708" s="43" t="s">
        <v>1271</v>
      </c>
      <c r="D708" s="44" t="s">
        <v>1286</v>
      </c>
      <c r="E708" s="45">
        <v>1</v>
      </c>
      <c r="F708" s="46">
        <v>1800</v>
      </c>
      <c r="G708" s="46">
        <f t="shared" si="10"/>
        <v>1800</v>
      </c>
      <c r="H708" s="47" t="s">
        <v>28</v>
      </c>
      <c r="I708" s="47" t="s">
        <v>58</v>
      </c>
      <c r="J708" s="32"/>
    </row>
    <row r="709" spans="1:10" x14ac:dyDescent="0.2">
      <c r="A709" s="32"/>
      <c r="B709" s="36" t="s">
        <v>1287</v>
      </c>
      <c r="C709" s="37" t="s">
        <v>1271</v>
      </c>
      <c r="D709" s="38" t="s">
        <v>1288</v>
      </c>
      <c r="E709" s="39">
        <v>1</v>
      </c>
      <c r="F709" s="40">
        <v>50</v>
      </c>
      <c r="G709" s="40">
        <f t="shared" ref="G709:G772" si="11">E709*F709</f>
        <v>50</v>
      </c>
      <c r="H709" s="41" t="s">
        <v>24</v>
      </c>
      <c r="I709" s="41" t="s">
        <v>58</v>
      </c>
      <c r="J709" s="32"/>
    </row>
    <row r="710" spans="1:10" x14ac:dyDescent="0.2">
      <c r="A710" s="32"/>
      <c r="B710" s="42" t="s">
        <v>1289</v>
      </c>
      <c r="C710" s="43" t="s">
        <v>1271</v>
      </c>
      <c r="D710" s="44" t="s">
        <v>1290</v>
      </c>
      <c r="E710" s="45">
        <v>1</v>
      </c>
      <c r="F710" s="46">
        <v>4.79</v>
      </c>
      <c r="G710" s="46">
        <f t="shared" si="11"/>
        <v>4.79</v>
      </c>
      <c r="H710" s="47" t="s">
        <v>24</v>
      </c>
      <c r="I710" s="47" t="s">
        <v>58</v>
      </c>
      <c r="J710" s="32"/>
    </row>
    <row r="711" spans="1:10" x14ac:dyDescent="0.2">
      <c r="A711" s="32"/>
      <c r="B711" s="36" t="s">
        <v>1291</v>
      </c>
      <c r="C711" s="37" t="s">
        <v>1271</v>
      </c>
      <c r="D711" s="38" t="s">
        <v>1290</v>
      </c>
      <c r="E711" s="39">
        <v>1</v>
      </c>
      <c r="F711" s="40">
        <v>4.79</v>
      </c>
      <c r="G711" s="40">
        <f t="shared" si="11"/>
        <v>4.79</v>
      </c>
      <c r="H711" s="41" t="s">
        <v>24</v>
      </c>
      <c r="I711" s="41" t="s">
        <v>58</v>
      </c>
      <c r="J711" s="32"/>
    </row>
    <row r="712" spans="1:10" x14ac:dyDescent="0.2">
      <c r="A712" s="32"/>
      <c r="B712" s="42" t="s">
        <v>1292</v>
      </c>
      <c r="C712" s="43" t="s">
        <v>1271</v>
      </c>
      <c r="D712" s="44" t="s">
        <v>1293</v>
      </c>
      <c r="E712" s="45">
        <v>1</v>
      </c>
      <c r="F712" s="46">
        <v>7.99</v>
      </c>
      <c r="G712" s="46">
        <f t="shared" si="11"/>
        <v>7.99</v>
      </c>
      <c r="H712" s="47" t="s">
        <v>24</v>
      </c>
      <c r="I712" s="47" t="s">
        <v>58</v>
      </c>
      <c r="J712" s="32"/>
    </row>
    <row r="713" spans="1:10" x14ac:dyDescent="0.2">
      <c r="A713" s="32"/>
      <c r="B713" s="36" t="s">
        <v>1294</v>
      </c>
      <c r="C713" s="37" t="s">
        <v>1271</v>
      </c>
      <c r="D713" s="38" t="s">
        <v>1295</v>
      </c>
      <c r="E713" s="39">
        <v>1</v>
      </c>
      <c r="F713" s="40">
        <v>6.19</v>
      </c>
      <c r="G713" s="40">
        <f t="shared" si="11"/>
        <v>6.19</v>
      </c>
      <c r="H713" s="41" t="s">
        <v>24</v>
      </c>
      <c r="I713" s="41" t="s">
        <v>58</v>
      </c>
      <c r="J713" s="32"/>
    </row>
    <row r="714" spans="1:10" x14ac:dyDescent="0.2">
      <c r="A714" s="32"/>
      <c r="B714" s="42" t="s">
        <v>1296</v>
      </c>
      <c r="C714" s="43" t="s">
        <v>1271</v>
      </c>
      <c r="D714" s="44" t="s">
        <v>1295</v>
      </c>
      <c r="E714" s="45">
        <v>1</v>
      </c>
      <c r="F714" s="46">
        <v>6.19</v>
      </c>
      <c r="G714" s="46">
        <f t="shared" si="11"/>
        <v>6.19</v>
      </c>
      <c r="H714" s="47" t="s">
        <v>24</v>
      </c>
      <c r="I714" s="47" t="s">
        <v>58</v>
      </c>
      <c r="J714" s="32"/>
    </row>
    <row r="715" spans="1:10" x14ac:dyDescent="0.2">
      <c r="A715" s="32"/>
      <c r="B715" s="36" t="s">
        <v>1297</v>
      </c>
      <c r="C715" s="37" t="s">
        <v>1271</v>
      </c>
      <c r="D715" s="38" t="s">
        <v>1298</v>
      </c>
      <c r="E715" s="39">
        <v>1</v>
      </c>
      <c r="F715" s="40">
        <v>5.79</v>
      </c>
      <c r="G715" s="40">
        <f t="shared" si="11"/>
        <v>5.79</v>
      </c>
      <c r="H715" s="41" t="s">
        <v>24</v>
      </c>
      <c r="I715" s="41" t="s">
        <v>58</v>
      </c>
      <c r="J715" s="32"/>
    </row>
    <row r="716" spans="1:10" x14ac:dyDescent="0.2">
      <c r="A716" s="32"/>
      <c r="B716" s="42" t="s">
        <v>1299</v>
      </c>
      <c r="C716" s="43" t="s">
        <v>1271</v>
      </c>
      <c r="D716" s="44" t="s">
        <v>1298</v>
      </c>
      <c r="E716" s="45">
        <v>1</v>
      </c>
      <c r="F716" s="46">
        <v>5.79</v>
      </c>
      <c r="G716" s="46">
        <f t="shared" si="11"/>
        <v>5.79</v>
      </c>
      <c r="H716" s="47" t="s">
        <v>24</v>
      </c>
      <c r="I716" s="47" t="s">
        <v>58</v>
      </c>
      <c r="J716" s="32"/>
    </row>
    <row r="717" spans="1:10" x14ac:dyDescent="0.2">
      <c r="A717" s="32"/>
      <c r="B717" s="36" t="s">
        <v>1300</v>
      </c>
      <c r="C717" s="37" t="s">
        <v>1271</v>
      </c>
      <c r="D717" s="38" t="s">
        <v>1298</v>
      </c>
      <c r="E717" s="39">
        <v>1</v>
      </c>
      <c r="F717" s="40">
        <v>5.79</v>
      </c>
      <c r="G717" s="40">
        <f t="shared" si="11"/>
        <v>5.79</v>
      </c>
      <c r="H717" s="41" t="s">
        <v>24</v>
      </c>
      <c r="I717" s="41" t="s">
        <v>58</v>
      </c>
      <c r="J717" s="32"/>
    </row>
    <row r="718" spans="1:10" x14ac:dyDescent="0.2">
      <c r="A718" s="32"/>
      <c r="B718" s="42" t="s">
        <v>1301</v>
      </c>
      <c r="C718" s="43" t="s">
        <v>1271</v>
      </c>
      <c r="D718" s="44" t="s">
        <v>1302</v>
      </c>
      <c r="E718" s="45">
        <v>1</v>
      </c>
      <c r="F718" s="46">
        <v>4.34</v>
      </c>
      <c r="G718" s="46">
        <f t="shared" si="11"/>
        <v>4.34</v>
      </c>
      <c r="H718" s="47" t="s">
        <v>24</v>
      </c>
      <c r="I718" s="47" t="s">
        <v>58</v>
      </c>
      <c r="J718" s="32"/>
    </row>
    <row r="719" spans="1:10" x14ac:dyDescent="0.2">
      <c r="A719" s="32"/>
      <c r="B719" s="36" t="s">
        <v>1303</v>
      </c>
      <c r="C719" s="37" t="s">
        <v>1271</v>
      </c>
      <c r="D719" s="38" t="s">
        <v>1304</v>
      </c>
      <c r="E719" s="39">
        <v>1</v>
      </c>
      <c r="F719" s="40">
        <v>46.59</v>
      </c>
      <c r="G719" s="40">
        <f t="shared" si="11"/>
        <v>46.59</v>
      </c>
      <c r="H719" s="41" t="s">
        <v>24</v>
      </c>
      <c r="I719" s="41" t="s">
        <v>58</v>
      </c>
      <c r="J719" s="32"/>
    </row>
    <row r="720" spans="1:10" x14ac:dyDescent="0.2">
      <c r="A720" s="32"/>
      <c r="B720" s="42" t="s">
        <v>1305</v>
      </c>
      <c r="C720" s="43" t="s">
        <v>1271</v>
      </c>
      <c r="D720" s="44" t="s">
        <v>1304</v>
      </c>
      <c r="E720" s="45">
        <v>1</v>
      </c>
      <c r="F720" s="46">
        <v>46.59</v>
      </c>
      <c r="G720" s="46">
        <f t="shared" si="11"/>
        <v>46.59</v>
      </c>
      <c r="H720" s="47" t="s">
        <v>24</v>
      </c>
      <c r="I720" s="47" t="s">
        <v>58</v>
      </c>
      <c r="J720" s="32"/>
    </row>
    <row r="721" spans="1:10" x14ac:dyDescent="0.2">
      <c r="A721" s="32"/>
      <c r="B721" s="36" t="s">
        <v>1306</v>
      </c>
      <c r="C721" s="37" t="s">
        <v>1271</v>
      </c>
      <c r="D721" s="38" t="s">
        <v>1304</v>
      </c>
      <c r="E721" s="39">
        <v>1</v>
      </c>
      <c r="F721" s="40">
        <v>46.59</v>
      </c>
      <c r="G721" s="40">
        <f t="shared" si="11"/>
        <v>46.59</v>
      </c>
      <c r="H721" s="41" t="s">
        <v>24</v>
      </c>
      <c r="I721" s="41" t="s">
        <v>58</v>
      </c>
      <c r="J721" s="32"/>
    </row>
    <row r="722" spans="1:10" x14ac:dyDescent="0.2">
      <c r="A722" s="32"/>
      <c r="B722" s="42" t="s">
        <v>1307</v>
      </c>
      <c r="C722" s="43" t="s">
        <v>1271</v>
      </c>
      <c r="D722" s="44" t="s">
        <v>1304</v>
      </c>
      <c r="E722" s="45">
        <v>1</v>
      </c>
      <c r="F722" s="46">
        <v>46.59</v>
      </c>
      <c r="G722" s="46">
        <f t="shared" si="11"/>
        <v>46.59</v>
      </c>
      <c r="H722" s="47" t="s">
        <v>24</v>
      </c>
      <c r="I722" s="47" t="s">
        <v>58</v>
      </c>
      <c r="J722" s="32"/>
    </row>
    <row r="723" spans="1:10" x14ac:dyDescent="0.2">
      <c r="A723" s="32"/>
      <c r="B723" s="36" t="s">
        <v>1308</v>
      </c>
      <c r="C723" s="37" t="s">
        <v>1271</v>
      </c>
      <c r="D723" s="38" t="s">
        <v>1309</v>
      </c>
      <c r="E723" s="39">
        <v>1</v>
      </c>
      <c r="F723" s="40">
        <v>21.39</v>
      </c>
      <c r="G723" s="40">
        <f t="shared" si="11"/>
        <v>21.39</v>
      </c>
      <c r="H723" s="41" t="s">
        <v>24</v>
      </c>
      <c r="I723" s="41" t="s">
        <v>58</v>
      </c>
      <c r="J723" s="32"/>
    </row>
    <row r="724" spans="1:10" x14ac:dyDescent="0.2">
      <c r="A724" s="32"/>
      <c r="B724" s="42" t="s">
        <v>1310</v>
      </c>
      <c r="C724" s="43" t="s">
        <v>1271</v>
      </c>
      <c r="D724" s="44" t="s">
        <v>1311</v>
      </c>
      <c r="E724" s="45">
        <v>1</v>
      </c>
      <c r="F724" s="46">
        <v>21.69</v>
      </c>
      <c r="G724" s="46">
        <f t="shared" si="11"/>
        <v>21.69</v>
      </c>
      <c r="H724" s="47" t="s">
        <v>24</v>
      </c>
      <c r="I724" s="47" t="s">
        <v>58</v>
      </c>
      <c r="J724" s="32"/>
    </row>
    <row r="725" spans="1:10" x14ac:dyDescent="0.2">
      <c r="A725" s="32"/>
      <c r="B725" s="36" t="s">
        <v>1312</v>
      </c>
      <c r="C725" s="37" t="s">
        <v>1271</v>
      </c>
      <c r="D725" s="38" t="s">
        <v>656</v>
      </c>
      <c r="E725" s="39">
        <v>1</v>
      </c>
      <c r="F725" s="40">
        <v>50.99</v>
      </c>
      <c r="G725" s="40">
        <f t="shared" si="11"/>
        <v>50.99</v>
      </c>
      <c r="H725" s="41" t="s">
        <v>24</v>
      </c>
      <c r="I725" s="41" t="s">
        <v>58</v>
      </c>
      <c r="J725" s="32"/>
    </row>
    <row r="726" spans="1:10" x14ac:dyDescent="0.2">
      <c r="A726" s="32"/>
      <c r="B726" s="42" t="s">
        <v>1313</v>
      </c>
      <c r="C726" s="43" t="s">
        <v>1271</v>
      </c>
      <c r="D726" s="44" t="s">
        <v>1314</v>
      </c>
      <c r="E726" s="45">
        <v>1</v>
      </c>
      <c r="F726" s="46">
        <v>12.73</v>
      </c>
      <c r="G726" s="46">
        <f t="shared" si="11"/>
        <v>12.73</v>
      </c>
      <c r="H726" s="47" t="s">
        <v>24</v>
      </c>
      <c r="I726" s="47" t="s">
        <v>58</v>
      </c>
      <c r="J726" s="32"/>
    </row>
    <row r="727" spans="1:10" x14ac:dyDescent="0.2">
      <c r="A727" s="32"/>
      <c r="B727" s="36" t="s">
        <v>1315</v>
      </c>
      <c r="C727" s="37" t="s">
        <v>1271</v>
      </c>
      <c r="D727" s="38" t="s">
        <v>1316</v>
      </c>
      <c r="E727" s="39">
        <v>1</v>
      </c>
      <c r="F727" s="40">
        <v>34.99</v>
      </c>
      <c r="G727" s="40">
        <f t="shared" si="11"/>
        <v>34.99</v>
      </c>
      <c r="H727" s="41" t="s">
        <v>24</v>
      </c>
      <c r="I727" s="41" t="s">
        <v>58</v>
      </c>
      <c r="J727" s="32"/>
    </row>
    <row r="728" spans="1:10" x14ac:dyDescent="0.2">
      <c r="A728" s="32"/>
      <c r="B728" s="42" t="s">
        <v>1317</v>
      </c>
      <c r="C728" s="43" t="s">
        <v>1271</v>
      </c>
      <c r="D728" s="44" t="s">
        <v>88</v>
      </c>
      <c r="E728" s="45">
        <v>1</v>
      </c>
      <c r="F728" s="46">
        <v>24.99</v>
      </c>
      <c r="G728" s="46">
        <f t="shared" si="11"/>
        <v>24.99</v>
      </c>
      <c r="H728" s="47" t="s">
        <v>24</v>
      </c>
      <c r="I728" s="47" t="s">
        <v>58</v>
      </c>
      <c r="J728" s="32"/>
    </row>
    <row r="729" spans="1:10" x14ac:dyDescent="0.2">
      <c r="A729" s="32"/>
      <c r="B729" s="36" t="s">
        <v>1318</v>
      </c>
      <c r="C729" s="37" t="s">
        <v>1271</v>
      </c>
      <c r="D729" s="38" t="s">
        <v>1319</v>
      </c>
      <c r="E729" s="39">
        <v>1</v>
      </c>
      <c r="F729" s="40">
        <v>29.99</v>
      </c>
      <c r="G729" s="40">
        <f t="shared" si="11"/>
        <v>29.99</v>
      </c>
      <c r="H729" s="41" t="s">
        <v>24</v>
      </c>
      <c r="I729" s="41" t="s">
        <v>58</v>
      </c>
      <c r="J729" s="32"/>
    </row>
    <row r="730" spans="1:10" x14ac:dyDescent="0.2">
      <c r="A730" s="32"/>
      <c r="B730" s="42" t="s">
        <v>1320</v>
      </c>
      <c r="C730" s="43" t="s">
        <v>1271</v>
      </c>
      <c r="D730" s="44" t="s">
        <v>1321</v>
      </c>
      <c r="E730" s="45">
        <v>1</v>
      </c>
      <c r="F730" s="46">
        <v>19.989999999999998</v>
      </c>
      <c r="G730" s="46">
        <f t="shared" si="11"/>
        <v>19.989999999999998</v>
      </c>
      <c r="H730" s="47" t="s">
        <v>24</v>
      </c>
      <c r="I730" s="47" t="s">
        <v>58</v>
      </c>
      <c r="J730" s="32"/>
    </row>
    <row r="731" spans="1:10" x14ac:dyDescent="0.2">
      <c r="A731" s="32"/>
      <c r="B731" s="36" t="s">
        <v>1322</v>
      </c>
      <c r="C731" s="37" t="s">
        <v>1271</v>
      </c>
      <c r="D731" s="38" t="s">
        <v>1323</v>
      </c>
      <c r="E731" s="39">
        <v>1</v>
      </c>
      <c r="F731" s="40">
        <v>5.59</v>
      </c>
      <c r="G731" s="40">
        <f t="shared" si="11"/>
        <v>5.59</v>
      </c>
      <c r="H731" s="41" t="s">
        <v>24</v>
      </c>
      <c r="I731" s="41" t="s">
        <v>58</v>
      </c>
      <c r="J731" s="32"/>
    </row>
    <row r="732" spans="1:10" x14ac:dyDescent="0.2">
      <c r="A732" s="32"/>
      <c r="B732" s="42" t="s">
        <v>1324</v>
      </c>
      <c r="C732" s="43" t="s">
        <v>1271</v>
      </c>
      <c r="D732" s="44" t="s">
        <v>1323</v>
      </c>
      <c r="E732" s="45">
        <v>1</v>
      </c>
      <c r="F732" s="46">
        <v>5.59</v>
      </c>
      <c r="G732" s="46">
        <f t="shared" si="11"/>
        <v>5.59</v>
      </c>
      <c r="H732" s="47" t="s">
        <v>24</v>
      </c>
      <c r="I732" s="47" t="s">
        <v>58</v>
      </c>
      <c r="J732" s="32"/>
    </row>
    <row r="733" spans="1:10" x14ac:dyDescent="0.2">
      <c r="A733" s="32"/>
      <c r="B733" s="36" t="s">
        <v>1325</v>
      </c>
      <c r="C733" s="37" t="s">
        <v>1271</v>
      </c>
      <c r="D733" s="38" t="s">
        <v>111</v>
      </c>
      <c r="E733" s="39">
        <v>1</v>
      </c>
      <c r="F733" s="40">
        <v>12.99</v>
      </c>
      <c r="G733" s="40">
        <f t="shared" si="11"/>
        <v>12.99</v>
      </c>
      <c r="H733" s="41" t="s">
        <v>24</v>
      </c>
      <c r="I733" s="41" t="s">
        <v>58</v>
      </c>
      <c r="J733" s="32"/>
    </row>
    <row r="734" spans="1:10" x14ac:dyDescent="0.2">
      <c r="A734" s="32"/>
      <c r="B734" s="42" t="s">
        <v>1326</v>
      </c>
      <c r="C734" s="43" t="s">
        <v>1271</v>
      </c>
      <c r="D734" s="44" t="s">
        <v>111</v>
      </c>
      <c r="E734" s="45">
        <v>1</v>
      </c>
      <c r="F734" s="46">
        <v>12.99</v>
      </c>
      <c r="G734" s="46">
        <f t="shared" si="11"/>
        <v>12.99</v>
      </c>
      <c r="H734" s="47" t="s">
        <v>24</v>
      </c>
      <c r="I734" s="47" t="s">
        <v>58</v>
      </c>
      <c r="J734" s="32"/>
    </row>
    <row r="735" spans="1:10" x14ac:dyDescent="0.2">
      <c r="A735" s="32"/>
      <c r="B735" s="36" t="s">
        <v>1327</v>
      </c>
      <c r="C735" s="37" t="s">
        <v>1271</v>
      </c>
      <c r="D735" s="38" t="s">
        <v>1328</v>
      </c>
      <c r="E735" s="39">
        <v>1</v>
      </c>
      <c r="F735" s="40">
        <v>2.4900000000000002</v>
      </c>
      <c r="G735" s="40">
        <f t="shared" si="11"/>
        <v>2.4900000000000002</v>
      </c>
      <c r="H735" s="41" t="s">
        <v>24</v>
      </c>
      <c r="I735" s="41" t="s">
        <v>58</v>
      </c>
      <c r="J735" s="32"/>
    </row>
    <row r="736" spans="1:10" x14ac:dyDescent="0.2">
      <c r="A736" s="32"/>
      <c r="B736" s="42" t="s">
        <v>1329</v>
      </c>
      <c r="C736" s="43" t="s">
        <v>1271</v>
      </c>
      <c r="D736" s="44" t="s">
        <v>1328</v>
      </c>
      <c r="E736" s="45">
        <v>1</v>
      </c>
      <c r="F736" s="46">
        <v>2.4900000000000002</v>
      </c>
      <c r="G736" s="46">
        <f t="shared" si="11"/>
        <v>2.4900000000000002</v>
      </c>
      <c r="H736" s="47" t="s">
        <v>24</v>
      </c>
      <c r="I736" s="47" t="s">
        <v>58</v>
      </c>
      <c r="J736" s="32"/>
    </row>
    <row r="737" spans="1:10" x14ac:dyDescent="0.2">
      <c r="A737" s="32"/>
      <c r="B737" s="36" t="s">
        <v>1330</v>
      </c>
      <c r="C737" s="37" t="s">
        <v>1271</v>
      </c>
      <c r="D737" s="38" t="s">
        <v>1328</v>
      </c>
      <c r="E737" s="39">
        <v>1</v>
      </c>
      <c r="F737" s="40">
        <v>2.4900000000000002</v>
      </c>
      <c r="G737" s="40">
        <f t="shared" si="11"/>
        <v>2.4900000000000002</v>
      </c>
      <c r="H737" s="41" t="s">
        <v>24</v>
      </c>
      <c r="I737" s="41" t="s">
        <v>58</v>
      </c>
      <c r="J737" s="32"/>
    </row>
    <row r="738" spans="1:10" x14ac:dyDescent="0.2">
      <c r="A738" s="32"/>
      <c r="B738" s="42" t="s">
        <v>1331</v>
      </c>
      <c r="C738" s="43" t="s">
        <v>1271</v>
      </c>
      <c r="D738" s="44" t="s">
        <v>1328</v>
      </c>
      <c r="E738" s="45">
        <v>1</v>
      </c>
      <c r="F738" s="46">
        <v>2.4900000000000002</v>
      </c>
      <c r="G738" s="46">
        <f t="shared" si="11"/>
        <v>2.4900000000000002</v>
      </c>
      <c r="H738" s="47" t="s">
        <v>24</v>
      </c>
      <c r="I738" s="47" t="s">
        <v>58</v>
      </c>
      <c r="J738" s="32"/>
    </row>
    <row r="739" spans="1:10" x14ac:dyDescent="0.2">
      <c r="A739" s="32"/>
      <c r="B739" s="36" t="s">
        <v>1332</v>
      </c>
      <c r="C739" s="37" t="s">
        <v>1271</v>
      </c>
      <c r="D739" s="38" t="s">
        <v>1328</v>
      </c>
      <c r="E739" s="39">
        <v>1</v>
      </c>
      <c r="F739" s="40">
        <v>2.4900000000000002</v>
      </c>
      <c r="G739" s="40">
        <f t="shared" si="11"/>
        <v>2.4900000000000002</v>
      </c>
      <c r="H739" s="41" t="s">
        <v>24</v>
      </c>
      <c r="I739" s="41" t="s">
        <v>58</v>
      </c>
      <c r="J739" s="32"/>
    </row>
    <row r="740" spans="1:10" x14ac:dyDescent="0.2">
      <c r="A740" s="32"/>
      <c r="B740" s="42" t="s">
        <v>1333</v>
      </c>
      <c r="C740" s="43" t="s">
        <v>1271</v>
      </c>
      <c r="D740" s="44" t="s">
        <v>38</v>
      </c>
      <c r="E740" s="45">
        <v>1</v>
      </c>
      <c r="F740" s="46">
        <v>8.25</v>
      </c>
      <c r="G740" s="46">
        <f t="shared" si="11"/>
        <v>8.25</v>
      </c>
      <c r="H740" s="47" t="s">
        <v>24</v>
      </c>
      <c r="I740" s="47" t="s">
        <v>58</v>
      </c>
      <c r="J740" s="32"/>
    </row>
    <row r="741" spans="1:10" x14ac:dyDescent="0.2">
      <c r="A741" s="32"/>
      <c r="B741" s="36" t="s">
        <v>1334</v>
      </c>
      <c r="C741" s="37" t="s">
        <v>1271</v>
      </c>
      <c r="D741" s="38" t="s">
        <v>76</v>
      </c>
      <c r="E741" s="39">
        <v>1</v>
      </c>
      <c r="F741" s="40">
        <v>5.99</v>
      </c>
      <c r="G741" s="40">
        <f t="shared" si="11"/>
        <v>5.99</v>
      </c>
      <c r="H741" s="41" t="s">
        <v>24</v>
      </c>
      <c r="I741" s="41" t="s">
        <v>58</v>
      </c>
      <c r="J741" s="32"/>
    </row>
    <row r="742" spans="1:10" x14ac:dyDescent="0.2">
      <c r="A742" s="32"/>
      <c r="B742" s="42" t="s">
        <v>1335</v>
      </c>
      <c r="C742" s="43" t="s">
        <v>1271</v>
      </c>
      <c r="D742" s="44" t="s">
        <v>1336</v>
      </c>
      <c r="E742" s="45">
        <v>1</v>
      </c>
      <c r="F742" s="46">
        <v>4.6900000000000004</v>
      </c>
      <c r="G742" s="46">
        <f t="shared" si="11"/>
        <v>4.6900000000000004</v>
      </c>
      <c r="H742" s="47" t="s">
        <v>24</v>
      </c>
      <c r="I742" s="47" t="s">
        <v>58</v>
      </c>
      <c r="J742" s="32"/>
    </row>
    <row r="743" spans="1:10" x14ac:dyDescent="0.2">
      <c r="A743" s="32"/>
      <c r="B743" s="36" t="s">
        <v>1337</v>
      </c>
      <c r="C743" s="37" t="s">
        <v>1271</v>
      </c>
      <c r="D743" s="38" t="s">
        <v>1338</v>
      </c>
      <c r="E743" s="39">
        <v>1</v>
      </c>
      <c r="F743" s="40">
        <v>6.29</v>
      </c>
      <c r="G743" s="40">
        <f t="shared" si="11"/>
        <v>6.29</v>
      </c>
      <c r="H743" s="41" t="s">
        <v>24</v>
      </c>
      <c r="I743" s="41" t="s">
        <v>58</v>
      </c>
      <c r="J743" s="32"/>
    </row>
    <row r="744" spans="1:10" x14ac:dyDescent="0.2">
      <c r="A744" s="32"/>
      <c r="B744" s="42" t="s">
        <v>1339</v>
      </c>
      <c r="C744" s="43" t="s">
        <v>1271</v>
      </c>
      <c r="D744" s="44" t="s">
        <v>1340</v>
      </c>
      <c r="E744" s="45">
        <v>1</v>
      </c>
      <c r="F744" s="46">
        <v>33.99</v>
      </c>
      <c r="G744" s="46">
        <f t="shared" si="11"/>
        <v>33.99</v>
      </c>
      <c r="H744" s="47" t="s">
        <v>24</v>
      </c>
      <c r="I744" s="47" t="s">
        <v>58</v>
      </c>
      <c r="J744" s="32"/>
    </row>
    <row r="745" spans="1:10" x14ac:dyDescent="0.2">
      <c r="A745" s="32"/>
      <c r="B745" s="36" t="s">
        <v>1341</v>
      </c>
      <c r="C745" s="37" t="s">
        <v>1271</v>
      </c>
      <c r="D745" s="38" t="s">
        <v>76</v>
      </c>
      <c r="E745" s="39">
        <v>1</v>
      </c>
      <c r="F745" s="40">
        <v>5.99</v>
      </c>
      <c r="G745" s="40">
        <f t="shared" si="11"/>
        <v>5.99</v>
      </c>
      <c r="H745" s="41" t="s">
        <v>24</v>
      </c>
      <c r="I745" s="41" t="s">
        <v>58</v>
      </c>
      <c r="J745" s="32"/>
    </row>
    <row r="746" spans="1:10" x14ac:dyDescent="0.2">
      <c r="A746" s="32"/>
      <c r="B746" s="42" t="s">
        <v>1342</v>
      </c>
      <c r="C746" s="43" t="s">
        <v>1271</v>
      </c>
      <c r="D746" s="44" t="s">
        <v>1343</v>
      </c>
      <c r="E746" s="45">
        <v>1</v>
      </c>
      <c r="F746" s="46">
        <v>4.99</v>
      </c>
      <c r="G746" s="46">
        <f t="shared" si="11"/>
        <v>4.99</v>
      </c>
      <c r="H746" s="47" t="s">
        <v>24</v>
      </c>
      <c r="I746" s="47" t="s">
        <v>58</v>
      </c>
      <c r="J746" s="32"/>
    </row>
    <row r="747" spans="1:10" x14ac:dyDescent="0.2">
      <c r="A747" s="32"/>
      <c r="B747" s="36" t="s">
        <v>1344</v>
      </c>
      <c r="C747" s="37" t="s">
        <v>1271</v>
      </c>
      <c r="D747" s="38" t="s">
        <v>1345</v>
      </c>
      <c r="E747" s="39">
        <v>1</v>
      </c>
      <c r="F747" s="40">
        <v>1.55</v>
      </c>
      <c r="G747" s="40">
        <f t="shared" si="11"/>
        <v>1.55</v>
      </c>
      <c r="H747" s="41" t="s">
        <v>24</v>
      </c>
      <c r="I747" s="41" t="s">
        <v>58</v>
      </c>
      <c r="J747" s="32"/>
    </row>
    <row r="748" spans="1:10" x14ac:dyDescent="0.2">
      <c r="A748" s="32"/>
      <c r="B748" s="42" t="s">
        <v>1346</v>
      </c>
      <c r="C748" s="43" t="s">
        <v>1271</v>
      </c>
      <c r="D748" s="44" t="s">
        <v>1347</v>
      </c>
      <c r="E748" s="45">
        <v>1</v>
      </c>
      <c r="F748" s="46">
        <v>12.69</v>
      </c>
      <c r="G748" s="46">
        <f t="shared" si="11"/>
        <v>12.69</v>
      </c>
      <c r="H748" s="47" t="s">
        <v>24</v>
      </c>
      <c r="I748" s="47" t="s">
        <v>58</v>
      </c>
      <c r="J748" s="32"/>
    </row>
    <row r="749" spans="1:10" x14ac:dyDescent="0.2">
      <c r="A749" s="32"/>
      <c r="B749" s="36" t="s">
        <v>1348</v>
      </c>
      <c r="C749" s="37" t="s">
        <v>1271</v>
      </c>
      <c r="D749" s="38" t="s">
        <v>613</v>
      </c>
      <c r="E749" s="39">
        <v>1</v>
      </c>
      <c r="F749" s="40">
        <v>1.99</v>
      </c>
      <c r="G749" s="40">
        <f t="shared" si="11"/>
        <v>1.99</v>
      </c>
      <c r="H749" s="41" t="s">
        <v>24</v>
      </c>
      <c r="I749" s="41" t="s">
        <v>58</v>
      </c>
      <c r="J749" s="32"/>
    </row>
    <row r="750" spans="1:10" x14ac:dyDescent="0.2">
      <c r="A750" s="32"/>
      <c r="B750" s="42" t="s">
        <v>1349</v>
      </c>
      <c r="C750" s="43" t="s">
        <v>1271</v>
      </c>
      <c r="D750" s="44" t="s">
        <v>1345</v>
      </c>
      <c r="E750" s="45">
        <v>1</v>
      </c>
      <c r="F750" s="46">
        <v>1.55</v>
      </c>
      <c r="G750" s="46">
        <f t="shared" si="11"/>
        <v>1.55</v>
      </c>
      <c r="H750" s="47" t="s">
        <v>24</v>
      </c>
      <c r="I750" s="47" t="s">
        <v>58</v>
      </c>
      <c r="J750" s="32"/>
    </row>
    <row r="751" spans="1:10" x14ac:dyDescent="0.2">
      <c r="A751" s="32"/>
      <c r="B751" s="36" t="s">
        <v>1350</v>
      </c>
      <c r="C751" s="37" t="s">
        <v>1271</v>
      </c>
      <c r="D751" s="38" t="s">
        <v>580</v>
      </c>
      <c r="E751" s="39">
        <v>1</v>
      </c>
      <c r="F751" s="40">
        <v>1.79</v>
      </c>
      <c r="G751" s="40">
        <f t="shared" si="11"/>
        <v>1.79</v>
      </c>
      <c r="H751" s="41" t="s">
        <v>24</v>
      </c>
      <c r="I751" s="41" t="s">
        <v>58</v>
      </c>
      <c r="J751" s="32"/>
    </row>
    <row r="752" spans="1:10" x14ac:dyDescent="0.2">
      <c r="A752" s="32"/>
      <c r="B752" s="42" t="s">
        <v>1351</v>
      </c>
      <c r="C752" s="43" t="s">
        <v>1271</v>
      </c>
      <c r="D752" s="44" t="s">
        <v>613</v>
      </c>
      <c r="E752" s="45">
        <v>1</v>
      </c>
      <c r="F752" s="46">
        <v>1.99</v>
      </c>
      <c r="G752" s="46">
        <f t="shared" si="11"/>
        <v>1.99</v>
      </c>
      <c r="H752" s="47" t="s">
        <v>24</v>
      </c>
      <c r="I752" s="47" t="s">
        <v>58</v>
      </c>
      <c r="J752" s="32"/>
    </row>
    <row r="753" spans="1:10" x14ac:dyDescent="0.2">
      <c r="A753" s="32"/>
      <c r="B753" s="36" t="s">
        <v>1352</v>
      </c>
      <c r="C753" s="37" t="s">
        <v>1271</v>
      </c>
      <c r="D753" s="38" t="s">
        <v>1347</v>
      </c>
      <c r="E753" s="39">
        <v>1</v>
      </c>
      <c r="F753" s="40">
        <v>12.69</v>
      </c>
      <c r="G753" s="40">
        <f t="shared" si="11"/>
        <v>12.69</v>
      </c>
      <c r="H753" s="41" t="s">
        <v>24</v>
      </c>
      <c r="I753" s="41" t="s">
        <v>58</v>
      </c>
      <c r="J753" s="32"/>
    </row>
    <row r="754" spans="1:10" x14ac:dyDescent="0.2">
      <c r="A754" s="32"/>
      <c r="B754" s="42" t="s">
        <v>1353</v>
      </c>
      <c r="C754" s="43" t="s">
        <v>1271</v>
      </c>
      <c r="D754" s="44" t="s">
        <v>593</v>
      </c>
      <c r="E754" s="45">
        <v>1</v>
      </c>
      <c r="F754" s="46">
        <v>7.55</v>
      </c>
      <c r="G754" s="46">
        <f t="shared" si="11"/>
        <v>7.55</v>
      </c>
      <c r="H754" s="47" t="s">
        <v>24</v>
      </c>
      <c r="I754" s="47" t="s">
        <v>58</v>
      </c>
      <c r="J754" s="32"/>
    </row>
    <row r="755" spans="1:10" x14ac:dyDescent="0.2">
      <c r="A755" s="32"/>
      <c r="B755" s="36" t="s">
        <v>1354</v>
      </c>
      <c r="C755" s="37" t="s">
        <v>1271</v>
      </c>
      <c r="D755" s="38" t="s">
        <v>1355</v>
      </c>
      <c r="E755" s="39">
        <v>1</v>
      </c>
      <c r="F755" s="40">
        <v>21.49</v>
      </c>
      <c r="G755" s="40">
        <f t="shared" si="11"/>
        <v>21.49</v>
      </c>
      <c r="H755" s="41" t="s">
        <v>24</v>
      </c>
      <c r="I755" s="41" t="s">
        <v>58</v>
      </c>
      <c r="J755" s="32"/>
    </row>
    <row r="756" spans="1:10" x14ac:dyDescent="0.2">
      <c r="A756" s="32"/>
      <c r="B756" s="42" t="s">
        <v>1356</v>
      </c>
      <c r="C756" s="43" t="s">
        <v>1271</v>
      </c>
      <c r="D756" s="44" t="s">
        <v>1357</v>
      </c>
      <c r="E756" s="45">
        <v>1</v>
      </c>
      <c r="F756" s="46">
        <v>32.880000000000003</v>
      </c>
      <c r="G756" s="46">
        <f t="shared" si="11"/>
        <v>32.880000000000003</v>
      </c>
      <c r="H756" s="47" t="s">
        <v>24</v>
      </c>
      <c r="I756" s="47" t="s">
        <v>58</v>
      </c>
      <c r="J756" s="32"/>
    </row>
    <row r="757" spans="1:10" x14ac:dyDescent="0.2">
      <c r="A757" s="32"/>
      <c r="B757" s="36" t="s">
        <v>1358</v>
      </c>
      <c r="C757" s="37" t="s">
        <v>1271</v>
      </c>
      <c r="D757" s="38" t="s">
        <v>1359</v>
      </c>
      <c r="E757" s="39">
        <v>1</v>
      </c>
      <c r="F757" s="40">
        <v>21.49</v>
      </c>
      <c r="G757" s="40">
        <f t="shared" si="11"/>
        <v>21.49</v>
      </c>
      <c r="H757" s="41" t="s">
        <v>24</v>
      </c>
      <c r="I757" s="41" t="s">
        <v>58</v>
      </c>
      <c r="J757" s="32"/>
    </row>
    <row r="758" spans="1:10" x14ac:dyDescent="0.2">
      <c r="A758" s="32"/>
      <c r="B758" s="42" t="s">
        <v>1360</v>
      </c>
      <c r="C758" s="43" t="s">
        <v>1271</v>
      </c>
      <c r="D758" s="44" t="s">
        <v>1361</v>
      </c>
      <c r="E758" s="45">
        <v>1</v>
      </c>
      <c r="F758" s="46">
        <v>5.23</v>
      </c>
      <c r="G758" s="46">
        <f t="shared" si="11"/>
        <v>5.23</v>
      </c>
      <c r="H758" s="47" t="s">
        <v>24</v>
      </c>
      <c r="I758" s="47" t="s">
        <v>58</v>
      </c>
      <c r="J758" s="32"/>
    </row>
    <row r="759" spans="1:10" x14ac:dyDescent="0.2">
      <c r="A759" s="32"/>
      <c r="B759" s="36" t="s">
        <v>1362</v>
      </c>
      <c r="C759" s="37" t="s">
        <v>1271</v>
      </c>
      <c r="D759" s="38" t="s">
        <v>1361</v>
      </c>
      <c r="E759" s="39">
        <v>1</v>
      </c>
      <c r="F759" s="40">
        <v>5.23</v>
      </c>
      <c r="G759" s="40">
        <f t="shared" si="11"/>
        <v>5.23</v>
      </c>
      <c r="H759" s="41" t="s">
        <v>24</v>
      </c>
      <c r="I759" s="41" t="s">
        <v>58</v>
      </c>
      <c r="J759" s="32"/>
    </row>
    <row r="760" spans="1:10" x14ac:dyDescent="0.2">
      <c r="A760" s="32"/>
      <c r="B760" s="42" t="s">
        <v>1363</v>
      </c>
      <c r="C760" s="43" t="s">
        <v>1271</v>
      </c>
      <c r="D760" s="44" t="s">
        <v>1364</v>
      </c>
      <c r="E760" s="45">
        <v>1</v>
      </c>
      <c r="F760" s="46">
        <v>5.49</v>
      </c>
      <c r="G760" s="46">
        <f t="shared" si="11"/>
        <v>5.49</v>
      </c>
      <c r="H760" s="47" t="s">
        <v>24</v>
      </c>
      <c r="I760" s="47" t="s">
        <v>58</v>
      </c>
      <c r="J760" s="32"/>
    </row>
    <row r="761" spans="1:10" x14ac:dyDescent="0.2">
      <c r="A761" s="32"/>
      <c r="B761" s="36" t="s">
        <v>1365</v>
      </c>
      <c r="C761" s="37" t="s">
        <v>1271</v>
      </c>
      <c r="D761" s="38" t="s">
        <v>1366</v>
      </c>
      <c r="E761" s="39">
        <v>1</v>
      </c>
      <c r="F761" s="40">
        <v>9.99</v>
      </c>
      <c r="G761" s="40">
        <f t="shared" si="11"/>
        <v>9.99</v>
      </c>
      <c r="H761" s="41" t="s">
        <v>24</v>
      </c>
      <c r="I761" s="41" t="s">
        <v>58</v>
      </c>
      <c r="J761" s="32"/>
    </row>
    <row r="762" spans="1:10" x14ac:dyDescent="0.2">
      <c r="A762" s="32"/>
      <c r="B762" s="42" t="s">
        <v>1367</v>
      </c>
      <c r="C762" s="43" t="s">
        <v>1271</v>
      </c>
      <c r="D762" s="44" t="s">
        <v>1368</v>
      </c>
      <c r="E762" s="45">
        <v>1</v>
      </c>
      <c r="F762" s="46">
        <v>1.54</v>
      </c>
      <c r="G762" s="46">
        <f t="shared" si="11"/>
        <v>1.54</v>
      </c>
      <c r="H762" s="47" t="s">
        <v>24</v>
      </c>
      <c r="I762" s="47" t="s">
        <v>58</v>
      </c>
      <c r="J762" s="32"/>
    </row>
    <row r="763" spans="1:10" x14ac:dyDescent="0.2">
      <c r="A763" s="32"/>
      <c r="B763" s="36" t="s">
        <v>1369</v>
      </c>
      <c r="C763" s="37" t="s">
        <v>1271</v>
      </c>
      <c r="D763" s="38" t="s">
        <v>1370</v>
      </c>
      <c r="E763" s="39">
        <v>1</v>
      </c>
      <c r="F763" s="40">
        <v>1.99</v>
      </c>
      <c r="G763" s="40">
        <f t="shared" si="11"/>
        <v>1.99</v>
      </c>
      <c r="H763" s="41" t="s">
        <v>24</v>
      </c>
      <c r="I763" s="41" t="s">
        <v>58</v>
      </c>
      <c r="J763" s="32"/>
    </row>
    <row r="764" spans="1:10" x14ac:dyDescent="0.2">
      <c r="A764" s="32"/>
      <c r="B764" s="42" t="s">
        <v>1371</v>
      </c>
      <c r="C764" s="43" t="s">
        <v>1271</v>
      </c>
      <c r="D764" s="44" t="s">
        <v>1372</v>
      </c>
      <c r="E764" s="45">
        <v>1</v>
      </c>
      <c r="F764" s="46">
        <v>5.79</v>
      </c>
      <c r="G764" s="46">
        <f t="shared" si="11"/>
        <v>5.79</v>
      </c>
      <c r="H764" s="47" t="s">
        <v>24</v>
      </c>
      <c r="I764" s="47" t="s">
        <v>58</v>
      </c>
      <c r="J764" s="32"/>
    </row>
    <row r="765" spans="1:10" x14ac:dyDescent="0.2">
      <c r="A765" s="32"/>
      <c r="B765" s="36" t="s">
        <v>1373</v>
      </c>
      <c r="C765" s="37" t="s">
        <v>1271</v>
      </c>
      <c r="D765" s="38" t="s">
        <v>1372</v>
      </c>
      <c r="E765" s="39">
        <v>1</v>
      </c>
      <c r="F765" s="40">
        <v>5.79</v>
      </c>
      <c r="G765" s="40">
        <f t="shared" si="11"/>
        <v>5.79</v>
      </c>
      <c r="H765" s="41" t="s">
        <v>24</v>
      </c>
      <c r="I765" s="41" t="s">
        <v>58</v>
      </c>
      <c r="J765" s="32"/>
    </row>
    <row r="766" spans="1:10" x14ac:dyDescent="0.2">
      <c r="A766" s="32"/>
      <c r="B766" s="42" t="s">
        <v>1374</v>
      </c>
      <c r="C766" s="43" t="s">
        <v>1271</v>
      </c>
      <c r="D766" s="44" t="s">
        <v>1372</v>
      </c>
      <c r="E766" s="45">
        <v>1</v>
      </c>
      <c r="F766" s="46">
        <v>5.79</v>
      </c>
      <c r="G766" s="46">
        <f t="shared" si="11"/>
        <v>5.79</v>
      </c>
      <c r="H766" s="47" t="s">
        <v>24</v>
      </c>
      <c r="I766" s="47" t="s">
        <v>58</v>
      </c>
      <c r="J766" s="32"/>
    </row>
    <row r="767" spans="1:10" x14ac:dyDescent="0.2">
      <c r="A767" s="32"/>
      <c r="B767" s="36" t="s">
        <v>1375</v>
      </c>
      <c r="C767" s="37" t="s">
        <v>1271</v>
      </c>
      <c r="D767" s="38" t="s">
        <v>39</v>
      </c>
      <c r="E767" s="39">
        <v>1</v>
      </c>
      <c r="F767" s="40">
        <v>8.2899999999999991</v>
      </c>
      <c r="G767" s="40">
        <f t="shared" si="11"/>
        <v>8.2899999999999991</v>
      </c>
      <c r="H767" s="41" t="s">
        <v>24</v>
      </c>
      <c r="I767" s="41" t="s">
        <v>58</v>
      </c>
      <c r="J767" s="32"/>
    </row>
    <row r="768" spans="1:10" x14ac:dyDescent="0.2">
      <c r="A768" s="32"/>
      <c r="B768" s="42" t="s">
        <v>1376</v>
      </c>
      <c r="C768" s="43" t="s">
        <v>1271</v>
      </c>
      <c r="D768" s="44" t="s">
        <v>1377</v>
      </c>
      <c r="E768" s="45">
        <v>1</v>
      </c>
      <c r="F768" s="46">
        <v>19.989999999999998</v>
      </c>
      <c r="G768" s="46">
        <f t="shared" si="11"/>
        <v>19.989999999999998</v>
      </c>
      <c r="H768" s="47" t="s">
        <v>24</v>
      </c>
      <c r="I768" s="47" t="s">
        <v>58</v>
      </c>
      <c r="J768" s="32"/>
    </row>
    <row r="769" spans="1:10" x14ac:dyDescent="0.2">
      <c r="A769" s="32"/>
      <c r="B769" s="36" t="s">
        <v>1378</v>
      </c>
      <c r="C769" s="37" t="s">
        <v>1271</v>
      </c>
      <c r="D769" s="38" t="s">
        <v>148</v>
      </c>
      <c r="E769" s="39">
        <v>1</v>
      </c>
      <c r="F769" s="40">
        <v>19.989999999999998</v>
      </c>
      <c r="G769" s="40">
        <f t="shared" si="11"/>
        <v>19.989999999999998</v>
      </c>
      <c r="H769" s="41" t="s">
        <v>24</v>
      </c>
      <c r="I769" s="41" t="s">
        <v>58</v>
      </c>
      <c r="J769" s="32"/>
    </row>
    <row r="770" spans="1:10" x14ac:dyDescent="0.2">
      <c r="A770" s="32"/>
      <c r="B770" s="42" t="s">
        <v>1379</v>
      </c>
      <c r="C770" s="43" t="s">
        <v>1271</v>
      </c>
      <c r="D770" s="44" t="s">
        <v>148</v>
      </c>
      <c r="E770" s="45">
        <v>1</v>
      </c>
      <c r="F770" s="46">
        <v>19.989999999999998</v>
      </c>
      <c r="G770" s="46">
        <f t="shared" si="11"/>
        <v>19.989999999999998</v>
      </c>
      <c r="H770" s="47" t="s">
        <v>24</v>
      </c>
      <c r="I770" s="47" t="s">
        <v>58</v>
      </c>
      <c r="J770" s="32"/>
    </row>
    <row r="771" spans="1:10" x14ac:dyDescent="0.2">
      <c r="A771" s="32"/>
      <c r="B771" s="36" t="s">
        <v>1380</v>
      </c>
      <c r="C771" s="37" t="s">
        <v>1271</v>
      </c>
      <c r="D771" s="38" t="s">
        <v>1381</v>
      </c>
      <c r="E771" s="39">
        <v>1</v>
      </c>
      <c r="F771" s="40">
        <v>9.99</v>
      </c>
      <c r="G771" s="40">
        <f t="shared" si="11"/>
        <v>9.99</v>
      </c>
      <c r="H771" s="41" t="s">
        <v>24</v>
      </c>
      <c r="I771" s="41" t="s">
        <v>58</v>
      </c>
      <c r="J771" s="32"/>
    </row>
    <row r="772" spans="1:10" x14ac:dyDescent="0.2">
      <c r="A772" s="32"/>
      <c r="B772" s="42" t="s">
        <v>1382</v>
      </c>
      <c r="C772" s="43" t="s">
        <v>1271</v>
      </c>
      <c r="D772" s="44" t="s">
        <v>1381</v>
      </c>
      <c r="E772" s="45">
        <v>1</v>
      </c>
      <c r="F772" s="46">
        <v>9.99</v>
      </c>
      <c r="G772" s="46">
        <f t="shared" si="11"/>
        <v>9.99</v>
      </c>
      <c r="H772" s="47" t="s">
        <v>24</v>
      </c>
      <c r="I772" s="47" t="s">
        <v>58</v>
      </c>
      <c r="J772" s="32"/>
    </row>
    <row r="773" spans="1:10" x14ac:dyDescent="0.2">
      <c r="A773" s="32"/>
      <c r="B773" s="36" t="s">
        <v>1383</v>
      </c>
      <c r="C773" s="37" t="s">
        <v>1271</v>
      </c>
      <c r="D773" s="38" t="s">
        <v>1381</v>
      </c>
      <c r="E773" s="39">
        <v>1</v>
      </c>
      <c r="F773" s="40">
        <v>9.99</v>
      </c>
      <c r="G773" s="40">
        <f t="shared" ref="G773:G836" si="12">E773*F773</f>
        <v>9.99</v>
      </c>
      <c r="H773" s="41" t="s">
        <v>24</v>
      </c>
      <c r="I773" s="41" t="s">
        <v>58</v>
      </c>
      <c r="J773" s="32"/>
    </row>
    <row r="774" spans="1:10" x14ac:dyDescent="0.2">
      <c r="A774" s="32"/>
      <c r="B774" s="42" t="s">
        <v>1384</v>
      </c>
      <c r="C774" s="43" t="s">
        <v>1271</v>
      </c>
      <c r="D774" s="44" t="s">
        <v>1385</v>
      </c>
      <c r="E774" s="45">
        <v>1</v>
      </c>
      <c r="F774" s="46">
        <v>19.98</v>
      </c>
      <c r="G774" s="46">
        <f t="shared" si="12"/>
        <v>19.98</v>
      </c>
      <c r="H774" s="47" t="s">
        <v>25</v>
      </c>
      <c r="I774" s="47" t="s">
        <v>58</v>
      </c>
      <c r="J774" s="32"/>
    </row>
    <row r="775" spans="1:10" x14ac:dyDescent="0.2">
      <c r="A775" s="32"/>
      <c r="B775" s="36" t="s">
        <v>1386</v>
      </c>
      <c r="C775" s="37" t="s">
        <v>1271</v>
      </c>
      <c r="D775" s="38" t="s">
        <v>1387</v>
      </c>
      <c r="E775" s="39">
        <v>1</v>
      </c>
      <c r="F775" s="40">
        <v>41.79</v>
      </c>
      <c r="G775" s="40">
        <f t="shared" si="12"/>
        <v>41.79</v>
      </c>
      <c r="H775" s="41" t="s">
        <v>24</v>
      </c>
      <c r="I775" s="41" t="s">
        <v>58</v>
      </c>
      <c r="J775" s="32"/>
    </row>
    <row r="776" spans="1:10" x14ac:dyDescent="0.2">
      <c r="A776" s="32"/>
      <c r="B776" s="42" t="s">
        <v>1388</v>
      </c>
      <c r="C776" s="43" t="s">
        <v>1271</v>
      </c>
      <c r="D776" s="44" t="s">
        <v>199</v>
      </c>
      <c r="E776" s="45">
        <v>1</v>
      </c>
      <c r="F776" s="46">
        <v>10.89</v>
      </c>
      <c r="G776" s="46">
        <f t="shared" si="12"/>
        <v>10.89</v>
      </c>
      <c r="H776" s="47" t="s">
        <v>24</v>
      </c>
      <c r="I776" s="47" t="s">
        <v>58</v>
      </c>
      <c r="J776" s="32"/>
    </row>
    <row r="777" spans="1:10" x14ac:dyDescent="0.2">
      <c r="A777" s="32"/>
      <c r="B777" s="36" t="s">
        <v>1389</v>
      </c>
      <c r="C777" s="37" t="s">
        <v>1271</v>
      </c>
      <c r="D777" s="38" t="s">
        <v>199</v>
      </c>
      <c r="E777" s="39">
        <v>1</v>
      </c>
      <c r="F777" s="40">
        <v>10.89</v>
      </c>
      <c r="G777" s="40">
        <f t="shared" si="12"/>
        <v>10.89</v>
      </c>
      <c r="H777" s="41" t="s">
        <v>24</v>
      </c>
      <c r="I777" s="41" t="s">
        <v>58</v>
      </c>
      <c r="J777" s="32"/>
    </row>
    <row r="778" spans="1:10" x14ac:dyDescent="0.2">
      <c r="A778" s="32"/>
      <c r="B778" s="42" t="s">
        <v>1390</v>
      </c>
      <c r="C778" s="43" t="s">
        <v>1271</v>
      </c>
      <c r="D778" s="44" t="s">
        <v>196</v>
      </c>
      <c r="E778" s="45">
        <v>1</v>
      </c>
      <c r="F778" s="46">
        <v>4.3899999999999997</v>
      </c>
      <c r="G778" s="46">
        <f t="shared" si="12"/>
        <v>4.3899999999999997</v>
      </c>
      <c r="H778" s="47" t="s">
        <v>25</v>
      </c>
      <c r="I778" s="47" t="s">
        <v>58</v>
      </c>
      <c r="J778" s="32"/>
    </row>
    <row r="779" spans="1:10" x14ac:dyDescent="0.2">
      <c r="A779" s="32"/>
      <c r="B779" s="36" t="s">
        <v>1391</v>
      </c>
      <c r="C779" s="37" t="s">
        <v>1271</v>
      </c>
      <c r="D779" s="38" t="s">
        <v>834</v>
      </c>
      <c r="E779" s="39">
        <v>1</v>
      </c>
      <c r="F779" s="40">
        <v>4.3899999999999997</v>
      </c>
      <c r="G779" s="40">
        <f t="shared" si="12"/>
        <v>4.3899999999999997</v>
      </c>
      <c r="H779" s="41" t="s">
        <v>25</v>
      </c>
      <c r="I779" s="41" t="s">
        <v>58</v>
      </c>
      <c r="J779" s="32"/>
    </row>
    <row r="780" spans="1:10" x14ac:dyDescent="0.2">
      <c r="A780" s="32"/>
      <c r="B780" s="42" t="s">
        <v>1392</v>
      </c>
      <c r="C780" s="43" t="s">
        <v>1271</v>
      </c>
      <c r="D780" s="44" t="s">
        <v>1393</v>
      </c>
      <c r="E780" s="45">
        <v>1</v>
      </c>
      <c r="F780" s="46">
        <v>19.98</v>
      </c>
      <c r="G780" s="46">
        <f t="shared" si="12"/>
        <v>19.98</v>
      </c>
      <c r="H780" s="47" t="s">
        <v>25</v>
      </c>
      <c r="I780" s="47" t="s">
        <v>58</v>
      </c>
      <c r="J780" s="32"/>
    </row>
    <row r="781" spans="1:10" x14ac:dyDescent="0.2">
      <c r="A781" s="32"/>
      <c r="B781" s="36" t="s">
        <v>1394</v>
      </c>
      <c r="C781" s="37" t="s">
        <v>1271</v>
      </c>
      <c r="D781" s="38" t="s">
        <v>1395</v>
      </c>
      <c r="E781" s="39">
        <v>1</v>
      </c>
      <c r="F781" s="40">
        <v>8.39</v>
      </c>
      <c r="G781" s="40">
        <f t="shared" si="12"/>
        <v>8.39</v>
      </c>
      <c r="H781" s="41" t="s">
        <v>25</v>
      </c>
      <c r="I781" s="41" t="s">
        <v>58</v>
      </c>
      <c r="J781" s="32"/>
    </row>
    <row r="782" spans="1:10" x14ac:dyDescent="0.2">
      <c r="A782" s="32"/>
      <c r="B782" s="42" t="s">
        <v>1396</v>
      </c>
      <c r="C782" s="43" t="s">
        <v>1271</v>
      </c>
      <c r="D782" s="44" t="s">
        <v>1395</v>
      </c>
      <c r="E782" s="45">
        <v>1</v>
      </c>
      <c r="F782" s="46">
        <v>8.39</v>
      </c>
      <c r="G782" s="46">
        <f t="shared" si="12"/>
        <v>8.39</v>
      </c>
      <c r="H782" s="47" t="s">
        <v>25</v>
      </c>
      <c r="I782" s="47" t="s">
        <v>58</v>
      </c>
      <c r="J782" s="32"/>
    </row>
    <row r="783" spans="1:10" x14ac:dyDescent="0.2">
      <c r="A783" s="32"/>
      <c r="B783" s="36" t="s">
        <v>1397</v>
      </c>
      <c r="C783" s="37" t="s">
        <v>1271</v>
      </c>
      <c r="D783" s="38" t="s">
        <v>1398</v>
      </c>
      <c r="E783" s="39">
        <v>1</v>
      </c>
      <c r="F783" s="40">
        <v>39.99</v>
      </c>
      <c r="G783" s="40">
        <f t="shared" si="12"/>
        <v>39.99</v>
      </c>
      <c r="H783" s="41" t="s">
        <v>24</v>
      </c>
      <c r="I783" s="41" t="s">
        <v>58</v>
      </c>
      <c r="J783" s="32"/>
    </row>
    <row r="784" spans="1:10" x14ac:dyDescent="0.2">
      <c r="A784" s="32"/>
      <c r="B784" s="42" t="s">
        <v>1399</v>
      </c>
      <c r="C784" s="43" t="s">
        <v>1271</v>
      </c>
      <c r="D784" s="44" t="s">
        <v>1400</v>
      </c>
      <c r="E784" s="45">
        <v>1</v>
      </c>
      <c r="F784" s="46">
        <v>78.900000000000006</v>
      </c>
      <c r="G784" s="46">
        <f t="shared" si="12"/>
        <v>78.900000000000006</v>
      </c>
      <c r="H784" s="47" t="s">
        <v>24</v>
      </c>
      <c r="I784" s="47" t="s">
        <v>58</v>
      </c>
      <c r="J784" s="32"/>
    </row>
    <row r="785" spans="1:10" x14ac:dyDescent="0.2">
      <c r="A785" s="32"/>
      <c r="B785" s="36" t="s">
        <v>1401</v>
      </c>
      <c r="C785" s="37" t="s">
        <v>1271</v>
      </c>
      <c r="D785" s="38" t="s">
        <v>1402</v>
      </c>
      <c r="E785" s="39">
        <v>1</v>
      </c>
      <c r="F785" s="40">
        <v>62.99</v>
      </c>
      <c r="G785" s="40">
        <f t="shared" si="12"/>
        <v>62.99</v>
      </c>
      <c r="H785" s="41" t="s">
        <v>24</v>
      </c>
      <c r="I785" s="41" t="s">
        <v>58</v>
      </c>
      <c r="J785" s="32"/>
    </row>
    <row r="786" spans="1:10" x14ac:dyDescent="0.2">
      <c r="A786" s="32"/>
      <c r="B786" s="42" t="s">
        <v>1403</v>
      </c>
      <c r="C786" s="43" t="s">
        <v>1404</v>
      </c>
      <c r="D786" s="44" t="s">
        <v>485</v>
      </c>
      <c r="E786" s="45">
        <v>1</v>
      </c>
      <c r="F786" s="46">
        <v>57.4</v>
      </c>
      <c r="G786" s="46">
        <f t="shared" si="12"/>
        <v>57.4</v>
      </c>
      <c r="H786" s="47" t="s">
        <v>24</v>
      </c>
      <c r="I786" s="47" t="s">
        <v>58</v>
      </c>
      <c r="J786" s="32"/>
    </row>
    <row r="787" spans="1:10" x14ac:dyDescent="0.2">
      <c r="A787" s="32"/>
      <c r="B787" s="36" t="s">
        <v>1405</v>
      </c>
      <c r="C787" s="37" t="s">
        <v>1404</v>
      </c>
      <c r="D787" s="38" t="s">
        <v>41</v>
      </c>
      <c r="E787" s="39">
        <v>1</v>
      </c>
      <c r="F787" s="40">
        <v>6.5</v>
      </c>
      <c r="G787" s="40">
        <f t="shared" si="12"/>
        <v>6.5</v>
      </c>
      <c r="H787" s="41" t="s">
        <v>26</v>
      </c>
      <c r="I787" s="41" t="s">
        <v>58</v>
      </c>
      <c r="J787" s="32"/>
    </row>
    <row r="788" spans="1:10" x14ac:dyDescent="0.2">
      <c r="A788" s="32"/>
      <c r="B788" s="42" t="s">
        <v>1406</v>
      </c>
      <c r="C788" s="43" t="s">
        <v>1407</v>
      </c>
      <c r="D788" s="44" t="s">
        <v>485</v>
      </c>
      <c r="E788" s="45">
        <v>1</v>
      </c>
      <c r="F788" s="46">
        <v>61.4</v>
      </c>
      <c r="G788" s="46">
        <f t="shared" si="12"/>
        <v>61.4</v>
      </c>
      <c r="H788" s="47" t="s">
        <v>24</v>
      </c>
      <c r="I788" s="47" t="s">
        <v>58</v>
      </c>
      <c r="J788" s="32"/>
    </row>
    <row r="789" spans="1:10" x14ac:dyDescent="0.2">
      <c r="A789" s="32"/>
      <c r="B789" s="36" t="s">
        <v>1408</v>
      </c>
      <c r="C789" s="37" t="s">
        <v>1407</v>
      </c>
      <c r="D789" s="38" t="s">
        <v>41</v>
      </c>
      <c r="E789" s="39">
        <v>1</v>
      </c>
      <c r="F789" s="40">
        <v>6.5</v>
      </c>
      <c r="G789" s="40">
        <f t="shared" si="12"/>
        <v>6.5</v>
      </c>
      <c r="H789" s="41" t="s">
        <v>26</v>
      </c>
      <c r="I789" s="41" t="s">
        <v>58</v>
      </c>
      <c r="J789" s="32"/>
    </row>
    <row r="790" spans="1:10" x14ac:dyDescent="0.2">
      <c r="A790" s="32"/>
      <c r="B790" s="42" t="s">
        <v>1409</v>
      </c>
      <c r="C790" s="43" t="s">
        <v>1410</v>
      </c>
      <c r="D790" s="44" t="s">
        <v>485</v>
      </c>
      <c r="E790" s="45">
        <v>1</v>
      </c>
      <c r="F790" s="46">
        <v>60.5</v>
      </c>
      <c r="G790" s="46">
        <f t="shared" si="12"/>
        <v>60.5</v>
      </c>
      <c r="H790" s="47" t="s">
        <v>24</v>
      </c>
      <c r="I790" s="47" t="s">
        <v>58</v>
      </c>
      <c r="J790" s="32"/>
    </row>
    <row r="791" spans="1:10" x14ac:dyDescent="0.2">
      <c r="A791" s="32"/>
      <c r="B791" s="36" t="s">
        <v>1411</v>
      </c>
      <c r="C791" s="37" t="s">
        <v>1410</v>
      </c>
      <c r="D791" s="38" t="s">
        <v>41</v>
      </c>
      <c r="E791" s="39">
        <v>1</v>
      </c>
      <c r="F791" s="40">
        <v>6.5</v>
      </c>
      <c r="G791" s="40">
        <f t="shared" si="12"/>
        <v>6.5</v>
      </c>
      <c r="H791" s="41" t="s">
        <v>26</v>
      </c>
      <c r="I791" s="41" t="s">
        <v>58</v>
      </c>
      <c r="J791" s="32"/>
    </row>
    <row r="792" spans="1:10" x14ac:dyDescent="0.2">
      <c r="A792" s="32"/>
      <c r="B792" s="42" t="s">
        <v>1412</v>
      </c>
      <c r="C792" s="43" t="s">
        <v>1413</v>
      </c>
      <c r="D792" s="44" t="s">
        <v>1414</v>
      </c>
      <c r="E792" s="45">
        <v>1</v>
      </c>
      <c r="F792" s="46">
        <v>24.21</v>
      </c>
      <c r="G792" s="46">
        <f t="shared" si="12"/>
        <v>24.21</v>
      </c>
      <c r="H792" s="47" t="s">
        <v>24</v>
      </c>
      <c r="I792" s="47" t="s">
        <v>71</v>
      </c>
      <c r="J792" s="32"/>
    </row>
    <row r="793" spans="1:10" x14ac:dyDescent="0.2">
      <c r="A793" s="32"/>
      <c r="B793" s="36" t="s">
        <v>1415</v>
      </c>
      <c r="C793" s="37" t="s">
        <v>1413</v>
      </c>
      <c r="D793" s="38" t="s">
        <v>706</v>
      </c>
      <c r="E793" s="39">
        <v>1</v>
      </c>
      <c r="F793" s="40">
        <v>4.38</v>
      </c>
      <c r="G793" s="40">
        <f t="shared" si="12"/>
        <v>4.38</v>
      </c>
      <c r="H793" s="41" t="s">
        <v>25</v>
      </c>
      <c r="I793" s="41" t="s">
        <v>58</v>
      </c>
      <c r="J793" s="32"/>
    </row>
    <row r="794" spans="1:10" x14ac:dyDescent="0.2">
      <c r="A794" s="32"/>
      <c r="B794" s="42" t="s">
        <v>1416</v>
      </c>
      <c r="C794" s="43" t="s">
        <v>1413</v>
      </c>
      <c r="D794" s="44" t="s">
        <v>1417</v>
      </c>
      <c r="E794" s="45">
        <v>1</v>
      </c>
      <c r="F794" s="46">
        <v>12.45</v>
      </c>
      <c r="G794" s="46">
        <f t="shared" si="12"/>
        <v>12.45</v>
      </c>
      <c r="H794" s="47" t="s">
        <v>24</v>
      </c>
      <c r="I794" s="47" t="s">
        <v>58</v>
      </c>
      <c r="J794" s="32"/>
    </row>
    <row r="795" spans="1:10" x14ac:dyDescent="0.2">
      <c r="A795" s="32"/>
      <c r="B795" s="36" t="s">
        <v>1418</v>
      </c>
      <c r="C795" s="37" t="s">
        <v>1413</v>
      </c>
      <c r="D795" s="38" t="s">
        <v>1419</v>
      </c>
      <c r="E795" s="39">
        <v>1</v>
      </c>
      <c r="F795" s="40">
        <v>9.99</v>
      </c>
      <c r="G795" s="40">
        <f t="shared" si="12"/>
        <v>9.99</v>
      </c>
      <c r="H795" s="41" t="s">
        <v>25</v>
      </c>
      <c r="I795" s="41" t="s">
        <v>71</v>
      </c>
      <c r="J795" s="32"/>
    </row>
    <row r="796" spans="1:10" x14ac:dyDescent="0.2">
      <c r="A796" s="32"/>
      <c r="B796" s="42" t="s">
        <v>1420</v>
      </c>
      <c r="C796" s="43" t="s">
        <v>1413</v>
      </c>
      <c r="D796" s="44" t="s">
        <v>515</v>
      </c>
      <c r="E796" s="45">
        <v>1</v>
      </c>
      <c r="F796" s="46">
        <v>40</v>
      </c>
      <c r="G796" s="46">
        <f t="shared" si="12"/>
        <v>40</v>
      </c>
      <c r="H796" s="47" t="s">
        <v>25</v>
      </c>
      <c r="I796" s="47" t="s">
        <v>58</v>
      </c>
      <c r="J796" s="32"/>
    </row>
    <row r="797" spans="1:10" x14ac:dyDescent="0.2">
      <c r="A797" s="32"/>
      <c r="B797" s="36" t="s">
        <v>1421</v>
      </c>
      <c r="C797" s="37" t="s">
        <v>1422</v>
      </c>
      <c r="D797" s="38" t="s">
        <v>1423</v>
      </c>
      <c r="E797" s="39">
        <v>1</v>
      </c>
      <c r="F797" s="40">
        <v>200</v>
      </c>
      <c r="G797" s="40">
        <f t="shared" si="12"/>
        <v>200</v>
      </c>
      <c r="H797" s="41" t="s">
        <v>28</v>
      </c>
      <c r="I797" s="41" t="s">
        <v>58</v>
      </c>
      <c r="J797" s="32"/>
    </row>
    <row r="798" spans="1:10" x14ac:dyDescent="0.2">
      <c r="A798" s="32"/>
      <c r="B798" s="42" t="s">
        <v>1424</v>
      </c>
      <c r="C798" s="43" t="s">
        <v>1425</v>
      </c>
      <c r="D798" s="44" t="s">
        <v>485</v>
      </c>
      <c r="E798" s="45">
        <v>1</v>
      </c>
      <c r="F798" s="46">
        <v>59</v>
      </c>
      <c r="G798" s="46">
        <f t="shared" si="12"/>
        <v>59</v>
      </c>
      <c r="H798" s="47" t="s">
        <v>24</v>
      </c>
      <c r="I798" s="47" t="s">
        <v>58</v>
      </c>
      <c r="J798" s="32"/>
    </row>
    <row r="799" spans="1:10" x14ac:dyDescent="0.2">
      <c r="A799" s="32"/>
      <c r="B799" s="36" t="s">
        <v>1426</v>
      </c>
      <c r="C799" s="37" t="s">
        <v>1425</v>
      </c>
      <c r="D799" s="38" t="s">
        <v>41</v>
      </c>
      <c r="E799" s="39">
        <v>1</v>
      </c>
      <c r="F799" s="40">
        <v>6.5</v>
      </c>
      <c r="G799" s="40">
        <f t="shared" si="12"/>
        <v>6.5</v>
      </c>
      <c r="H799" s="41" t="s">
        <v>26</v>
      </c>
      <c r="I799" s="41" t="s">
        <v>58</v>
      </c>
      <c r="J799" s="32"/>
    </row>
    <row r="800" spans="1:10" x14ac:dyDescent="0.2">
      <c r="A800" s="32"/>
      <c r="B800" s="42" t="s">
        <v>1427</v>
      </c>
      <c r="C800" s="43" t="s">
        <v>1428</v>
      </c>
      <c r="D800" s="44" t="s">
        <v>485</v>
      </c>
      <c r="E800" s="45">
        <v>1</v>
      </c>
      <c r="F800" s="46">
        <v>59</v>
      </c>
      <c r="G800" s="46">
        <f t="shared" si="12"/>
        <v>59</v>
      </c>
      <c r="H800" s="47" t="s">
        <v>24</v>
      </c>
      <c r="I800" s="47" t="s">
        <v>58</v>
      </c>
      <c r="J800" s="32"/>
    </row>
    <row r="801" spans="1:10" x14ac:dyDescent="0.2">
      <c r="A801" s="32"/>
      <c r="B801" s="36" t="s">
        <v>1429</v>
      </c>
      <c r="C801" s="37" t="s">
        <v>1428</v>
      </c>
      <c r="D801" s="38" t="s">
        <v>41</v>
      </c>
      <c r="E801" s="39">
        <v>1</v>
      </c>
      <c r="F801" s="40">
        <v>6.5</v>
      </c>
      <c r="G801" s="40">
        <f t="shared" si="12"/>
        <v>6.5</v>
      </c>
      <c r="H801" s="41" t="s">
        <v>26</v>
      </c>
      <c r="I801" s="41" t="s">
        <v>58</v>
      </c>
      <c r="J801" s="32"/>
    </row>
    <row r="802" spans="1:10" x14ac:dyDescent="0.2">
      <c r="A802" s="32"/>
      <c r="B802" s="42" t="s">
        <v>1430</v>
      </c>
      <c r="C802" s="43" t="s">
        <v>1428</v>
      </c>
      <c r="D802" s="44" t="s">
        <v>54</v>
      </c>
      <c r="E802" s="45">
        <v>1</v>
      </c>
      <c r="F802" s="46">
        <v>5.99</v>
      </c>
      <c r="G802" s="46">
        <f t="shared" si="12"/>
        <v>5.99</v>
      </c>
      <c r="H802" s="47" t="s">
        <v>26</v>
      </c>
      <c r="I802" s="47" t="s">
        <v>55</v>
      </c>
      <c r="J802" s="32"/>
    </row>
    <row r="803" spans="1:10" x14ac:dyDescent="0.2">
      <c r="A803" s="32"/>
      <c r="B803" s="36" t="s">
        <v>1431</v>
      </c>
      <c r="C803" s="37" t="s">
        <v>1428</v>
      </c>
      <c r="D803" s="38" t="s">
        <v>896</v>
      </c>
      <c r="E803" s="39">
        <v>1</v>
      </c>
      <c r="F803" s="40">
        <v>4.49</v>
      </c>
      <c r="G803" s="40">
        <f t="shared" si="12"/>
        <v>4.49</v>
      </c>
      <c r="H803" s="41" t="s">
        <v>24</v>
      </c>
      <c r="I803" s="41" t="s">
        <v>58</v>
      </c>
      <c r="J803" s="32"/>
    </row>
    <row r="804" spans="1:10" x14ac:dyDescent="0.2">
      <c r="A804" s="32"/>
      <c r="B804" s="42" t="s">
        <v>1432</v>
      </c>
      <c r="C804" s="43" t="s">
        <v>1433</v>
      </c>
      <c r="D804" s="44" t="s">
        <v>485</v>
      </c>
      <c r="E804" s="45">
        <v>1</v>
      </c>
      <c r="F804" s="46">
        <v>56.5</v>
      </c>
      <c r="G804" s="46">
        <f t="shared" si="12"/>
        <v>56.5</v>
      </c>
      <c r="H804" s="47" t="s">
        <v>24</v>
      </c>
      <c r="I804" s="47" t="s">
        <v>58</v>
      </c>
      <c r="J804" s="32"/>
    </row>
    <row r="805" spans="1:10" x14ac:dyDescent="0.2">
      <c r="A805" s="32"/>
      <c r="B805" s="36" t="s">
        <v>1434</v>
      </c>
      <c r="C805" s="37" t="s">
        <v>1433</v>
      </c>
      <c r="D805" s="38" t="s">
        <v>41</v>
      </c>
      <c r="E805" s="39">
        <v>1</v>
      </c>
      <c r="F805" s="40">
        <v>6.5</v>
      </c>
      <c r="G805" s="40">
        <f t="shared" si="12"/>
        <v>6.5</v>
      </c>
      <c r="H805" s="41" t="s">
        <v>26</v>
      </c>
      <c r="I805" s="41" t="s">
        <v>58</v>
      </c>
      <c r="J805" s="32"/>
    </row>
    <row r="806" spans="1:10" x14ac:dyDescent="0.2">
      <c r="A806" s="32"/>
      <c r="B806" s="42" t="s">
        <v>1435</v>
      </c>
      <c r="C806" s="43" t="s">
        <v>1436</v>
      </c>
      <c r="D806" s="44" t="s">
        <v>337</v>
      </c>
      <c r="E806" s="45">
        <v>1</v>
      </c>
      <c r="F806" s="46">
        <v>46</v>
      </c>
      <c r="G806" s="46">
        <f t="shared" si="12"/>
        <v>46</v>
      </c>
      <c r="H806" s="47" t="s">
        <v>24</v>
      </c>
      <c r="I806" s="47" t="s">
        <v>338</v>
      </c>
      <c r="J806" s="32"/>
    </row>
    <row r="807" spans="1:10" x14ac:dyDescent="0.2">
      <c r="A807" s="32"/>
      <c r="B807" s="36" t="s">
        <v>1437</v>
      </c>
      <c r="C807" s="37" t="s">
        <v>1436</v>
      </c>
      <c r="D807" s="38" t="s">
        <v>1217</v>
      </c>
      <c r="E807" s="39">
        <v>1</v>
      </c>
      <c r="F807" s="40">
        <v>77</v>
      </c>
      <c r="G807" s="40">
        <f t="shared" si="12"/>
        <v>77</v>
      </c>
      <c r="H807" s="41" t="s">
        <v>24</v>
      </c>
      <c r="I807" s="41" t="s">
        <v>58</v>
      </c>
      <c r="J807" s="32"/>
    </row>
    <row r="808" spans="1:10" x14ac:dyDescent="0.2">
      <c r="A808" s="32"/>
      <c r="B808" s="42" t="s">
        <v>1438</v>
      </c>
      <c r="C808" s="43" t="s">
        <v>1436</v>
      </c>
      <c r="D808" s="44" t="s">
        <v>41</v>
      </c>
      <c r="E808" s="45">
        <v>1</v>
      </c>
      <c r="F808" s="46">
        <v>14</v>
      </c>
      <c r="G808" s="46">
        <f t="shared" si="12"/>
        <v>14</v>
      </c>
      <c r="H808" s="47" t="s">
        <v>26</v>
      </c>
      <c r="I808" s="47" t="s">
        <v>58</v>
      </c>
      <c r="J808" s="32"/>
    </row>
    <row r="809" spans="1:10" x14ac:dyDescent="0.2">
      <c r="A809" s="32"/>
      <c r="B809" s="36" t="s">
        <v>1439</v>
      </c>
      <c r="C809" s="37" t="s">
        <v>1440</v>
      </c>
      <c r="D809" s="38" t="s">
        <v>337</v>
      </c>
      <c r="E809" s="39">
        <v>1</v>
      </c>
      <c r="F809" s="40">
        <v>46</v>
      </c>
      <c r="G809" s="40">
        <f t="shared" si="12"/>
        <v>46</v>
      </c>
      <c r="H809" s="41" t="s">
        <v>24</v>
      </c>
      <c r="I809" s="41" t="s">
        <v>338</v>
      </c>
      <c r="J809" s="32"/>
    </row>
    <row r="810" spans="1:10" x14ac:dyDescent="0.2">
      <c r="A810" s="32"/>
      <c r="B810" s="42" t="s">
        <v>1441</v>
      </c>
      <c r="C810" s="43" t="s">
        <v>1440</v>
      </c>
      <c r="D810" s="44" t="s">
        <v>41</v>
      </c>
      <c r="E810" s="45">
        <v>1</v>
      </c>
      <c r="F810" s="46">
        <v>14</v>
      </c>
      <c r="G810" s="46">
        <f t="shared" si="12"/>
        <v>14</v>
      </c>
      <c r="H810" s="47" t="s">
        <v>26</v>
      </c>
      <c r="I810" s="47" t="s">
        <v>58</v>
      </c>
      <c r="J810" s="32"/>
    </row>
    <row r="811" spans="1:10" x14ac:dyDescent="0.2">
      <c r="A811" s="32"/>
      <c r="B811" s="36" t="s">
        <v>1442</v>
      </c>
      <c r="C811" s="37" t="s">
        <v>1443</v>
      </c>
      <c r="D811" s="38" t="s">
        <v>1444</v>
      </c>
      <c r="E811" s="39">
        <v>1</v>
      </c>
      <c r="F811" s="40">
        <v>10.59</v>
      </c>
      <c r="G811" s="40">
        <f t="shared" si="12"/>
        <v>10.59</v>
      </c>
      <c r="H811" s="41" t="s">
        <v>24</v>
      </c>
      <c r="I811" s="41" t="s">
        <v>58</v>
      </c>
      <c r="J811" s="32"/>
    </row>
    <row r="812" spans="1:10" x14ac:dyDescent="0.2">
      <c r="A812" s="32"/>
      <c r="B812" s="42" t="s">
        <v>1445</v>
      </c>
      <c r="C812" s="43" t="s">
        <v>1443</v>
      </c>
      <c r="D812" s="44" t="s">
        <v>1398</v>
      </c>
      <c r="E812" s="45">
        <v>1</v>
      </c>
      <c r="F812" s="46">
        <v>47.9</v>
      </c>
      <c r="G812" s="46">
        <f t="shared" si="12"/>
        <v>47.9</v>
      </c>
      <c r="H812" s="47" t="s">
        <v>24</v>
      </c>
      <c r="I812" s="47" t="s">
        <v>58</v>
      </c>
      <c r="J812" s="32"/>
    </row>
    <row r="813" spans="1:10" x14ac:dyDescent="0.2">
      <c r="A813" s="32"/>
      <c r="B813" s="36" t="s">
        <v>1446</v>
      </c>
      <c r="C813" s="37" t="s">
        <v>1443</v>
      </c>
      <c r="D813" s="38" t="s">
        <v>1402</v>
      </c>
      <c r="E813" s="39">
        <v>1</v>
      </c>
      <c r="F813" s="40">
        <v>62.99</v>
      </c>
      <c r="G813" s="40">
        <f t="shared" si="12"/>
        <v>62.99</v>
      </c>
      <c r="H813" s="41" t="s">
        <v>24</v>
      </c>
      <c r="I813" s="41" t="s">
        <v>58</v>
      </c>
      <c r="J813" s="32"/>
    </row>
    <row r="814" spans="1:10" x14ac:dyDescent="0.2">
      <c r="A814" s="32"/>
      <c r="B814" s="42" t="s">
        <v>1447</v>
      </c>
      <c r="C814" s="43" t="s">
        <v>1443</v>
      </c>
      <c r="D814" s="44" t="s">
        <v>1448</v>
      </c>
      <c r="E814" s="45">
        <v>1</v>
      </c>
      <c r="F814" s="46">
        <v>36.99</v>
      </c>
      <c r="G814" s="46">
        <f t="shared" si="12"/>
        <v>36.99</v>
      </c>
      <c r="H814" s="47" t="s">
        <v>24</v>
      </c>
      <c r="I814" s="47" t="s">
        <v>58</v>
      </c>
      <c r="J814" s="32"/>
    </row>
    <row r="815" spans="1:10" x14ac:dyDescent="0.2">
      <c r="A815" s="32"/>
      <c r="B815" s="36" t="s">
        <v>1449</v>
      </c>
      <c r="C815" s="37" t="s">
        <v>1443</v>
      </c>
      <c r="D815" s="38" t="s">
        <v>103</v>
      </c>
      <c r="E815" s="39">
        <v>1</v>
      </c>
      <c r="F815" s="40">
        <v>31.49</v>
      </c>
      <c r="G815" s="40">
        <f t="shared" si="12"/>
        <v>31.49</v>
      </c>
      <c r="H815" s="41" t="s">
        <v>24</v>
      </c>
      <c r="I815" s="41" t="s">
        <v>58</v>
      </c>
      <c r="J815" s="32"/>
    </row>
    <row r="816" spans="1:10" x14ac:dyDescent="0.2">
      <c r="A816" s="32"/>
      <c r="B816" s="42" t="s">
        <v>1450</v>
      </c>
      <c r="C816" s="43" t="s">
        <v>1443</v>
      </c>
      <c r="D816" s="44" t="s">
        <v>1451</v>
      </c>
      <c r="E816" s="45">
        <v>1</v>
      </c>
      <c r="F816" s="46">
        <v>13.39</v>
      </c>
      <c r="G816" s="46">
        <f t="shared" si="12"/>
        <v>13.39</v>
      </c>
      <c r="H816" s="47" t="s">
        <v>24</v>
      </c>
      <c r="I816" s="47" t="s">
        <v>58</v>
      </c>
      <c r="J816" s="32"/>
    </row>
    <row r="817" spans="1:10" x14ac:dyDescent="0.2">
      <c r="A817" s="32"/>
      <c r="B817" s="36" t="s">
        <v>1452</v>
      </c>
      <c r="C817" s="37" t="s">
        <v>1443</v>
      </c>
      <c r="D817" s="38" t="s">
        <v>1453</v>
      </c>
      <c r="E817" s="39">
        <v>1</v>
      </c>
      <c r="F817" s="40">
        <v>16.989999999999998</v>
      </c>
      <c r="G817" s="40">
        <f t="shared" si="12"/>
        <v>16.989999999999998</v>
      </c>
      <c r="H817" s="41" t="s">
        <v>24</v>
      </c>
      <c r="I817" s="41" t="s">
        <v>58</v>
      </c>
      <c r="J817" s="32"/>
    </row>
    <row r="818" spans="1:10" x14ac:dyDescent="0.2">
      <c r="A818" s="32"/>
      <c r="B818" s="42" t="s">
        <v>1454</v>
      </c>
      <c r="C818" s="43" t="s">
        <v>1443</v>
      </c>
      <c r="D818" s="44" t="s">
        <v>1455</v>
      </c>
      <c r="E818" s="45">
        <v>1</v>
      </c>
      <c r="F818" s="46">
        <v>12.39</v>
      </c>
      <c r="G818" s="46">
        <f t="shared" si="12"/>
        <v>12.39</v>
      </c>
      <c r="H818" s="47" t="s">
        <v>24</v>
      </c>
      <c r="I818" s="47" t="s">
        <v>58</v>
      </c>
      <c r="J818" s="32"/>
    </row>
    <row r="819" spans="1:10" x14ac:dyDescent="0.2">
      <c r="A819" s="32"/>
      <c r="B819" s="36" t="s">
        <v>1456</v>
      </c>
      <c r="C819" s="37" t="s">
        <v>1443</v>
      </c>
      <c r="D819" s="38" t="s">
        <v>1455</v>
      </c>
      <c r="E819" s="39">
        <v>1</v>
      </c>
      <c r="F819" s="40">
        <v>12.39</v>
      </c>
      <c r="G819" s="40">
        <f t="shared" si="12"/>
        <v>12.39</v>
      </c>
      <c r="H819" s="41" t="s">
        <v>24</v>
      </c>
      <c r="I819" s="41" t="s">
        <v>58</v>
      </c>
      <c r="J819" s="32"/>
    </row>
    <row r="820" spans="1:10" x14ac:dyDescent="0.2">
      <c r="A820" s="32"/>
      <c r="B820" s="42" t="s">
        <v>1457</v>
      </c>
      <c r="C820" s="43" t="s">
        <v>1443</v>
      </c>
      <c r="D820" s="44" t="s">
        <v>1458</v>
      </c>
      <c r="E820" s="45">
        <v>1</v>
      </c>
      <c r="F820" s="46">
        <v>16.39</v>
      </c>
      <c r="G820" s="46">
        <f t="shared" si="12"/>
        <v>16.39</v>
      </c>
      <c r="H820" s="47" t="s">
        <v>24</v>
      </c>
      <c r="I820" s="47" t="s">
        <v>58</v>
      </c>
      <c r="J820" s="32"/>
    </row>
    <row r="821" spans="1:10" x14ac:dyDescent="0.2">
      <c r="A821" s="32"/>
      <c r="B821" s="36" t="s">
        <v>1459</v>
      </c>
      <c r="C821" s="37" t="s">
        <v>1443</v>
      </c>
      <c r="D821" s="38" t="s">
        <v>1460</v>
      </c>
      <c r="E821" s="39">
        <v>1</v>
      </c>
      <c r="F821" s="40">
        <v>9.99</v>
      </c>
      <c r="G821" s="40">
        <f t="shared" si="12"/>
        <v>9.99</v>
      </c>
      <c r="H821" s="41" t="s">
        <v>24</v>
      </c>
      <c r="I821" s="41" t="s">
        <v>58</v>
      </c>
      <c r="J821" s="32"/>
    </row>
    <row r="822" spans="1:10" x14ac:dyDescent="0.2">
      <c r="A822" s="32"/>
      <c r="B822" s="42" t="s">
        <v>1461</v>
      </c>
      <c r="C822" s="43" t="s">
        <v>1443</v>
      </c>
      <c r="D822" s="44" t="s">
        <v>1458</v>
      </c>
      <c r="E822" s="45">
        <v>1</v>
      </c>
      <c r="F822" s="46">
        <v>16.39</v>
      </c>
      <c r="G822" s="46">
        <f t="shared" si="12"/>
        <v>16.39</v>
      </c>
      <c r="H822" s="47" t="s">
        <v>24</v>
      </c>
      <c r="I822" s="47" t="s">
        <v>58</v>
      </c>
      <c r="J822" s="32"/>
    </row>
    <row r="823" spans="1:10" x14ac:dyDescent="0.2">
      <c r="A823" s="32"/>
      <c r="B823" s="36" t="s">
        <v>1462</v>
      </c>
      <c r="C823" s="37" t="s">
        <v>1443</v>
      </c>
      <c r="D823" s="38" t="s">
        <v>1463</v>
      </c>
      <c r="E823" s="39">
        <v>1</v>
      </c>
      <c r="F823" s="40">
        <v>4.99</v>
      </c>
      <c r="G823" s="40">
        <f t="shared" si="12"/>
        <v>4.99</v>
      </c>
      <c r="H823" s="41" t="s">
        <v>24</v>
      </c>
      <c r="I823" s="41" t="s">
        <v>58</v>
      </c>
      <c r="J823" s="32"/>
    </row>
    <row r="824" spans="1:10" x14ac:dyDescent="0.2">
      <c r="A824" s="32"/>
      <c r="B824" s="42" t="s">
        <v>1464</v>
      </c>
      <c r="C824" s="43" t="s">
        <v>1443</v>
      </c>
      <c r="D824" s="44" t="s">
        <v>111</v>
      </c>
      <c r="E824" s="45">
        <v>1</v>
      </c>
      <c r="F824" s="46">
        <v>12.99</v>
      </c>
      <c r="G824" s="46">
        <f t="shared" si="12"/>
        <v>12.99</v>
      </c>
      <c r="H824" s="47" t="s">
        <v>24</v>
      </c>
      <c r="I824" s="47" t="s">
        <v>58</v>
      </c>
      <c r="J824" s="32"/>
    </row>
    <row r="825" spans="1:10" x14ac:dyDescent="0.2">
      <c r="A825" s="32"/>
      <c r="B825" s="36" t="s">
        <v>1465</v>
      </c>
      <c r="C825" s="37" t="s">
        <v>1443</v>
      </c>
      <c r="D825" s="38" t="s">
        <v>1451</v>
      </c>
      <c r="E825" s="39">
        <v>1</v>
      </c>
      <c r="F825" s="40">
        <v>13.39</v>
      </c>
      <c r="G825" s="40">
        <f t="shared" si="12"/>
        <v>13.39</v>
      </c>
      <c r="H825" s="41" t="s">
        <v>24</v>
      </c>
      <c r="I825" s="41" t="s">
        <v>58</v>
      </c>
      <c r="J825" s="32"/>
    </row>
    <row r="826" spans="1:10" x14ac:dyDescent="0.2">
      <c r="A826" s="32"/>
      <c r="B826" s="42" t="s">
        <v>1466</v>
      </c>
      <c r="C826" s="43" t="s">
        <v>1443</v>
      </c>
      <c r="D826" s="44" t="s">
        <v>1366</v>
      </c>
      <c r="E826" s="45">
        <v>1</v>
      </c>
      <c r="F826" s="46">
        <v>9.99</v>
      </c>
      <c r="G826" s="46">
        <f t="shared" si="12"/>
        <v>9.99</v>
      </c>
      <c r="H826" s="47" t="s">
        <v>24</v>
      </c>
      <c r="I826" s="47" t="s">
        <v>58</v>
      </c>
      <c r="J826" s="32"/>
    </row>
    <row r="827" spans="1:10" x14ac:dyDescent="0.2">
      <c r="A827" s="32"/>
      <c r="B827" s="36" t="s">
        <v>1467</v>
      </c>
      <c r="C827" s="37" t="s">
        <v>1443</v>
      </c>
      <c r="D827" s="38" t="s">
        <v>111</v>
      </c>
      <c r="E827" s="39">
        <v>1</v>
      </c>
      <c r="F827" s="40">
        <v>12.99</v>
      </c>
      <c r="G827" s="40">
        <f t="shared" si="12"/>
        <v>12.99</v>
      </c>
      <c r="H827" s="41" t="s">
        <v>24</v>
      </c>
      <c r="I827" s="41" t="s">
        <v>58</v>
      </c>
      <c r="J827" s="32"/>
    </row>
    <row r="828" spans="1:10" x14ac:dyDescent="0.2">
      <c r="A828" s="32"/>
      <c r="B828" s="42" t="s">
        <v>1468</v>
      </c>
      <c r="C828" s="43" t="s">
        <v>1443</v>
      </c>
      <c r="D828" s="44" t="s">
        <v>111</v>
      </c>
      <c r="E828" s="45">
        <v>1</v>
      </c>
      <c r="F828" s="46">
        <v>12.99</v>
      </c>
      <c r="G828" s="46">
        <f t="shared" si="12"/>
        <v>12.99</v>
      </c>
      <c r="H828" s="47" t="s">
        <v>24</v>
      </c>
      <c r="I828" s="47" t="s">
        <v>58</v>
      </c>
      <c r="J828" s="32"/>
    </row>
    <row r="829" spans="1:10" x14ac:dyDescent="0.2">
      <c r="A829" s="32"/>
      <c r="B829" s="36" t="s">
        <v>1469</v>
      </c>
      <c r="C829" s="37" t="s">
        <v>1443</v>
      </c>
      <c r="D829" s="38" t="s">
        <v>1319</v>
      </c>
      <c r="E829" s="39">
        <v>1</v>
      </c>
      <c r="F829" s="40">
        <v>33.590000000000003</v>
      </c>
      <c r="G829" s="40">
        <f t="shared" si="12"/>
        <v>33.590000000000003</v>
      </c>
      <c r="H829" s="41" t="s">
        <v>24</v>
      </c>
      <c r="I829" s="41" t="s">
        <v>58</v>
      </c>
      <c r="J829" s="32"/>
    </row>
    <row r="830" spans="1:10" x14ac:dyDescent="0.2">
      <c r="A830" s="32"/>
      <c r="B830" s="42" t="s">
        <v>1470</v>
      </c>
      <c r="C830" s="43" t="s">
        <v>1443</v>
      </c>
      <c r="D830" s="44" t="s">
        <v>88</v>
      </c>
      <c r="E830" s="45">
        <v>1</v>
      </c>
      <c r="F830" s="46">
        <v>24.99</v>
      </c>
      <c r="G830" s="46">
        <f t="shared" si="12"/>
        <v>24.99</v>
      </c>
      <c r="H830" s="47" t="s">
        <v>24</v>
      </c>
      <c r="I830" s="47" t="s">
        <v>58</v>
      </c>
      <c r="J830" s="32"/>
    </row>
    <row r="831" spans="1:10" x14ac:dyDescent="0.2">
      <c r="A831" s="32"/>
      <c r="B831" s="36" t="s">
        <v>1471</v>
      </c>
      <c r="C831" s="37" t="s">
        <v>1443</v>
      </c>
      <c r="D831" s="38" t="s">
        <v>88</v>
      </c>
      <c r="E831" s="39">
        <v>1</v>
      </c>
      <c r="F831" s="40">
        <v>24.99</v>
      </c>
      <c r="G831" s="40">
        <f t="shared" si="12"/>
        <v>24.99</v>
      </c>
      <c r="H831" s="41" t="s">
        <v>24</v>
      </c>
      <c r="I831" s="41" t="s">
        <v>58</v>
      </c>
      <c r="J831" s="32"/>
    </row>
    <row r="832" spans="1:10" x14ac:dyDescent="0.2">
      <c r="A832" s="32"/>
      <c r="B832" s="42" t="s">
        <v>1472</v>
      </c>
      <c r="C832" s="43" t="s">
        <v>1443</v>
      </c>
      <c r="D832" s="44" t="s">
        <v>1473</v>
      </c>
      <c r="E832" s="45">
        <v>1</v>
      </c>
      <c r="F832" s="46">
        <v>19.989999999999998</v>
      </c>
      <c r="G832" s="46">
        <f t="shared" si="12"/>
        <v>19.989999999999998</v>
      </c>
      <c r="H832" s="47" t="s">
        <v>24</v>
      </c>
      <c r="I832" s="47" t="s">
        <v>58</v>
      </c>
      <c r="J832" s="32"/>
    </row>
    <row r="833" spans="1:10" x14ac:dyDescent="0.2">
      <c r="A833" s="32"/>
      <c r="B833" s="36" t="s">
        <v>1474</v>
      </c>
      <c r="C833" s="37" t="s">
        <v>1443</v>
      </c>
      <c r="D833" s="38" t="s">
        <v>1475</v>
      </c>
      <c r="E833" s="39">
        <v>1</v>
      </c>
      <c r="F833" s="40">
        <v>15.99</v>
      </c>
      <c r="G833" s="40">
        <f t="shared" si="12"/>
        <v>15.99</v>
      </c>
      <c r="H833" s="41" t="s">
        <v>24</v>
      </c>
      <c r="I833" s="41" t="s">
        <v>58</v>
      </c>
      <c r="J833" s="32"/>
    </row>
    <row r="834" spans="1:10" x14ac:dyDescent="0.2">
      <c r="A834" s="32"/>
      <c r="B834" s="42" t="s">
        <v>1476</v>
      </c>
      <c r="C834" s="43" t="s">
        <v>1443</v>
      </c>
      <c r="D834" s="44" t="s">
        <v>1473</v>
      </c>
      <c r="E834" s="45">
        <v>1</v>
      </c>
      <c r="F834" s="46">
        <v>19.989999999999998</v>
      </c>
      <c r="G834" s="46">
        <f t="shared" si="12"/>
        <v>19.989999999999998</v>
      </c>
      <c r="H834" s="47" t="s">
        <v>24</v>
      </c>
      <c r="I834" s="47" t="s">
        <v>58</v>
      </c>
      <c r="J834" s="32"/>
    </row>
    <row r="835" spans="1:10" x14ac:dyDescent="0.2">
      <c r="A835" s="32"/>
      <c r="B835" s="36" t="s">
        <v>1477</v>
      </c>
      <c r="C835" s="37" t="s">
        <v>1443</v>
      </c>
      <c r="D835" s="38" t="s">
        <v>1478</v>
      </c>
      <c r="E835" s="39">
        <v>1</v>
      </c>
      <c r="F835" s="40">
        <v>5.49</v>
      </c>
      <c r="G835" s="40">
        <f t="shared" si="12"/>
        <v>5.49</v>
      </c>
      <c r="H835" s="41" t="s">
        <v>24</v>
      </c>
      <c r="I835" s="41" t="s">
        <v>58</v>
      </c>
      <c r="J835" s="32"/>
    </row>
    <row r="836" spans="1:10" x14ac:dyDescent="0.2">
      <c r="A836" s="32"/>
      <c r="B836" s="42" t="s">
        <v>1479</v>
      </c>
      <c r="C836" s="43" t="s">
        <v>1443</v>
      </c>
      <c r="D836" s="44" t="s">
        <v>1361</v>
      </c>
      <c r="E836" s="45">
        <v>1</v>
      </c>
      <c r="F836" s="46">
        <v>5.23</v>
      </c>
      <c r="G836" s="46">
        <f t="shared" si="12"/>
        <v>5.23</v>
      </c>
      <c r="H836" s="47" t="s">
        <v>24</v>
      </c>
      <c r="I836" s="47" t="s">
        <v>58</v>
      </c>
      <c r="J836" s="32"/>
    </row>
    <row r="837" spans="1:10" x14ac:dyDescent="0.2">
      <c r="A837" s="32"/>
      <c r="B837" s="36" t="s">
        <v>1480</v>
      </c>
      <c r="C837" s="37" t="s">
        <v>1443</v>
      </c>
      <c r="D837" s="38" t="s">
        <v>1481</v>
      </c>
      <c r="E837" s="39">
        <v>1</v>
      </c>
      <c r="F837" s="40">
        <v>5.23</v>
      </c>
      <c r="G837" s="40">
        <f t="shared" ref="G837:G900" si="13">E837*F837</f>
        <v>5.23</v>
      </c>
      <c r="H837" s="41" t="s">
        <v>24</v>
      </c>
      <c r="I837" s="41" t="s">
        <v>58</v>
      </c>
      <c r="J837" s="32"/>
    </row>
    <row r="838" spans="1:10" x14ac:dyDescent="0.2">
      <c r="A838" s="32"/>
      <c r="B838" s="42" t="s">
        <v>1482</v>
      </c>
      <c r="C838" s="43" t="s">
        <v>1443</v>
      </c>
      <c r="D838" s="44" t="s">
        <v>1481</v>
      </c>
      <c r="E838" s="45">
        <v>1</v>
      </c>
      <c r="F838" s="46">
        <v>5.23</v>
      </c>
      <c r="G838" s="46">
        <f t="shared" si="13"/>
        <v>5.23</v>
      </c>
      <c r="H838" s="47" t="s">
        <v>24</v>
      </c>
      <c r="I838" s="47" t="s">
        <v>58</v>
      </c>
      <c r="J838" s="32"/>
    </row>
    <row r="839" spans="1:10" x14ac:dyDescent="0.2">
      <c r="A839" s="32"/>
      <c r="B839" s="36" t="s">
        <v>1483</v>
      </c>
      <c r="C839" s="37" t="s">
        <v>1443</v>
      </c>
      <c r="D839" s="38" t="s">
        <v>1481</v>
      </c>
      <c r="E839" s="39">
        <v>1</v>
      </c>
      <c r="F839" s="40">
        <v>5.23</v>
      </c>
      <c r="G839" s="40">
        <f t="shared" si="13"/>
        <v>5.23</v>
      </c>
      <c r="H839" s="41" t="s">
        <v>24</v>
      </c>
      <c r="I839" s="41" t="s">
        <v>58</v>
      </c>
      <c r="J839" s="32"/>
    </row>
    <row r="840" spans="1:10" x14ac:dyDescent="0.2">
      <c r="A840" s="32"/>
      <c r="B840" s="42" t="s">
        <v>1484</v>
      </c>
      <c r="C840" s="43" t="s">
        <v>1443</v>
      </c>
      <c r="D840" s="44" t="s">
        <v>1485</v>
      </c>
      <c r="E840" s="45">
        <v>1</v>
      </c>
      <c r="F840" s="46">
        <v>12.94</v>
      </c>
      <c r="G840" s="46">
        <f t="shared" si="13"/>
        <v>12.94</v>
      </c>
      <c r="H840" s="47" t="s">
        <v>24</v>
      </c>
      <c r="I840" s="47" t="s">
        <v>58</v>
      </c>
      <c r="J840" s="32"/>
    </row>
    <row r="841" spans="1:10" x14ac:dyDescent="0.2">
      <c r="A841" s="32"/>
      <c r="B841" s="36" t="s">
        <v>1486</v>
      </c>
      <c r="C841" s="37" t="s">
        <v>1443</v>
      </c>
      <c r="D841" s="38" t="s">
        <v>1487</v>
      </c>
      <c r="E841" s="39">
        <v>1</v>
      </c>
      <c r="F841" s="40">
        <v>5.99</v>
      </c>
      <c r="G841" s="40">
        <f t="shared" si="13"/>
        <v>5.99</v>
      </c>
      <c r="H841" s="41" t="s">
        <v>24</v>
      </c>
      <c r="I841" s="41" t="s">
        <v>58</v>
      </c>
      <c r="J841" s="32"/>
    </row>
    <row r="842" spans="1:10" x14ac:dyDescent="0.2">
      <c r="A842" s="32"/>
      <c r="B842" s="42" t="s">
        <v>1488</v>
      </c>
      <c r="C842" s="43" t="s">
        <v>1443</v>
      </c>
      <c r="D842" s="44" t="s">
        <v>1487</v>
      </c>
      <c r="E842" s="45">
        <v>1</v>
      </c>
      <c r="F842" s="46">
        <v>5.99</v>
      </c>
      <c r="G842" s="46">
        <f t="shared" si="13"/>
        <v>5.99</v>
      </c>
      <c r="H842" s="47" t="s">
        <v>24</v>
      </c>
      <c r="I842" s="47" t="s">
        <v>58</v>
      </c>
      <c r="J842" s="32"/>
    </row>
    <row r="843" spans="1:10" x14ac:dyDescent="0.2">
      <c r="A843" s="32"/>
      <c r="B843" s="36" t="s">
        <v>1489</v>
      </c>
      <c r="C843" s="37" t="s">
        <v>1443</v>
      </c>
      <c r="D843" s="38" t="s">
        <v>1490</v>
      </c>
      <c r="E843" s="39">
        <v>1</v>
      </c>
      <c r="F843" s="40">
        <v>2.12</v>
      </c>
      <c r="G843" s="40">
        <f t="shared" si="13"/>
        <v>2.12</v>
      </c>
      <c r="H843" s="41" t="s">
        <v>24</v>
      </c>
      <c r="I843" s="41" t="s">
        <v>58</v>
      </c>
      <c r="J843" s="32"/>
    </row>
    <row r="844" spans="1:10" x14ac:dyDescent="0.2">
      <c r="A844" s="32"/>
      <c r="B844" s="42" t="s">
        <v>1491</v>
      </c>
      <c r="C844" s="43" t="s">
        <v>1443</v>
      </c>
      <c r="D844" s="44" t="s">
        <v>1490</v>
      </c>
      <c r="E844" s="45">
        <v>1</v>
      </c>
      <c r="F844" s="46">
        <v>2.12</v>
      </c>
      <c r="G844" s="46">
        <f t="shared" si="13"/>
        <v>2.12</v>
      </c>
      <c r="H844" s="47" t="s">
        <v>24</v>
      </c>
      <c r="I844" s="47" t="s">
        <v>58</v>
      </c>
      <c r="J844" s="32"/>
    </row>
    <row r="845" spans="1:10" x14ac:dyDescent="0.2">
      <c r="A845" s="32"/>
      <c r="B845" s="36" t="s">
        <v>1492</v>
      </c>
      <c r="C845" s="37" t="s">
        <v>1443</v>
      </c>
      <c r="D845" s="38" t="s">
        <v>1493</v>
      </c>
      <c r="E845" s="39">
        <v>1</v>
      </c>
      <c r="F845" s="40">
        <v>3.99</v>
      </c>
      <c r="G845" s="40">
        <f t="shared" si="13"/>
        <v>3.99</v>
      </c>
      <c r="H845" s="41" t="s">
        <v>24</v>
      </c>
      <c r="I845" s="41" t="s">
        <v>58</v>
      </c>
      <c r="J845" s="32"/>
    </row>
    <row r="846" spans="1:10" x14ac:dyDescent="0.2">
      <c r="A846" s="32"/>
      <c r="B846" s="42" t="s">
        <v>1494</v>
      </c>
      <c r="C846" s="43" t="s">
        <v>1443</v>
      </c>
      <c r="D846" s="44" t="s">
        <v>1495</v>
      </c>
      <c r="E846" s="45">
        <v>1</v>
      </c>
      <c r="F846" s="46">
        <v>2.79</v>
      </c>
      <c r="G846" s="46">
        <f t="shared" si="13"/>
        <v>2.79</v>
      </c>
      <c r="H846" s="47" t="s">
        <v>24</v>
      </c>
      <c r="I846" s="47" t="s">
        <v>58</v>
      </c>
      <c r="J846" s="32"/>
    </row>
    <row r="847" spans="1:10" x14ac:dyDescent="0.2">
      <c r="A847" s="32"/>
      <c r="B847" s="36" t="s">
        <v>1496</v>
      </c>
      <c r="C847" s="37" t="s">
        <v>1443</v>
      </c>
      <c r="D847" s="38" t="s">
        <v>1497</v>
      </c>
      <c r="E847" s="39">
        <v>1</v>
      </c>
      <c r="F847" s="40">
        <v>1.49</v>
      </c>
      <c r="G847" s="40">
        <f t="shared" si="13"/>
        <v>1.49</v>
      </c>
      <c r="H847" s="41" t="s">
        <v>24</v>
      </c>
      <c r="I847" s="41" t="s">
        <v>58</v>
      </c>
      <c r="J847" s="32"/>
    </row>
    <row r="848" spans="1:10" x14ac:dyDescent="0.2">
      <c r="A848" s="32"/>
      <c r="B848" s="42" t="s">
        <v>1498</v>
      </c>
      <c r="C848" s="43" t="s">
        <v>1443</v>
      </c>
      <c r="D848" s="44" t="s">
        <v>1497</v>
      </c>
      <c r="E848" s="45">
        <v>1</v>
      </c>
      <c r="F848" s="46">
        <v>1.49</v>
      </c>
      <c r="G848" s="46">
        <f t="shared" si="13"/>
        <v>1.49</v>
      </c>
      <c r="H848" s="47" t="s">
        <v>24</v>
      </c>
      <c r="I848" s="47" t="s">
        <v>58</v>
      </c>
      <c r="J848" s="32"/>
    </row>
    <row r="849" spans="1:10" x14ac:dyDescent="0.2">
      <c r="A849" s="32"/>
      <c r="B849" s="36" t="s">
        <v>1499</v>
      </c>
      <c r="C849" s="37" t="s">
        <v>1443</v>
      </c>
      <c r="D849" s="38" t="s">
        <v>1497</v>
      </c>
      <c r="E849" s="39">
        <v>1</v>
      </c>
      <c r="F849" s="40">
        <v>1.49</v>
      </c>
      <c r="G849" s="40">
        <f t="shared" si="13"/>
        <v>1.49</v>
      </c>
      <c r="H849" s="41" t="s">
        <v>24</v>
      </c>
      <c r="I849" s="41" t="s">
        <v>58</v>
      </c>
      <c r="J849" s="32"/>
    </row>
    <row r="850" spans="1:10" x14ac:dyDescent="0.2">
      <c r="A850" s="32"/>
      <c r="B850" s="42" t="s">
        <v>1500</v>
      </c>
      <c r="C850" s="43" t="s">
        <v>1443</v>
      </c>
      <c r="D850" s="44" t="s">
        <v>1501</v>
      </c>
      <c r="E850" s="45">
        <v>1</v>
      </c>
      <c r="F850" s="46">
        <v>4.79</v>
      </c>
      <c r="G850" s="46">
        <f t="shared" si="13"/>
        <v>4.79</v>
      </c>
      <c r="H850" s="47" t="s">
        <v>24</v>
      </c>
      <c r="I850" s="47" t="s">
        <v>58</v>
      </c>
      <c r="J850" s="32"/>
    </row>
    <row r="851" spans="1:10" x14ac:dyDescent="0.2">
      <c r="A851" s="32"/>
      <c r="B851" s="36" t="s">
        <v>1502</v>
      </c>
      <c r="C851" s="37" t="s">
        <v>1443</v>
      </c>
      <c r="D851" s="38" t="s">
        <v>1503</v>
      </c>
      <c r="E851" s="39">
        <v>1</v>
      </c>
      <c r="F851" s="40">
        <v>4.79</v>
      </c>
      <c r="G851" s="40">
        <f t="shared" si="13"/>
        <v>4.79</v>
      </c>
      <c r="H851" s="41" t="s">
        <v>24</v>
      </c>
      <c r="I851" s="41" t="s">
        <v>58</v>
      </c>
      <c r="J851" s="32"/>
    </row>
    <row r="852" spans="1:10" x14ac:dyDescent="0.2">
      <c r="A852" s="32"/>
      <c r="B852" s="42" t="s">
        <v>1504</v>
      </c>
      <c r="C852" s="43" t="s">
        <v>1443</v>
      </c>
      <c r="D852" s="44" t="s">
        <v>1505</v>
      </c>
      <c r="E852" s="45">
        <v>1</v>
      </c>
      <c r="F852" s="46">
        <v>19.989999999999998</v>
      </c>
      <c r="G852" s="46">
        <f t="shared" si="13"/>
        <v>19.989999999999998</v>
      </c>
      <c r="H852" s="47" t="s">
        <v>24</v>
      </c>
      <c r="I852" s="47" t="s">
        <v>58</v>
      </c>
      <c r="J852" s="32"/>
    </row>
    <row r="853" spans="1:10" x14ac:dyDescent="0.2">
      <c r="A853" s="32"/>
      <c r="B853" s="36" t="s">
        <v>1506</v>
      </c>
      <c r="C853" s="37" t="s">
        <v>1443</v>
      </c>
      <c r="D853" s="38" t="s">
        <v>1507</v>
      </c>
      <c r="E853" s="39">
        <v>1</v>
      </c>
      <c r="F853" s="40">
        <v>25.99</v>
      </c>
      <c r="G853" s="40">
        <f t="shared" si="13"/>
        <v>25.99</v>
      </c>
      <c r="H853" s="41" t="s">
        <v>24</v>
      </c>
      <c r="I853" s="41" t="s">
        <v>58</v>
      </c>
      <c r="J853" s="32"/>
    </row>
    <row r="854" spans="1:10" x14ac:dyDescent="0.2">
      <c r="A854" s="32"/>
      <c r="B854" s="42" t="s">
        <v>1508</v>
      </c>
      <c r="C854" s="43" t="s">
        <v>1443</v>
      </c>
      <c r="D854" s="44" t="s">
        <v>1509</v>
      </c>
      <c r="E854" s="45">
        <v>1</v>
      </c>
      <c r="F854" s="46">
        <v>19.989999999999998</v>
      </c>
      <c r="G854" s="46">
        <f t="shared" si="13"/>
        <v>19.989999999999998</v>
      </c>
      <c r="H854" s="47" t="s">
        <v>24</v>
      </c>
      <c r="I854" s="47" t="s">
        <v>58</v>
      </c>
      <c r="J854" s="32"/>
    </row>
    <row r="855" spans="1:10" x14ac:dyDescent="0.2">
      <c r="A855" s="32"/>
      <c r="B855" s="36" t="s">
        <v>1510</v>
      </c>
      <c r="C855" s="37" t="s">
        <v>1443</v>
      </c>
      <c r="D855" s="38" t="s">
        <v>43</v>
      </c>
      <c r="E855" s="39">
        <v>1</v>
      </c>
      <c r="F855" s="40">
        <v>2.09</v>
      </c>
      <c r="G855" s="40">
        <f t="shared" si="13"/>
        <v>2.09</v>
      </c>
      <c r="H855" s="41" t="s">
        <v>24</v>
      </c>
      <c r="I855" s="41" t="s">
        <v>58</v>
      </c>
      <c r="J855" s="32"/>
    </row>
    <row r="856" spans="1:10" x14ac:dyDescent="0.2">
      <c r="A856" s="32"/>
      <c r="B856" s="42" t="s">
        <v>1511</v>
      </c>
      <c r="C856" s="43" t="s">
        <v>1443</v>
      </c>
      <c r="D856" s="44" t="s">
        <v>1512</v>
      </c>
      <c r="E856" s="45">
        <v>1</v>
      </c>
      <c r="F856" s="46">
        <v>1.55</v>
      </c>
      <c r="G856" s="46">
        <f t="shared" si="13"/>
        <v>1.55</v>
      </c>
      <c r="H856" s="47" t="s">
        <v>24</v>
      </c>
      <c r="I856" s="47" t="s">
        <v>58</v>
      </c>
      <c r="J856" s="32"/>
    </row>
    <row r="857" spans="1:10" x14ac:dyDescent="0.2">
      <c r="A857" s="32"/>
      <c r="B857" s="36" t="s">
        <v>1513</v>
      </c>
      <c r="C857" s="37" t="s">
        <v>1443</v>
      </c>
      <c r="D857" s="38" t="s">
        <v>1503</v>
      </c>
      <c r="E857" s="39">
        <v>1</v>
      </c>
      <c r="F857" s="40">
        <v>4.79</v>
      </c>
      <c r="G857" s="40">
        <f t="shared" si="13"/>
        <v>4.79</v>
      </c>
      <c r="H857" s="41" t="s">
        <v>24</v>
      </c>
      <c r="I857" s="41" t="s">
        <v>58</v>
      </c>
      <c r="J857" s="32"/>
    </row>
    <row r="858" spans="1:10" x14ac:dyDescent="0.2">
      <c r="A858" s="32"/>
      <c r="B858" s="42" t="s">
        <v>1514</v>
      </c>
      <c r="C858" s="43" t="s">
        <v>1443</v>
      </c>
      <c r="D858" s="44" t="s">
        <v>76</v>
      </c>
      <c r="E858" s="45">
        <v>1</v>
      </c>
      <c r="F858" s="46">
        <v>5.99</v>
      </c>
      <c r="G858" s="46">
        <f t="shared" si="13"/>
        <v>5.99</v>
      </c>
      <c r="H858" s="47" t="s">
        <v>24</v>
      </c>
      <c r="I858" s="47" t="s">
        <v>58</v>
      </c>
      <c r="J858" s="32"/>
    </row>
    <row r="859" spans="1:10" x14ac:dyDescent="0.2">
      <c r="A859" s="32"/>
      <c r="B859" s="36" t="s">
        <v>1515</v>
      </c>
      <c r="C859" s="37" t="s">
        <v>1443</v>
      </c>
      <c r="D859" s="38" t="s">
        <v>42</v>
      </c>
      <c r="E859" s="39">
        <v>1</v>
      </c>
      <c r="F859" s="40">
        <v>7.35</v>
      </c>
      <c r="G859" s="40">
        <f t="shared" si="13"/>
        <v>7.35</v>
      </c>
      <c r="H859" s="41" t="s">
        <v>24</v>
      </c>
      <c r="I859" s="41" t="s">
        <v>58</v>
      </c>
      <c r="J859" s="32"/>
    </row>
    <row r="860" spans="1:10" x14ac:dyDescent="0.2">
      <c r="A860" s="32"/>
      <c r="B860" s="42" t="s">
        <v>1516</v>
      </c>
      <c r="C860" s="43" t="s">
        <v>1443</v>
      </c>
      <c r="D860" s="44" t="s">
        <v>38</v>
      </c>
      <c r="E860" s="45">
        <v>1</v>
      </c>
      <c r="F860" s="46">
        <v>7.49</v>
      </c>
      <c r="G860" s="46">
        <f t="shared" si="13"/>
        <v>7.49</v>
      </c>
      <c r="H860" s="47" t="s">
        <v>24</v>
      </c>
      <c r="I860" s="47" t="s">
        <v>58</v>
      </c>
      <c r="J860" s="32"/>
    </row>
    <row r="861" spans="1:10" x14ac:dyDescent="0.2">
      <c r="A861" s="32"/>
      <c r="B861" s="36" t="s">
        <v>1517</v>
      </c>
      <c r="C861" s="37" t="s">
        <v>1443</v>
      </c>
      <c r="D861" s="38" t="s">
        <v>1518</v>
      </c>
      <c r="E861" s="39">
        <v>1</v>
      </c>
      <c r="F861" s="40">
        <v>2.69</v>
      </c>
      <c r="G861" s="40">
        <f t="shared" si="13"/>
        <v>2.69</v>
      </c>
      <c r="H861" s="41" t="s">
        <v>24</v>
      </c>
      <c r="I861" s="41" t="s">
        <v>58</v>
      </c>
      <c r="J861" s="32"/>
    </row>
    <row r="862" spans="1:10" x14ac:dyDescent="0.2">
      <c r="A862" s="32"/>
      <c r="B862" s="42" t="s">
        <v>1519</v>
      </c>
      <c r="C862" s="43" t="s">
        <v>1443</v>
      </c>
      <c r="D862" s="44" t="s">
        <v>85</v>
      </c>
      <c r="E862" s="45">
        <v>1</v>
      </c>
      <c r="F862" s="46">
        <v>16.989999999999998</v>
      </c>
      <c r="G862" s="46">
        <f t="shared" si="13"/>
        <v>16.989999999999998</v>
      </c>
      <c r="H862" s="47" t="s">
        <v>24</v>
      </c>
      <c r="I862" s="47" t="s">
        <v>58</v>
      </c>
      <c r="J862" s="32"/>
    </row>
    <row r="863" spans="1:10" x14ac:dyDescent="0.2">
      <c r="A863" s="32"/>
      <c r="B863" s="36" t="s">
        <v>1520</v>
      </c>
      <c r="C863" s="37" t="s">
        <v>1443</v>
      </c>
      <c r="D863" s="38" t="s">
        <v>1521</v>
      </c>
      <c r="E863" s="39">
        <v>1</v>
      </c>
      <c r="F863" s="40">
        <v>31.92</v>
      </c>
      <c r="G863" s="40">
        <f t="shared" si="13"/>
        <v>31.92</v>
      </c>
      <c r="H863" s="41" t="s">
        <v>24</v>
      </c>
      <c r="I863" s="41" t="s">
        <v>58</v>
      </c>
      <c r="J863" s="32"/>
    </row>
    <row r="864" spans="1:10" x14ac:dyDescent="0.2">
      <c r="A864" s="32"/>
      <c r="B864" s="42" t="s">
        <v>1522</v>
      </c>
      <c r="C864" s="43" t="s">
        <v>1443</v>
      </c>
      <c r="D864" s="44" t="s">
        <v>1521</v>
      </c>
      <c r="E864" s="45">
        <v>1</v>
      </c>
      <c r="F864" s="46">
        <v>31.92</v>
      </c>
      <c r="G864" s="46">
        <f t="shared" si="13"/>
        <v>31.92</v>
      </c>
      <c r="H864" s="47" t="s">
        <v>24</v>
      </c>
      <c r="I864" s="47" t="s">
        <v>58</v>
      </c>
      <c r="J864" s="32"/>
    </row>
    <row r="865" spans="1:10" x14ac:dyDescent="0.2">
      <c r="A865" s="32"/>
      <c r="B865" s="36" t="s">
        <v>1523</v>
      </c>
      <c r="C865" s="37" t="s">
        <v>1443</v>
      </c>
      <c r="D865" s="38" t="s">
        <v>1524</v>
      </c>
      <c r="E865" s="39">
        <v>1</v>
      </c>
      <c r="F865" s="40">
        <v>13.59</v>
      </c>
      <c r="G865" s="40">
        <f t="shared" si="13"/>
        <v>13.59</v>
      </c>
      <c r="H865" s="41" t="s">
        <v>25</v>
      </c>
      <c r="I865" s="41" t="s">
        <v>58</v>
      </c>
      <c r="J865" s="32"/>
    </row>
    <row r="866" spans="1:10" x14ac:dyDescent="0.2">
      <c r="A866" s="32"/>
      <c r="B866" s="42" t="s">
        <v>1525</v>
      </c>
      <c r="C866" s="43" t="s">
        <v>1443</v>
      </c>
      <c r="D866" s="44" t="s">
        <v>1526</v>
      </c>
      <c r="E866" s="45">
        <v>1</v>
      </c>
      <c r="F866" s="46">
        <v>18.989999999999998</v>
      </c>
      <c r="G866" s="46">
        <f t="shared" si="13"/>
        <v>18.989999999999998</v>
      </c>
      <c r="H866" s="47" t="s">
        <v>24</v>
      </c>
      <c r="I866" s="47" t="s">
        <v>58</v>
      </c>
      <c r="J866" s="32"/>
    </row>
    <row r="867" spans="1:10" x14ac:dyDescent="0.2">
      <c r="A867" s="32"/>
      <c r="B867" s="36" t="s">
        <v>1527</v>
      </c>
      <c r="C867" s="37" t="s">
        <v>1443</v>
      </c>
      <c r="D867" s="38" t="s">
        <v>1528</v>
      </c>
      <c r="E867" s="39">
        <v>1</v>
      </c>
      <c r="F867" s="40">
        <v>14.79</v>
      </c>
      <c r="G867" s="40">
        <f t="shared" si="13"/>
        <v>14.79</v>
      </c>
      <c r="H867" s="41" t="s">
        <v>24</v>
      </c>
      <c r="I867" s="41" t="s">
        <v>58</v>
      </c>
      <c r="J867" s="32"/>
    </row>
    <row r="868" spans="1:10" x14ac:dyDescent="0.2">
      <c r="A868" s="32"/>
      <c r="B868" s="42" t="s">
        <v>1529</v>
      </c>
      <c r="C868" s="43" t="s">
        <v>1530</v>
      </c>
      <c r="D868" s="44" t="s">
        <v>1531</v>
      </c>
      <c r="E868" s="45">
        <v>1</v>
      </c>
      <c r="F868" s="46">
        <v>49.99</v>
      </c>
      <c r="G868" s="46">
        <f t="shared" si="13"/>
        <v>49.99</v>
      </c>
      <c r="H868" s="47" t="s">
        <v>24</v>
      </c>
      <c r="I868" s="47" t="s">
        <v>58</v>
      </c>
      <c r="J868" s="32"/>
    </row>
    <row r="869" spans="1:10" x14ac:dyDescent="0.2">
      <c r="A869" s="32"/>
      <c r="B869" s="36" t="s">
        <v>1532</v>
      </c>
      <c r="C869" s="37" t="s">
        <v>1530</v>
      </c>
      <c r="D869" s="38" t="s">
        <v>1533</v>
      </c>
      <c r="E869" s="39">
        <v>1</v>
      </c>
      <c r="F869" s="40">
        <v>14.99</v>
      </c>
      <c r="G869" s="40">
        <f t="shared" si="13"/>
        <v>14.99</v>
      </c>
      <c r="H869" s="41" t="s">
        <v>24</v>
      </c>
      <c r="I869" s="41" t="s">
        <v>58</v>
      </c>
      <c r="J869" s="32"/>
    </row>
    <row r="870" spans="1:10" x14ac:dyDescent="0.2">
      <c r="A870" s="32"/>
      <c r="B870" s="42" t="s">
        <v>1534</v>
      </c>
      <c r="C870" s="43" t="s">
        <v>1530</v>
      </c>
      <c r="D870" s="44" t="s">
        <v>1535</v>
      </c>
      <c r="E870" s="45">
        <v>1</v>
      </c>
      <c r="F870" s="46">
        <v>5.39</v>
      </c>
      <c r="G870" s="46">
        <f t="shared" si="13"/>
        <v>5.39</v>
      </c>
      <c r="H870" s="47" t="s">
        <v>24</v>
      </c>
      <c r="I870" s="47" t="s">
        <v>58</v>
      </c>
      <c r="J870" s="32"/>
    </row>
    <row r="871" spans="1:10" x14ac:dyDescent="0.2">
      <c r="A871" s="32"/>
      <c r="B871" s="36" t="s">
        <v>1536</v>
      </c>
      <c r="C871" s="37" t="s">
        <v>1537</v>
      </c>
      <c r="D871" s="38" t="s">
        <v>1538</v>
      </c>
      <c r="E871" s="39">
        <v>1</v>
      </c>
      <c r="F871" s="40">
        <v>10.99</v>
      </c>
      <c r="G871" s="40">
        <f t="shared" si="13"/>
        <v>10.99</v>
      </c>
      <c r="H871" s="41" t="s">
        <v>24</v>
      </c>
      <c r="I871" s="41" t="s">
        <v>58</v>
      </c>
      <c r="J871" s="32"/>
    </row>
    <row r="872" spans="1:10" x14ac:dyDescent="0.2">
      <c r="A872" s="32"/>
      <c r="B872" s="42" t="s">
        <v>1539</v>
      </c>
      <c r="C872" s="43" t="s">
        <v>1537</v>
      </c>
      <c r="D872" s="44" t="s">
        <v>1540</v>
      </c>
      <c r="E872" s="45">
        <v>1</v>
      </c>
      <c r="F872" s="46">
        <v>9.2899999999999991</v>
      </c>
      <c r="G872" s="46">
        <f t="shared" si="13"/>
        <v>9.2899999999999991</v>
      </c>
      <c r="H872" s="47" t="s">
        <v>24</v>
      </c>
      <c r="I872" s="47" t="s">
        <v>58</v>
      </c>
      <c r="J872" s="32"/>
    </row>
    <row r="873" spans="1:10" x14ac:dyDescent="0.2">
      <c r="A873" s="32"/>
      <c r="B873" s="36" t="s">
        <v>1541</v>
      </c>
      <c r="C873" s="37" t="s">
        <v>1537</v>
      </c>
      <c r="D873" s="38" t="s">
        <v>1542</v>
      </c>
      <c r="E873" s="39">
        <v>1</v>
      </c>
      <c r="F873" s="40">
        <v>31.89</v>
      </c>
      <c r="G873" s="40">
        <f t="shared" si="13"/>
        <v>31.89</v>
      </c>
      <c r="H873" s="41" t="s">
        <v>24</v>
      </c>
      <c r="I873" s="41" t="s">
        <v>58</v>
      </c>
      <c r="J873" s="32"/>
    </row>
    <row r="874" spans="1:10" x14ac:dyDescent="0.2">
      <c r="A874" s="32"/>
      <c r="B874" s="42" t="s">
        <v>1543</v>
      </c>
      <c r="C874" s="43" t="s">
        <v>1537</v>
      </c>
      <c r="D874" s="44" t="s">
        <v>1544</v>
      </c>
      <c r="E874" s="45">
        <v>1</v>
      </c>
      <c r="F874" s="46">
        <v>49.99</v>
      </c>
      <c r="G874" s="46">
        <f t="shared" si="13"/>
        <v>49.99</v>
      </c>
      <c r="H874" s="47" t="s">
        <v>24</v>
      </c>
      <c r="I874" s="47" t="s">
        <v>58</v>
      </c>
      <c r="J874" s="32"/>
    </row>
    <row r="875" spans="1:10" x14ac:dyDescent="0.2">
      <c r="A875" s="32"/>
      <c r="B875" s="36" t="s">
        <v>1545</v>
      </c>
      <c r="C875" s="37" t="s">
        <v>1537</v>
      </c>
      <c r="D875" s="38" t="s">
        <v>1546</v>
      </c>
      <c r="E875" s="39">
        <v>1</v>
      </c>
      <c r="F875" s="40">
        <v>19.79</v>
      </c>
      <c r="G875" s="40">
        <f t="shared" si="13"/>
        <v>19.79</v>
      </c>
      <c r="H875" s="41" t="s">
        <v>24</v>
      </c>
      <c r="I875" s="41" t="s">
        <v>58</v>
      </c>
      <c r="J875" s="32"/>
    </row>
    <row r="876" spans="1:10" x14ac:dyDescent="0.2">
      <c r="A876" s="32"/>
      <c r="B876" s="42" t="s">
        <v>1547</v>
      </c>
      <c r="C876" s="43" t="s">
        <v>1537</v>
      </c>
      <c r="D876" s="44" t="s">
        <v>1548</v>
      </c>
      <c r="E876" s="45">
        <v>1</v>
      </c>
      <c r="F876" s="46">
        <v>33.99</v>
      </c>
      <c r="G876" s="46">
        <f t="shared" si="13"/>
        <v>33.99</v>
      </c>
      <c r="H876" s="47" t="s">
        <v>24</v>
      </c>
      <c r="I876" s="47" t="s">
        <v>58</v>
      </c>
      <c r="J876" s="32"/>
    </row>
    <row r="877" spans="1:10" x14ac:dyDescent="0.2">
      <c r="A877" s="32"/>
      <c r="B877" s="36" t="s">
        <v>1549</v>
      </c>
      <c r="C877" s="37" t="s">
        <v>1537</v>
      </c>
      <c r="D877" s="38" t="s">
        <v>1550</v>
      </c>
      <c r="E877" s="39">
        <v>1</v>
      </c>
      <c r="F877" s="40">
        <v>9.49</v>
      </c>
      <c r="G877" s="40">
        <f t="shared" si="13"/>
        <v>9.49</v>
      </c>
      <c r="H877" s="41" t="s">
        <v>24</v>
      </c>
      <c r="I877" s="41" t="s">
        <v>58</v>
      </c>
      <c r="J877" s="32"/>
    </row>
    <row r="878" spans="1:10" x14ac:dyDescent="0.2">
      <c r="A878" s="32"/>
      <c r="B878" s="42" t="s">
        <v>1551</v>
      </c>
      <c r="C878" s="43" t="s">
        <v>1537</v>
      </c>
      <c r="D878" s="44" t="s">
        <v>1546</v>
      </c>
      <c r="E878" s="45">
        <v>1</v>
      </c>
      <c r="F878" s="46">
        <v>19.79</v>
      </c>
      <c r="G878" s="46">
        <f t="shared" si="13"/>
        <v>19.79</v>
      </c>
      <c r="H878" s="47" t="s">
        <v>24</v>
      </c>
      <c r="I878" s="47" t="s">
        <v>58</v>
      </c>
      <c r="J878" s="32"/>
    </row>
    <row r="879" spans="1:10" x14ac:dyDescent="0.2">
      <c r="A879" s="32"/>
      <c r="B879" s="36" t="s">
        <v>1552</v>
      </c>
      <c r="C879" s="37" t="s">
        <v>1537</v>
      </c>
      <c r="D879" s="38" t="s">
        <v>1546</v>
      </c>
      <c r="E879" s="39">
        <v>1</v>
      </c>
      <c r="F879" s="40">
        <v>19.79</v>
      </c>
      <c r="G879" s="40">
        <f t="shared" si="13"/>
        <v>19.79</v>
      </c>
      <c r="H879" s="41" t="s">
        <v>24</v>
      </c>
      <c r="I879" s="41" t="s">
        <v>58</v>
      </c>
      <c r="J879" s="32"/>
    </row>
    <row r="880" spans="1:10" x14ac:dyDescent="0.2">
      <c r="A880" s="32"/>
      <c r="B880" s="42" t="s">
        <v>1553</v>
      </c>
      <c r="C880" s="43" t="s">
        <v>1537</v>
      </c>
      <c r="D880" s="44" t="s">
        <v>1554</v>
      </c>
      <c r="E880" s="45">
        <v>1</v>
      </c>
      <c r="F880" s="46">
        <v>37.79</v>
      </c>
      <c r="G880" s="46">
        <f t="shared" si="13"/>
        <v>37.79</v>
      </c>
      <c r="H880" s="47" t="s">
        <v>24</v>
      </c>
      <c r="I880" s="47" t="s">
        <v>58</v>
      </c>
      <c r="J880" s="32"/>
    </row>
    <row r="881" spans="1:10" x14ac:dyDescent="0.2">
      <c r="A881" s="32"/>
      <c r="B881" s="36" t="s">
        <v>1555</v>
      </c>
      <c r="C881" s="37" t="s">
        <v>1537</v>
      </c>
      <c r="D881" s="38" t="s">
        <v>1556</v>
      </c>
      <c r="E881" s="39">
        <v>1</v>
      </c>
      <c r="F881" s="40">
        <v>25.79</v>
      </c>
      <c r="G881" s="40">
        <f t="shared" si="13"/>
        <v>25.79</v>
      </c>
      <c r="H881" s="41" t="s">
        <v>24</v>
      </c>
      <c r="I881" s="41" t="s">
        <v>58</v>
      </c>
      <c r="J881" s="32"/>
    </row>
    <row r="882" spans="1:10" x14ac:dyDescent="0.2">
      <c r="A882" s="32"/>
      <c r="B882" s="42" t="s">
        <v>1557</v>
      </c>
      <c r="C882" s="43" t="s">
        <v>1537</v>
      </c>
      <c r="D882" s="44" t="s">
        <v>1556</v>
      </c>
      <c r="E882" s="45">
        <v>1</v>
      </c>
      <c r="F882" s="46">
        <v>25.79</v>
      </c>
      <c r="G882" s="46">
        <f t="shared" si="13"/>
        <v>25.79</v>
      </c>
      <c r="H882" s="47" t="s">
        <v>24</v>
      </c>
      <c r="I882" s="47" t="s">
        <v>58</v>
      </c>
      <c r="J882" s="32"/>
    </row>
    <row r="883" spans="1:10" x14ac:dyDescent="0.2">
      <c r="A883" s="32"/>
      <c r="B883" s="36" t="s">
        <v>1558</v>
      </c>
      <c r="C883" s="37" t="s">
        <v>1537</v>
      </c>
      <c r="D883" s="38" t="s">
        <v>1559</v>
      </c>
      <c r="E883" s="39">
        <v>1</v>
      </c>
      <c r="F883" s="40">
        <v>10.99</v>
      </c>
      <c r="G883" s="40">
        <f t="shared" si="13"/>
        <v>10.99</v>
      </c>
      <c r="H883" s="41" t="s">
        <v>24</v>
      </c>
      <c r="I883" s="41" t="s">
        <v>58</v>
      </c>
      <c r="J883" s="32"/>
    </row>
    <row r="884" spans="1:10" x14ac:dyDescent="0.2">
      <c r="A884" s="32"/>
      <c r="B884" s="42" t="s">
        <v>1560</v>
      </c>
      <c r="C884" s="43" t="s">
        <v>1537</v>
      </c>
      <c r="D884" s="44" t="s">
        <v>1559</v>
      </c>
      <c r="E884" s="45">
        <v>1</v>
      </c>
      <c r="F884" s="46">
        <v>10.99</v>
      </c>
      <c r="G884" s="46">
        <f t="shared" si="13"/>
        <v>10.99</v>
      </c>
      <c r="H884" s="47" t="s">
        <v>24</v>
      </c>
      <c r="I884" s="47" t="s">
        <v>58</v>
      </c>
      <c r="J884" s="32"/>
    </row>
    <row r="885" spans="1:10" x14ac:dyDescent="0.2">
      <c r="A885" s="32"/>
      <c r="B885" s="36" t="s">
        <v>1561</v>
      </c>
      <c r="C885" s="37" t="s">
        <v>1537</v>
      </c>
      <c r="D885" s="38" t="s">
        <v>1559</v>
      </c>
      <c r="E885" s="39">
        <v>1</v>
      </c>
      <c r="F885" s="40">
        <v>10.99</v>
      </c>
      <c r="G885" s="40">
        <f t="shared" si="13"/>
        <v>10.99</v>
      </c>
      <c r="H885" s="41" t="s">
        <v>24</v>
      </c>
      <c r="I885" s="41" t="s">
        <v>58</v>
      </c>
      <c r="J885" s="32"/>
    </row>
    <row r="886" spans="1:10" x14ac:dyDescent="0.2">
      <c r="A886" s="32"/>
      <c r="B886" s="42" t="s">
        <v>1562</v>
      </c>
      <c r="C886" s="43" t="s">
        <v>1537</v>
      </c>
      <c r="D886" s="44" t="s">
        <v>1563</v>
      </c>
      <c r="E886" s="45">
        <v>1</v>
      </c>
      <c r="F886" s="46">
        <v>20.89</v>
      </c>
      <c r="G886" s="46">
        <f t="shared" si="13"/>
        <v>20.89</v>
      </c>
      <c r="H886" s="47" t="s">
        <v>24</v>
      </c>
      <c r="I886" s="47" t="s">
        <v>58</v>
      </c>
      <c r="J886" s="32"/>
    </row>
    <row r="887" spans="1:10" x14ac:dyDescent="0.2">
      <c r="A887" s="32"/>
      <c r="B887" s="36" t="s">
        <v>1564</v>
      </c>
      <c r="C887" s="37" t="s">
        <v>1537</v>
      </c>
      <c r="D887" s="38" t="s">
        <v>1550</v>
      </c>
      <c r="E887" s="39">
        <v>1</v>
      </c>
      <c r="F887" s="40">
        <v>9.49</v>
      </c>
      <c r="G887" s="40">
        <f t="shared" si="13"/>
        <v>9.49</v>
      </c>
      <c r="H887" s="41" t="s">
        <v>24</v>
      </c>
      <c r="I887" s="41" t="s">
        <v>58</v>
      </c>
      <c r="J887" s="32"/>
    </row>
    <row r="888" spans="1:10" x14ac:dyDescent="0.2">
      <c r="A888" s="32"/>
      <c r="B888" s="42" t="s">
        <v>1565</v>
      </c>
      <c r="C888" s="43" t="s">
        <v>1537</v>
      </c>
      <c r="D888" s="44" t="s">
        <v>1550</v>
      </c>
      <c r="E888" s="45">
        <v>1</v>
      </c>
      <c r="F888" s="46">
        <v>9.49</v>
      </c>
      <c r="G888" s="46">
        <f t="shared" si="13"/>
        <v>9.49</v>
      </c>
      <c r="H888" s="47" t="s">
        <v>24</v>
      </c>
      <c r="I888" s="47" t="s">
        <v>58</v>
      </c>
      <c r="J888" s="32"/>
    </row>
    <row r="889" spans="1:10" x14ac:dyDescent="0.2">
      <c r="A889" s="32"/>
      <c r="B889" s="36" t="s">
        <v>1566</v>
      </c>
      <c r="C889" s="37" t="s">
        <v>1537</v>
      </c>
      <c r="D889" s="38" t="s">
        <v>1567</v>
      </c>
      <c r="E889" s="39">
        <v>1</v>
      </c>
      <c r="F889" s="40">
        <v>12.99</v>
      </c>
      <c r="G889" s="40">
        <f t="shared" si="13"/>
        <v>12.99</v>
      </c>
      <c r="H889" s="41" t="s">
        <v>24</v>
      </c>
      <c r="I889" s="41" t="s">
        <v>58</v>
      </c>
      <c r="J889" s="32"/>
    </row>
    <row r="890" spans="1:10" x14ac:dyDescent="0.2">
      <c r="A890" s="32"/>
      <c r="B890" s="42" t="s">
        <v>1568</v>
      </c>
      <c r="C890" s="43" t="s">
        <v>1537</v>
      </c>
      <c r="D890" s="44" t="s">
        <v>1567</v>
      </c>
      <c r="E890" s="45">
        <v>1</v>
      </c>
      <c r="F890" s="46">
        <v>12.99</v>
      </c>
      <c r="G890" s="46">
        <f t="shared" si="13"/>
        <v>12.99</v>
      </c>
      <c r="H890" s="47" t="s">
        <v>24</v>
      </c>
      <c r="I890" s="47" t="s">
        <v>58</v>
      </c>
      <c r="J890" s="32"/>
    </row>
    <row r="891" spans="1:10" x14ac:dyDescent="0.2">
      <c r="A891" s="32"/>
      <c r="B891" s="36" t="s">
        <v>1569</v>
      </c>
      <c r="C891" s="37" t="s">
        <v>1537</v>
      </c>
      <c r="D891" s="38" t="s">
        <v>1570</v>
      </c>
      <c r="E891" s="39">
        <v>1</v>
      </c>
      <c r="F891" s="40">
        <v>97.39</v>
      </c>
      <c r="G891" s="40">
        <f t="shared" si="13"/>
        <v>97.39</v>
      </c>
      <c r="H891" s="41" t="s">
        <v>24</v>
      </c>
      <c r="I891" s="41" t="s">
        <v>58</v>
      </c>
      <c r="J891" s="32"/>
    </row>
    <row r="892" spans="1:10" x14ac:dyDescent="0.2">
      <c r="A892" s="32"/>
      <c r="B892" s="42" t="s">
        <v>1571</v>
      </c>
      <c r="C892" s="43" t="s">
        <v>1537</v>
      </c>
      <c r="D892" s="44" t="s">
        <v>1572</v>
      </c>
      <c r="E892" s="45">
        <v>1</v>
      </c>
      <c r="F892" s="46">
        <v>32.99</v>
      </c>
      <c r="G892" s="46">
        <f t="shared" si="13"/>
        <v>32.99</v>
      </c>
      <c r="H892" s="47" t="s">
        <v>24</v>
      </c>
      <c r="I892" s="47" t="s">
        <v>58</v>
      </c>
      <c r="J892" s="32"/>
    </row>
    <row r="893" spans="1:10" x14ac:dyDescent="0.2">
      <c r="A893" s="32"/>
      <c r="B893" s="36" t="s">
        <v>1573</v>
      </c>
      <c r="C893" s="37" t="s">
        <v>1537</v>
      </c>
      <c r="D893" s="38" t="s">
        <v>1574</v>
      </c>
      <c r="E893" s="39">
        <v>1</v>
      </c>
      <c r="F893" s="40">
        <v>1.99</v>
      </c>
      <c r="G893" s="40">
        <f t="shared" si="13"/>
        <v>1.99</v>
      </c>
      <c r="H893" s="41" t="s">
        <v>24</v>
      </c>
      <c r="I893" s="41" t="s">
        <v>58</v>
      </c>
      <c r="J893" s="32"/>
    </row>
    <row r="894" spans="1:10" x14ac:dyDescent="0.2">
      <c r="A894" s="32"/>
      <c r="B894" s="42" t="s">
        <v>1575</v>
      </c>
      <c r="C894" s="43" t="s">
        <v>1537</v>
      </c>
      <c r="D894" s="44" t="s">
        <v>1576</v>
      </c>
      <c r="E894" s="45">
        <v>1</v>
      </c>
      <c r="F894" s="46">
        <v>13.99</v>
      </c>
      <c r="G894" s="46">
        <f t="shared" si="13"/>
        <v>13.99</v>
      </c>
      <c r="H894" s="47" t="s">
        <v>24</v>
      </c>
      <c r="I894" s="47" t="s">
        <v>58</v>
      </c>
      <c r="J894" s="32"/>
    </row>
    <row r="895" spans="1:10" x14ac:dyDescent="0.2">
      <c r="A895" s="32"/>
      <c r="B895" s="36" t="s">
        <v>1577</v>
      </c>
      <c r="C895" s="37" t="s">
        <v>1537</v>
      </c>
      <c r="D895" s="38" t="s">
        <v>1578</v>
      </c>
      <c r="E895" s="39">
        <v>1</v>
      </c>
      <c r="F895" s="40">
        <v>8.2899999999999991</v>
      </c>
      <c r="G895" s="40">
        <f t="shared" si="13"/>
        <v>8.2899999999999991</v>
      </c>
      <c r="H895" s="41" t="s">
        <v>24</v>
      </c>
      <c r="I895" s="41" t="s">
        <v>58</v>
      </c>
      <c r="J895" s="32"/>
    </row>
    <row r="896" spans="1:10" x14ac:dyDescent="0.2">
      <c r="A896" s="32"/>
      <c r="B896" s="42" t="s">
        <v>1579</v>
      </c>
      <c r="C896" s="43" t="s">
        <v>1537</v>
      </c>
      <c r="D896" s="44" t="s">
        <v>1580</v>
      </c>
      <c r="E896" s="45">
        <v>1</v>
      </c>
      <c r="F896" s="46">
        <v>35.49</v>
      </c>
      <c r="G896" s="46">
        <f t="shared" si="13"/>
        <v>35.49</v>
      </c>
      <c r="H896" s="47" t="s">
        <v>24</v>
      </c>
      <c r="I896" s="47" t="s">
        <v>58</v>
      </c>
      <c r="J896" s="32"/>
    </row>
    <row r="897" spans="1:10" x14ac:dyDescent="0.2">
      <c r="A897" s="32"/>
      <c r="B897" s="36" t="s">
        <v>1581</v>
      </c>
      <c r="C897" s="37" t="s">
        <v>1537</v>
      </c>
      <c r="D897" s="38" t="s">
        <v>1582</v>
      </c>
      <c r="E897" s="39">
        <v>1</v>
      </c>
      <c r="F897" s="40">
        <v>19.39</v>
      </c>
      <c r="G897" s="40">
        <f t="shared" si="13"/>
        <v>19.39</v>
      </c>
      <c r="H897" s="41" t="s">
        <v>24</v>
      </c>
      <c r="I897" s="41" t="s">
        <v>58</v>
      </c>
      <c r="J897" s="32"/>
    </row>
    <row r="898" spans="1:10" x14ac:dyDescent="0.2">
      <c r="A898" s="32"/>
      <c r="B898" s="42" t="s">
        <v>1583</v>
      </c>
      <c r="C898" s="43" t="s">
        <v>1537</v>
      </c>
      <c r="D898" s="44" t="s">
        <v>1584</v>
      </c>
      <c r="E898" s="45">
        <v>1</v>
      </c>
      <c r="F898" s="46">
        <v>105.99</v>
      </c>
      <c r="G898" s="46">
        <f t="shared" si="13"/>
        <v>105.99</v>
      </c>
      <c r="H898" s="47" t="s">
        <v>24</v>
      </c>
      <c r="I898" s="47" t="s">
        <v>58</v>
      </c>
      <c r="J898" s="32"/>
    </row>
    <row r="899" spans="1:10" x14ac:dyDescent="0.2">
      <c r="A899" s="32"/>
      <c r="B899" s="36" t="s">
        <v>1585</v>
      </c>
      <c r="C899" s="37" t="s">
        <v>1537</v>
      </c>
      <c r="D899" s="38" t="s">
        <v>1572</v>
      </c>
      <c r="E899" s="39">
        <v>1</v>
      </c>
      <c r="F899" s="40">
        <v>32.99</v>
      </c>
      <c r="G899" s="40">
        <f t="shared" si="13"/>
        <v>32.99</v>
      </c>
      <c r="H899" s="41" t="s">
        <v>24</v>
      </c>
      <c r="I899" s="41" t="s">
        <v>58</v>
      </c>
      <c r="J899" s="32"/>
    </row>
    <row r="900" spans="1:10" x14ac:dyDescent="0.2">
      <c r="A900" s="32"/>
      <c r="B900" s="42" t="s">
        <v>1586</v>
      </c>
      <c r="C900" s="43" t="s">
        <v>1537</v>
      </c>
      <c r="D900" s="44" t="s">
        <v>1570</v>
      </c>
      <c r="E900" s="45">
        <v>1</v>
      </c>
      <c r="F900" s="46">
        <v>97.39</v>
      </c>
      <c r="G900" s="46">
        <f t="shared" si="13"/>
        <v>97.39</v>
      </c>
      <c r="H900" s="47" t="s">
        <v>24</v>
      </c>
      <c r="I900" s="47" t="s">
        <v>58</v>
      </c>
      <c r="J900" s="32"/>
    </row>
    <row r="901" spans="1:10" x14ac:dyDescent="0.2">
      <c r="A901" s="32"/>
      <c r="B901" s="36" t="s">
        <v>1587</v>
      </c>
      <c r="C901" s="37" t="s">
        <v>1537</v>
      </c>
      <c r="D901" s="38" t="s">
        <v>1588</v>
      </c>
      <c r="E901" s="39">
        <v>1</v>
      </c>
      <c r="F901" s="40">
        <v>5.79</v>
      </c>
      <c r="G901" s="40">
        <f t="shared" ref="G901:G964" si="14">E901*F901</f>
        <v>5.79</v>
      </c>
      <c r="H901" s="41" t="s">
        <v>24</v>
      </c>
      <c r="I901" s="41" t="s">
        <v>58</v>
      </c>
      <c r="J901" s="32"/>
    </row>
    <row r="902" spans="1:10" x14ac:dyDescent="0.2">
      <c r="A902" s="32"/>
      <c r="B902" s="42" t="s">
        <v>1589</v>
      </c>
      <c r="C902" s="43" t="s">
        <v>1537</v>
      </c>
      <c r="D902" s="44" t="s">
        <v>1590</v>
      </c>
      <c r="E902" s="45">
        <v>1</v>
      </c>
      <c r="F902" s="46">
        <v>5.19</v>
      </c>
      <c r="G902" s="46">
        <f t="shared" si="14"/>
        <v>5.19</v>
      </c>
      <c r="H902" s="47" t="s">
        <v>24</v>
      </c>
      <c r="I902" s="47" t="s">
        <v>58</v>
      </c>
      <c r="J902" s="32"/>
    </row>
    <row r="903" spans="1:10" x14ac:dyDescent="0.2">
      <c r="A903" s="32"/>
      <c r="B903" s="36" t="s">
        <v>1591</v>
      </c>
      <c r="C903" s="37" t="s">
        <v>1537</v>
      </c>
      <c r="D903" s="38" t="s">
        <v>1550</v>
      </c>
      <c r="E903" s="39">
        <v>1</v>
      </c>
      <c r="F903" s="40">
        <v>9.49</v>
      </c>
      <c r="G903" s="40">
        <f t="shared" si="14"/>
        <v>9.49</v>
      </c>
      <c r="H903" s="41" t="s">
        <v>24</v>
      </c>
      <c r="I903" s="41" t="s">
        <v>58</v>
      </c>
      <c r="J903" s="32"/>
    </row>
    <row r="904" spans="1:10" x14ac:dyDescent="0.2">
      <c r="A904" s="32"/>
      <c r="B904" s="42" t="s">
        <v>1592</v>
      </c>
      <c r="C904" s="43" t="s">
        <v>1537</v>
      </c>
      <c r="D904" s="44" t="s">
        <v>1563</v>
      </c>
      <c r="E904" s="45">
        <v>1</v>
      </c>
      <c r="F904" s="46">
        <v>20.89</v>
      </c>
      <c r="G904" s="46">
        <f t="shared" si="14"/>
        <v>20.89</v>
      </c>
      <c r="H904" s="47" t="s">
        <v>24</v>
      </c>
      <c r="I904" s="47" t="s">
        <v>58</v>
      </c>
      <c r="J904" s="32"/>
    </row>
    <row r="905" spans="1:10" x14ac:dyDescent="0.2">
      <c r="A905" s="32"/>
      <c r="B905" s="36" t="s">
        <v>1593</v>
      </c>
      <c r="C905" s="37" t="s">
        <v>1594</v>
      </c>
      <c r="D905" s="38" t="s">
        <v>1595</v>
      </c>
      <c r="E905" s="39">
        <v>1</v>
      </c>
      <c r="F905" s="40">
        <v>130</v>
      </c>
      <c r="G905" s="40">
        <f t="shared" si="14"/>
        <v>130</v>
      </c>
      <c r="H905" s="41" t="s">
        <v>28</v>
      </c>
      <c r="I905" s="41" t="s">
        <v>58</v>
      </c>
      <c r="J905" s="32"/>
    </row>
    <row r="906" spans="1:10" x14ac:dyDescent="0.2">
      <c r="A906" s="32"/>
      <c r="B906" s="42" t="s">
        <v>1596</v>
      </c>
      <c r="C906" s="43" t="s">
        <v>1594</v>
      </c>
      <c r="D906" s="44" t="s">
        <v>1597</v>
      </c>
      <c r="E906" s="45">
        <v>1</v>
      </c>
      <c r="F906" s="46">
        <v>90</v>
      </c>
      <c r="G906" s="46">
        <f t="shared" si="14"/>
        <v>90</v>
      </c>
      <c r="H906" s="47" t="s">
        <v>28</v>
      </c>
      <c r="I906" s="47" t="s">
        <v>58</v>
      </c>
      <c r="J906" s="32"/>
    </row>
    <row r="907" spans="1:10" x14ac:dyDescent="0.2">
      <c r="A907" s="32"/>
      <c r="B907" s="36" t="s">
        <v>1598</v>
      </c>
      <c r="C907" s="37" t="s">
        <v>1594</v>
      </c>
      <c r="D907" s="38" t="s">
        <v>1599</v>
      </c>
      <c r="E907" s="39">
        <v>1</v>
      </c>
      <c r="F907" s="40">
        <v>10</v>
      </c>
      <c r="G907" s="40">
        <f t="shared" si="14"/>
        <v>10</v>
      </c>
      <c r="H907" s="41" t="s">
        <v>24</v>
      </c>
      <c r="I907" s="41" t="s">
        <v>58</v>
      </c>
      <c r="J907" s="32"/>
    </row>
    <row r="908" spans="1:10" x14ac:dyDescent="0.2">
      <c r="A908" s="32"/>
      <c r="B908" s="42" t="s">
        <v>1600</v>
      </c>
      <c r="C908" s="43" t="s">
        <v>1594</v>
      </c>
      <c r="D908" s="44" t="s">
        <v>544</v>
      </c>
      <c r="E908" s="45">
        <v>1</v>
      </c>
      <c r="F908" s="46">
        <v>50</v>
      </c>
      <c r="G908" s="46">
        <f t="shared" si="14"/>
        <v>50</v>
      </c>
      <c r="H908" s="47" t="s">
        <v>28</v>
      </c>
      <c r="I908" s="47" t="s">
        <v>58</v>
      </c>
      <c r="J908" s="32"/>
    </row>
    <row r="909" spans="1:10" x14ac:dyDescent="0.2">
      <c r="A909" s="32"/>
      <c r="B909" s="36" t="s">
        <v>1601</v>
      </c>
      <c r="C909" s="37" t="s">
        <v>1602</v>
      </c>
      <c r="D909" s="38" t="s">
        <v>1603</v>
      </c>
      <c r="E909" s="39">
        <v>1</v>
      </c>
      <c r="F909" s="40">
        <v>2.9</v>
      </c>
      <c r="G909" s="40">
        <f t="shared" si="14"/>
        <v>2.9</v>
      </c>
      <c r="H909" s="41" t="s">
        <v>24</v>
      </c>
      <c r="I909" s="41" t="s">
        <v>58</v>
      </c>
      <c r="J909" s="32"/>
    </row>
    <row r="910" spans="1:10" x14ac:dyDescent="0.2">
      <c r="A910" s="32"/>
      <c r="B910" s="42" t="s">
        <v>1604</v>
      </c>
      <c r="C910" s="43" t="s">
        <v>1602</v>
      </c>
      <c r="D910" s="44" t="s">
        <v>1605</v>
      </c>
      <c r="E910" s="45">
        <v>1</v>
      </c>
      <c r="F910" s="46">
        <v>2.9</v>
      </c>
      <c r="G910" s="46">
        <f t="shared" si="14"/>
        <v>2.9</v>
      </c>
      <c r="H910" s="47" t="s">
        <v>24</v>
      </c>
      <c r="I910" s="47" t="s">
        <v>58</v>
      </c>
      <c r="J910" s="32"/>
    </row>
    <row r="911" spans="1:10" x14ac:dyDescent="0.2">
      <c r="A911" s="32"/>
      <c r="B911" s="36" t="s">
        <v>1606</v>
      </c>
      <c r="C911" s="37" t="s">
        <v>1607</v>
      </c>
      <c r="D911" s="38" t="s">
        <v>504</v>
      </c>
      <c r="E911" s="39">
        <v>1</v>
      </c>
      <c r="F911" s="40">
        <v>62</v>
      </c>
      <c r="G911" s="40">
        <f t="shared" si="14"/>
        <v>62</v>
      </c>
      <c r="H911" s="41" t="s">
        <v>24</v>
      </c>
      <c r="I911" s="41" t="s">
        <v>58</v>
      </c>
      <c r="J911" s="32"/>
    </row>
    <row r="912" spans="1:10" x14ac:dyDescent="0.2">
      <c r="A912" s="32"/>
      <c r="B912" s="42" t="s">
        <v>1608</v>
      </c>
      <c r="C912" s="43" t="s">
        <v>1607</v>
      </c>
      <c r="D912" s="44" t="s">
        <v>41</v>
      </c>
      <c r="E912" s="45">
        <v>1</v>
      </c>
      <c r="F912" s="46">
        <v>14</v>
      </c>
      <c r="G912" s="46">
        <f t="shared" si="14"/>
        <v>14</v>
      </c>
      <c r="H912" s="47" t="s">
        <v>26</v>
      </c>
      <c r="I912" s="47" t="s">
        <v>58</v>
      </c>
      <c r="J912" s="32"/>
    </row>
    <row r="913" spans="1:10" x14ac:dyDescent="0.2">
      <c r="A913" s="32"/>
      <c r="B913" s="36" t="s">
        <v>1609</v>
      </c>
      <c r="C913" s="37" t="s">
        <v>1610</v>
      </c>
      <c r="D913" s="38" t="s">
        <v>337</v>
      </c>
      <c r="E913" s="39">
        <v>1</v>
      </c>
      <c r="F913" s="40">
        <v>47</v>
      </c>
      <c r="G913" s="40">
        <f t="shared" si="14"/>
        <v>47</v>
      </c>
      <c r="H913" s="41" t="s">
        <v>24</v>
      </c>
      <c r="I913" s="41" t="s">
        <v>338</v>
      </c>
      <c r="J913" s="32"/>
    </row>
    <row r="914" spans="1:10" x14ac:dyDescent="0.2">
      <c r="A914" s="32"/>
      <c r="B914" s="42" t="s">
        <v>1611</v>
      </c>
      <c r="C914" s="43" t="s">
        <v>1610</v>
      </c>
      <c r="D914" s="44" t="s">
        <v>1612</v>
      </c>
      <c r="E914" s="45">
        <v>1</v>
      </c>
      <c r="F914" s="46">
        <v>7</v>
      </c>
      <c r="G914" s="46">
        <f t="shared" si="14"/>
        <v>7</v>
      </c>
      <c r="H914" s="47" t="s">
        <v>24</v>
      </c>
      <c r="I914" s="47" t="s">
        <v>58</v>
      </c>
      <c r="J914" s="32"/>
    </row>
    <row r="915" spans="1:10" x14ac:dyDescent="0.2">
      <c r="A915" s="32"/>
      <c r="B915" s="36" t="s">
        <v>1613</v>
      </c>
      <c r="C915" s="37" t="s">
        <v>1610</v>
      </c>
      <c r="D915" s="38" t="s">
        <v>906</v>
      </c>
      <c r="E915" s="39">
        <v>1</v>
      </c>
      <c r="F915" s="40">
        <v>7</v>
      </c>
      <c r="G915" s="40">
        <f t="shared" si="14"/>
        <v>7</v>
      </c>
      <c r="H915" s="41" t="s">
        <v>24</v>
      </c>
      <c r="I915" s="41" t="s">
        <v>58</v>
      </c>
      <c r="J915" s="32"/>
    </row>
    <row r="916" spans="1:10" x14ac:dyDescent="0.2">
      <c r="A916" s="32"/>
      <c r="B916" s="42" t="s">
        <v>1614</v>
      </c>
      <c r="C916" s="43" t="s">
        <v>1610</v>
      </c>
      <c r="D916" s="44" t="s">
        <v>41</v>
      </c>
      <c r="E916" s="45">
        <v>1</v>
      </c>
      <c r="F916" s="46">
        <v>14</v>
      </c>
      <c r="G916" s="46">
        <f t="shared" si="14"/>
        <v>14</v>
      </c>
      <c r="H916" s="47" t="s">
        <v>26</v>
      </c>
      <c r="I916" s="47" t="s">
        <v>58</v>
      </c>
      <c r="J916" s="32"/>
    </row>
    <row r="917" spans="1:10" x14ac:dyDescent="0.2">
      <c r="A917" s="32"/>
      <c r="B917" s="36" t="s">
        <v>1615</v>
      </c>
      <c r="C917" s="37" t="s">
        <v>1616</v>
      </c>
      <c r="D917" s="38" t="s">
        <v>485</v>
      </c>
      <c r="E917" s="39">
        <v>1</v>
      </c>
      <c r="F917" s="40">
        <v>62.4</v>
      </c>
      <c r="G917" s="40">
        <f t="shared" si="14"/>
        <v>62.4</v>
      </c>
      <c r="H917" s="41" t="s">
        <v>24</v>
      </c>
      <c r="I917" s="41" t="s">
        <v>58</v>
      </c>
      <c r="J917" s="32"/>
    </row>
    <row r="918" spans="1:10" x14ac:dyDescent="0.2">
      <c r="A918" s="32"/>
      <c r="B918" s="42" t="s">
        <v>1617</v>
      </c>
      <c r="C918" s="43" t="s">
        <v>1618</v>
      </c>
      <c r="D918" s="44" t="s">
        <v>337</v>
      </c>
      <c r="E918" s="45">
        <v>1</v>
      </c>
      <c r="F918" s="46">
        <v>47</v>
      </c>
      <c r="G918" s="46">
        <f t="shared" si="14"/>
        <v>47</v>
      </c>
      <c r="H918" s="47" t="s">
        <v>24</v>
      </c>
      <c r="I918" s="47" t="s">
        <v>338</v>
      </c>
      <c r="J918" s="32"/>
    </row>
    <row r="919" spans="1:10" x14ac:dyDescent="0.2">
      <c r="A919" s="32"/>
      <c r="B919" s="36" t="s">
        <v>1619</v>
      </c>
      <c r="C919" s="37" t="s">
        <v>1618</v>
      </c>
      <c r="D919" s="38" t="s">
        <v>906</v>
      </c>
      <c r="E919" s="39">
        <v>1</v>
      </c>
      <c r="F919" s="40">
        <v>7</v>
      </c>
      <c r="G919" s="40">
        <f t="shared" si="14"/>
        <v>7</v>
      </c>
      <c r="H919" s="41" t="s">
        <v>24</v>
      </c>
      <c r="I919" s="41" t="s">
        <v>58</v>
      </c>
      <c r="J919" s="32"/>
    </row>
    <row r="920" spans="1:10" x14ac:dyDescent="0.2">
      <c r="A920" s="32"/>
      <c r="B920" s="42" t="s">
        <v>1620</v>
      </c>
      <c r="C920" s="43" t="s">
        <v>1618</v>
      </c>
      <c r="D920" s="44" t="s">
        <v>41</v>
      </c>
      <c r="E920" s="45">
        <v>1</v>
      </c>
      <c r="F920" s="46">
        <v>14</v>
      </c>
      <c r="G920" s="46">
        <f t="shared" si="14"/>
        <v>14</v>
      </c>
      <c r="H920" s="47" t="s">
        <v>26</v>
      </c>
      <c r="I920" s="47" t="s">
        <v>58</v>
      </c>
      <c r="J920" s="32"/>
    </row>
    <row r="921" spans="1:10" x14ac:dyDescent="0.2">
      <c r="A921" s="32"/>
      <c r="B921" s="36" t="s">
        <v>1621</v>
      </c>
      <c r="C921" s="37" t="s">
        <v>1622</v>
      </c>
      <c r="D921" s="38" t="s">
        <v>466</v>
      </c>
      <c r="E921" s="39">
        <v>1</v>
      </c>
      <c r="F921" s="40">
        <v>74</v>
      </c>
      <c r="G921" s="40">
        <f t="shared" si="14"/>
        <v>74</v>
      </c>
      <c r="H921" s="41" t="s">
        <v>24</v>
      </c>
      <c r="I921" s="41" t="s">
        <v>58</v>
      </c>
      <c r="J921" s="32"/>
    </row>
    <row r="922" spans="1:10" x14ac:dyDescent="0.2">
      <c r="A922" s="32"/>
      <c r="B922" s="42" t="s">
        <v>1623</v>
      </c>
      <c r="C922" s="43" t="s">
        <v>1622</v>
      </c>
      <c r="D922" s="44" t="s">
        <v>41</v>
      </c>
      <c r="E922" s="45">
        <v>1</v>
      </c>
      <c r="F922" s="46">
        <v>11</v>
      </c>
      <c r="G922" s="46">
        <f t="shared" si="14"/>
        <v>11</v>
      </c>
      <c r="H922" s="47" t="s">
        <v>26</v>
      </c>
      <c r="I922" s="47" t="s">
        <v>58</v>
      </c>
      <c r="J922" s="32"/>
    </row>
    <row r="923" spans="1:10" x14ac:dyDescent="0.2">
      <c r="A923" s="32"/>
      <c r="B923" s="36" t="s">
        <v>1624</v>
      </c>
      <c r="C923" s="37" t="s">
        <v>1625</v>
      </c>
      <c r="D923" s="38" t="s">
        <v>485</v>
      </c>
      <c r="E923" s="39">
        <v>1</v>
      </c>
      <c r="F923" s="40">
        <v>69.400000000000006</v>
      </c>
      <c r="G923" s="40">
        <f t="shared" si="14"/>
        <v>69.400000000000006</v>
      </c>
      <c r="H923" s="41" t="s">
        <v>24</v>
      </c>
      <c r="I923" s="41" t="s">
        <v>58</v>
      </c>
      <c r="J923" s="32"/>
    </row>
    <row r="924" spans="1:10" x14ac:dyDescent="0.2">
      <c r="A924" s="32"/>
      <c r="B924" s="42" t="s">
        <v>1626</v>
      </c>
      <c r="C924" s="43" t="s">
        <v>1627</v>
      </c>
      <c r="D924" s="44" t="s">
        <v>1574</v>
      </c>
      <c r="E924" s="45">
        <v>1</v>
      </c>
      <c r="F924" s="46">
        <v>1.99</v>
      </c>
      <c r="G924" s="46">
        <f t="shared" si="14"/>
        <v>1.99</v>
      </c>
      <c r="H924" s="47" t="s">
        <v>24</v>
      </c>
      <c r="I924" s="47" t="s">
        <v>58</v>
      </c>
      <c r="J924" s="32"/>
    </row>
    <row r="925" spans="1:10" x14ac:dyDescent="0.2">
      <c r="A925" s="32"/>
      <c r="B925" s="36" t="s">
        <v>1628</v>
      </c>
      <c r="C925" s="37" t="s">
        <v>1627</v>
      </c>
      <c r="D925" s="38" t="s">
        <v>1629</v>
      </c>
      <c r="E925" s="39">
        <v>1</v>
      </c>
      <c r="F925" s="40">
        <v>1.99</v>
      </c>
      <c r="G925" s="40">
        <f t="shared" si="14"/>
        <v>1.99</v>
      </c>
      <c r="H925" s="41" t="s">
        <v>24</v>
      </c>
      <c r="I925" s="41" t="s">
        <v>58</v>
      </c>
      <c r="J925" s="32"/>
    </row>
    <row r="926" spans="1:10" x14ac:dyDescent="0.2">
      <c r="A926" s="32"/>
      <c r="B926" s="42" t="s">
        <v>1630</v>
      </c>
      <c r="C926" s="43" t="s">
        <v>1627</v>
      </c>
      <c r="D926" s="44" t="s">
        <v>1542</v>
      </c>
      <c r="E926" s="45">
        <v>1</v>
      </c>
      <c r="F926" s="46">
        <v>36.29</v>
      </c>
      <c r="G926" s="46">
        <f t="shared" si="14"/>
        <v>36.29</v>
      </c>
      <c r="H926" s="47" t="s">
        <v>24</v>
      </c>
      <c r="I926" s="47" t="s">
        <v>58</v>
      </c>
      <c r="J926" s="32"/>
    </row>
    <row r="927" spans="1:10" x14ac:dyDescent="0.2">
      <c r="A927" s="32"/>
      <c r="B927" s="36" t="s">
        <v>1631</v>
      </c>
      <c r="C927" s="37" t="s">
        <v>1627</v>
      </c>
      <c r="D927" s="38" t="s">
        <v>1550</v>
      </c>
      <c r="E927" s="39">
        <v>1</v>
      </c>
      <c r="F927" s="40">
        <v>9.49</v>
      </c>
      <c r="G927" s="40">
        <f t="shared" si="14"/>
        <v>9.49</v>
      </c>
      <c r="H927" s="41" t="s">
        <v>24</v>
      </c>
      <c r="I927" s="41" t="s">
        <v>58</v>
      </c>
      <c r="J927" s="32"/>
    </row>
    <row r="928" spans="1:10" x14ac:dyDescent="0.2">
      <c r="A928" s="32"/>
      <c r="B928" s="42" t="s">
        <v>1632</v>
      </c>
      <c r="C928" s="43" t="s">
        <v>1627</v>
      </c>
      <c r="D928" s="44" t="s">
        <v>1542</v>
      </c>
      <c r="E928" s="45">
        <v>1</v>
      </c>
      <c r="F928" s="46">
        <v>36.29</v>
      </c>
      <c r="G928" s="46">
        <f t="shared" si="14"/>
        <v>36.29</v>
      </c>
      <c r="H928" s="47" t="s">
        <v>24</v>
      </c>
      <c r="I928" s="47" t="s">
        <v>58</v>
      </c>
      <c r="J928" s="32"/>
    </row>
    <row r="929" spans="1:10" x14ac:dyDescent="0.2">
      <c r="A929" s="32"/>
      <c r="B929" s="36" t="s">
        <v>1633</v>
      </c>
      <c r="C929" s="37" t="s">
        <v>1627</v>
      </c>
      <c r="D929" s="38" t="s">
        <v>1550</v>
      </c>
      <c r="E929" s="39">
        <v>1</v>
      </c>
      <c r="F929" s="40">
        <v>9.49</v>
      </c>
      <c r="G929" s="40">
        <f t="shared" si="14"/>
        <v>9.49</v>
      </c>
      <c r="H929" s="41" t="s">
        <v>24</v>
      </c>
      <c r="I929" s="41" t="s">
        <v>58</v>
      </c>
      <c r="J929" s="32"/>
    </row>
    <row r="930" spans="1:10" x14ac:dyDescent="0.2">
      <c r="A930" s="32"/>
      <c r="B930" s="42" t="s">
        <v>1634</v>
      </c>
      <c r="C930" s="43" t="s">
        <v>1627</v>
      </c>
      <c r="D930" s="44" t="s">
        <v>1556</v>
      </c>
      <c r="E930" s="45">
        <v>1</v>
      </c>
      <c r="F930" s="46">
        <v>26.39</v>
      </c>
      <c r="G930" s="46">
        <f t="shared" si="14"/>
        <v>26.39</v>
      </c>
      <c r="H930" s="47" t="s">
        <v>24</v>
      </c>
      <c r="I930" s="47" t="s">
        <v>58</v>
      </c>
      <c r="J930" s="32"/>
    </row>
    <row r="931" spans="1:10" x14ac:dyDescent="0.2">
      <c r="A931" s="32"/>
      <c r="B931" s="36" t="s">
        <v>1635</v>
      </c>
      <c r="C931" s="37" t="s">
        <v>1627</v>
      </c>
      <c r="D931" s="38" t="s">
        <v>1636</v>
      </c>
      <c r="E931" s="39">
        <v>1</v>
      </c>
      <c r="F931" s="40">
        <v>80.989999999999995</v>
      </c>
      <c r="G931" s="40">
        <f t="shared" si="14"/>
        <v>80.989999999999995</v>
      </c>
      <c r="H931" s="41" t="s">
        <v>24</v>
      </c>
      <c r="I931" s="41" t="s">
        <v>58</v>
      </c>
      <c r="J931" s="32"/>
    </row>
    <row r="932" spans="1:10" x14ac:dyDescent="0.2">
      <c r="A932" s="32"/>
      <c r="B932" s="42" t="s">
        <v>1637</v>
      </c>
      <c r="C932" s="43" t="s">
        <v>1627</v>
      </c>
      <c r="D932" s="44" t="s">
        <v>1638</v>
      </c>
      <c r="E932" s="45">
        <v>1</v>
      </c>
      <c r="F932" s="46">
        <v>67.989999999999995</v>
      </c>
      <c r="G932" s="46">
        <f t="shared" si="14"/>
        <v>67.989999999999995</v>
      </c>
      <c r="H932" s="47" t="s">
        <v>24</v>
      </c>
      <c r="I932" s="47" t="s">
        <v>58</v>
      </c>
      <c r="J932" s="32"/>
    </row>
    <row r="933" spans="1:10" x14ac:dyDescent="0.2">
      <c r="A933" s="32"/>
      <c r="B933" s="36" t="s">
        <v>1639</v>
      </c>
      <c r="C933" s="37" t="s">
        <v>1627</v>
      </c>
      <c r="D933" s="38" t="s">
        <v>1640</v>
      </c>
      <c r="E933" s="39">
        <v>1</v>
      </c>
      <c r="F933" s="40">
        <v>39.79</v>
      </c>
      <c r="G933" s="40">
        <f t="shared" si="14"/>
        <v>39.79</v>
      </c>
      <c r="H933" s="41" t="s">
        <v>24</v>
      </c>
      <c r="I933" s="41" t="s">
        <v>58</v>
      </c>
      <c r="J933" s="32"/>
    </row>
    <row r="934" spans="1:10" x14ac:dyDescent="0.2">
      <c r="A934" s="32"/>
      <c r="B934" s="42" t="s">
        <v>1641</v>
      </c>
      <c r="C934" s="43" t="s">
        <v>1627</v>
      </c>
      <c r="D934" s="44" t="s">
        <v>1567</v>
      </c>
      <c r="E934" s="45">
        <v>1</v>
      </c>
      <c r="F934" s="46">
        <v>13.09</v>
      </c>
      <c r="G934" s="46">
        <f t="shared" si="14"/>
        <v>13.09</v>
      </c>
      <c r="H934" s="47" t="s">
        <v>24</v>
      </c>
      <c r="I934" s="47" t="s">
        <v>58</v>
      </c>
      <c r="J934" s="32"/>
    </row>
    <row r="935" spans="1:10" x14ac:dyDescent="0.2">
      <c r="A935" s="32"/>
      <c r="B935" s="36" t="s">
        <v>1642</v>
      </c>
      <c r="C935" s="37" t="s">
        <v>1627</v>
      </c>
      <c r="D935" s="38" t="s">
        <v>1640</v>
      </c>
      <c r="E935" s="39">
        <v>1</v>
      </c>
      <c r="F935" s="40">
        <v>39.79</v>
      </c>
      <c r="G935" s="40">
        <f t="shared" si="14"/>
        <v>39.79</v>
      </c>
      <c r="H935" s="41" t="s">
        <v>24</v>
      </c>
      <c r="I935" s="41" t="s">
        <v>58</v>
      </c>
      <c r="J935" s="32"/>
    </row>
    <row r="936" spans="1:10" x14ac:dyDescent="0.2">
      <c r="A936" s="32"/>
      <c r="B936" s="42" t="s">
        <v>1643</v>
      </c>
      <c r="C936" s="43" t="s">
        <v>1627</v>
      </c>
      <c r="D936" s="44" t="s">
        <v>1576</v>
      </c>
      <c r="E936" s="45">
        <v>1</v>
      </c>
      <c r="F936" s="46">
        <v>14.49</v>
      </c>
      <c r="G936" s="46">
        <f t="shared" si="14"/>
        <v>14.49</v>
      </c>
      <c r="H936" s="47" t="s">
        <v>24</v>
      </c>
      <c r="I936" s="47" t="s">
        <v>58</v>
      </c>
      <c r="J936" s="32"/>
    </row>
    <row r="937" spans="1:10" x14ac:dyDescent="0.2">
      <c r="A937" s="32"/>
      <c r="B937" s="36" t="s">
        <v>1644</v>
      </c>
      <c r="C937" s="37" t="s">
        <v>1627</v>
      </c>
      <c r="D937" s="38" t="s">
        <v>1567</v>
      </c>
      <c r="E937" s="39">
        <v>1</v>
      </c>
      <c r="F937" s="40">
        <v>13.09</v>
      </c>
      <c r="G937" s="40">
        <f t="shared" si="14"/>
        <v>13.09</v>
      </c>
      <c r="H937" s="41" t="s">
        <v>24</v>
      </c>
      <c r="I937" s="41" t="s">
        <v>58</v>
      </c>
      <c r="J937" s="32"/>
    </row>
    <row r="938" spans="1:10" x14ac:dyDescent="0.2">
      <c r="A938" s="32"/>
      <c r="B938" s="42" t="s">
        <v>1645</v>
      </c>
      <c r="C938" s="43" t="s">
        <v>1627</v>
      </c>
      <c r="D938" s="44" t="s">
        <v>1567</v>
      </c>
      <c r="E938" s="45">
        <v>1</v>
      </c>
      <c r="F938" s="46">
        <v>13.09</v>
      </c>
      <c r="G938" s="46">
        <f t="shared" si="14"/>
        <v>13.09</v>
      </c>
      <c r="H938" s="47" t="s">
        <v>24</v>
      </c>
      <c r="I938" s="47" t="s">
        <v>58</v>
      </c>
      <c r="J938" s="32"/>
    </row>
    <row r="939" spans="1:10" x14ac:dyDescent="0.2">
      <c r="A939" s="32"/>
      <c r="B939" s="36" t="s">
        <v>1646</v>
      </c>
      <c r="C939" s="37" t="s">
        <v>1627</v>
      </c>
      <c r="D939" s="38" t="s">
        <v>1567</v>
      </c>
      <c r="E939" s="39">
        <v>1</v>
      </c>
      <c r="F939" s="40">
        <v>13.09</v>
      </c>
      <c r="G939" s="40">
        <f t="shared" si="14"/>
        <v>13.09</v>
      </c>
      <c r="H939" s="41" t="s">
        <v>24</v>
      </c>
      <c r="I939" s="41" t="s">
        <v>58</v>
      </c>
      <c r="J939" s="32"/>
    </row>
    <row r="940" spans="1:10" x14ac:dyDescent="0.2">
      <c r="A940" s="32"/>
      <c r="B940" s="42" t="s">
        <v>1647</v>
      </c>
      <c r="C940" s="43" t="s">
        <v>1627</v>
      </c>
      <c r="D940" s="44" t="s">
        <v>1648</v>
      </c>
      <c r="E940" s="45">
        <v>1</v>
      </c>
      <c r="F940" s="46">
        <v>21.29</v>
      </c>
      <c r="G940" s="46">
        <f t="shared" si="14"/>
        <v>21.29</v>
      </c>
      <c r="H940" s="47" t="s">
        <v>24</v>
      </c>
      <c r="I940" s="47" t="s">
        <v>58</v>
      </c>
      <c r="J940" s="32"/>
    </row>
    <row r="941" spans="1:10" x14ac:dyDescent="0.2">
      <c r="A941" s="32"/>
      <c r="B941" s="36" t="s">
        <v>1649</v>
      </c>
      <c r="C941" s="37" t="s">
        <v>1627</v>
      </c>
      <c r="D941" s="38" t="s">
        <v>1556</v>
      </c>
      <c r="E941" s="39">
        <v>1</v>
      </c>
      <c r="F941" s="40">
        <v>26.39</v>
      </c>
      <c r="G941" s="40">
        <f t="shared" si="14"/>
        <v>26.39</v>
      </c>
      <c r="H941" s="41" t="s">
        <v>24</v>
      </c>
      <c r="I941" s="41" t="s">
        <v>58</v>
      </c>
      <c r="J941" s="32"/>
    </row>
    <row r="942" spans="1:10" x14ac:dyDescent="0.2">
      <c r="A942" s="32"/>
      <c r="B942" s="42" t="s">
        <v>1650</v>
      </c>
      <c r="C942" s="43" t="s">
        <v>1627</v>
      </c>
      <c r="D942" s="44" t="s">
        <v>1636</v>
      </c>
      <c r="E942" s="45">
        <v>1</v>
      </c>
      <c r="F942" s="46">
        <v>80.989999999999995</v>
      </c>
      <c r="G942" s="46">
        <f t="shared" si="14"/>
        <v>80.989999999999995</v>
      </c>
      <c r="H942" s="47" t="s">
        <v>24</v>
      </c>
      <c r="I942" s="47" t="s">
        <v>58</v>
      </c>
      <c r="J942" s="32"/>
    </row>
    <row r="943" spans="1:10" x14ac:dyDescent="0.2">
      <c r="A943" s="32"/>
      <c r="B943" s="36" t="s">
        <v>1651</v>
      </c>
      <c r="C943" s="37" t="s">
        <v>1627</v>
      </c>
      <c r="D943" s="38" t="s">
        <v>1550</v>
      </c>
      <c r="E943" s="39">
        <v>1</v>
      </c>
      <c r="F943" s="40">
        <v>9.49</v>
      </c>
      <c r="G943" s="40">
        <f t="shared" si="14"/>
        <v>9.49</v>
      </c>
      <c r="H943" s="41" t="s">
        <v>24</v>
      </c>
      <c r="I943" s="41" t="s">
        <v>58</v>
      </c>
      <c r="J943" s="32"/>
    </row>
    <row r="944" spans="1:10" x14ac:dyDescent="0.2">
      <c r="A944" s="32"/>
      <c r="B944" s="42" t="s">
        <v>1652</v>
      </c>
      <c r="C944" s="43" t="s">
        <v>1627</v>
      </c>
      <c r="D944" s="44" t="s">
        <v>1556</v>
      </c>
      <c r="E944" s="45">
        <v>1</v>
      </c>
      <c r="F944" s="46">
        <v>26.39</v>
      </c>
      <c r="G944" s="46">
        <f t="shared" si="14"/>
        <v>26.39</v>
      </c>
      <c r="H944" s="47" t="s">
        <v>24</v>
      </c>
      <c r="I944" s="47" t="s">
        <v>58</v>
      </c>
      <c r="J944" s="32"/>
    </row>
    <row r="945" spans="1:10" x14ac:dyDescent="0.2">
      <c r="A945" s="32"/>
      <c r="B945" s="36" t="s">
        <v>1653</v>
      </c>
      <c r="C945" s="37" t="s">
        <v>1627</v>
      </c>
      <c r="D945" s="38" t="s">
        <v>1654</v>
      </c>
      <c r="E945" s="39">
        <v>1</v>
      </c>
      <c r="F945" s="40">
        <v>28.59</v>
      </c>
      <c r="G945" s="40">
        <f t="shared" si="14"/>
        <v>28.59</v>
      </c>
      <c r="H945" s="41" t="s">
        <v>24</v>
      </c>
      <c r="I945" s="41" t="s">
        <v>58</v>
      </c>
      <c r="J945" s="32"/>
    </row>
    <row r="946" spans="1:10" x14ac:dyDescent="0.2">
      <c r="A946" s="32"/>
      <c r="B946" s="42" t="s">
        <v>1655</v>
      </c>
      <c r="C946" s="43" t="s">
        <v>1627</v>
      </c>
      <c r="D946" s="44" t="s">
        <v>1648</v>
      </c>
      <c r="E946" s="45">
        <v>1</v>
      </c>
      <c r="F946" s="46">
        <v>21.29</v>
      </c>
      <c r="G946" s="46">
        <f t="shared" si="14"/>
        <v>21.29</v>
      </c>
      <c r="H946" s="47" t="s">
        <v>24</v>
      </c>
      <c r="I946" s="47" t="s">
        <v>58</v>
      </c>
      <c r="J946" s="32"/>
    </row>
    <row r="947" spans="1:10" x14ac:dyDescent="0.2">
      <c r="A947" s="32"/>
      <c r="B947" s="36" t="s">
        <v>1656</v>
      </c>
      <c r="C947" s="37" t="s">
        <v>1627</v>
      </c>
      <c r="D947" s="38" t="s">
        <v>1572</v>
      </c>
      <c r="E947" s="39">
        <v>1</v>
      </c>
      <c r="F947" s="40">
        <v>33.590000000000003</v>
      </c>
      <c r="G947" s="40">
        <f t="shared" si="14"/>
        <v>33.590000000000003</v>
      </c>
      <c r="H947" s="41" t="s">
        <v>24</v>
      </c>
      <c r="I947" s="41" t="s">
        <v>58</v>
      </c>
      <c r="J947" s="32"/>
    </row>
    <row r="948" spans="1:10" x14ac:dyDescent="0.2">
      <c r="A948" s="32"/>
      <c r="B948" s="42" t="s">
        <v>1657</v>
      </c>
      <c r="C948" s="43" t="s">
        <v>1627</v>
      </c>
      <c r="D948" s="44" t="s">
        <v>1572</v>
      </c>
      <c r="E948" s="45">
        <v>1</v>
      </c>
      <c r="F948" s="46">
        <v>33.590000000000003</v>
      </c>
      <c r="G948" s="46">
        <f t="shared" si="14"/>
        <v>33.590000000000003</v>
      </c>
      <c r="H948" s="47" t="s">
        <v>24</v>
      </c>
      <c r="I948" s="47" t="s">
        <v>58</v>
      </c>
      <c r="J948" s="32"/>
    </row>
    <row r="949" spans="1:10" x14ac:dyDescent="0.2">
      <c r="A949" s="32"/>
      <c r="B949" s="36" t="s">
        <v>1658</v>
      </c>
      <c r="C949" s="37" t="s">
        <v>1627</v>
      </c>
      <c r="D949" s="38" t="s">
        <v>1588</v>
      </c>
      <c r="E949" s="39">
        <v>1</v>
      </c>
      <c r="F949" s="40">
        <v>7.99</v>
      </c>
      <c r="G949" s="40">
        <f t="shared" si="14"/>
        <v>7.99</v>
      </c>
      <c r="H949" s="41" t="s">
        <v>24</v>
      </c>
      <c r="I949" s="41" t="s">
        <v>58</v>
      </c>
      <c r="J949" s="32"/>
    </row>
    <row r="950" spans="1:10" x14ac:dyDescent="0.2">
      <c r="A950" s="32"/>
      <c r="B950" s="42" t="s">
        <v>1659</v>
      </c>
      <c r="C950" s="43" t="s">
        <v>1627</v>
      </c>
      <c r="D950" s="44" t="s">
        <v>1588</v>
      </c>
      <c r="E950" s="45">
        <v>1</v>
      </c>
      <c r="F950" s="46">
        <v>7.99</v>
      </c>
      <c r="G950" s="46">
        <f t="shared" si="14"/>
        <v>7.99</v>
      </c>
      <c r="H950" s="47" t="s">
        <v>24</v>
      </c>
      <c r="I950" s="47" t="s">
        <v>58</v>
      </c>
      <c r="J950" s="32"/>
    </row>
    <row r="951" spans="1:10" x14ac:dyDescent="0.2">
      <c r="A951" s="32"/>
      <c r="B951" s="36" t="s">
        <v>1660</v>
      </c>
      <c r="C951" s="37" t="s">
        <v>1627</v>
      </c>
      <c r="D951" s="38" t="s">
        <v>1661</v>
      </c>
      <c r="E951" s="39">
        <v>1</v>
      </c>
      <c r="F951" s="40">
        <v>15.99</v>
      </c>
      <c r="G951" s="40">
        <f t="shared" si="14"/>
        <v>15.99</v>
      </c>
      <c r="H951" s="41" t="s">
        <v>24</v>
      </c>
      <c r="I951" s="41" t="s">
        <v>58</v>
      </c>
      <c r="J951" s="32"/>
    </row>
    <row r="952" spans="1:10" x14ac:dyDescent="0.2">
      <c r="A952" s="32"/>
      <c r="B952" s="42" t="s">
        <v>1662</v>
      </c>
      <c r="C952" s="43" t="s">
        <v>1627</v>
      </c>
      <c r="D952" s="44" t="s">
        <v>1663</v>
      </c>
      <c r="E952" s="45">
        <v>1</v>
      </c>
      <c r="F952" s="46">
        <v>1.69</v>
      </c>
      <c r="G952" s="46">
        <f t="shared" si="14"/>
        <v>1.69</v>
      </c>
      <c r="H952" s="47" t="s">
        <v>24</v>
      </c>
      <c r="I952" s="47" t="s">
        <v>58</v>
      </c>
      <c r="J952" s="32"/>
    </row>
    <row r="953" spans="1:10" x14ac:dyDescent="0.2">
      <c r="A953" s="32"/>
      <c r="B953" s="36" t="s">
        <v>1664</v>
      </c>
      <c r="C953" s="37" t="s">
        <v>1627</v>
      </c>
      <c r="D953" s="38" t="s">
        <v>1665</v>
      </c>
      <c r="E953" s="39">
        <v>1</v>
      </c>
      <c r="F953" s="40">
        <v>71.39</v>
      </c>
      <c r="G953" s="40">
        <f t="shared" si="14"/>
        <v>71.39</v>
      </c>
      <c r="H953" s="41" t="s">
        <v>24</v>
      </c>
      <c r="I953" s="41" t="s">
        <v>58</v>
      </c>
      <c r="J953" s="32"/>
    </row>
    <row r="954" spans="1:10" x14ac:dyDescent="0.2">
      <c r="A954" s="32"/>
      <c r="B954" s="42" t="s">
        <v>1666</v>
      </c>
      <c r="C954" s="43" t="s">
        <v>1627</v>
      </c>
      <c r="D954" s="44" t="s">
        <v>1654</v>
      </c>
      <c r="E954" s="45">
        <v>1</v>
      </c>
      <c r="F954" s="46">
        <v>28.59</v>
      </c>
      <c r="G954" s="46">
        <f t="shared" si="14"/>
        <v>28.59</v>
      </c>
      <c r="H954" s="47" t="s">
        <v>24</v>
      </c>
      <c r="I954" s="47" t="s">
        <v>58</v>
      </c>
      <c r="J954" s="32"/>
    </row>
    <row r="955" spans="1:10" x14ac:dyDescent="0.2">
      <c r="A955" s="32"/>
      <c r="B955" s="36" t="s">
        <v>1667</v>
      </c>
      <c r="C955" s="37" t="s">
        <v>1627</v>
      </c>
      <c r="D955" s="38" t="s">
        <v>1540</v>
      </c>
      <c r="E955" s="39">
        <v>1</v>
      </c>
      <c r="F955" s="40">
        <v>9.2899999999999991</v>
      </c>
      <c r="G955" s="40">
        <f t="shared" si="14"/>
        <v>9.2899999999999991</v>
      </c>
      <c r="H955" s="41" t="s">
        <v>24</v>
      </c>
      <c r="I955" s="41" t="s">
        <v>58</v>
      </c>
      <c r="J955" s="32"/>
    </row>
    <row r="956" spans="1:10" x14ac:dyDescent="0.2">
      <c r="A956" s="32"/>
      <c r="B956" s="42" t="s">
        <v>1668</v>
      </c>
      <c r="C956" s="43" t="s">
        <v>1627</v>
      </c>
      <c r="D956" s="44" t="s">
        <v>1540</v>
      </c>
      <c r="E956" s="45">
        <v>1</v>
      </c>
      <c r="F956" s="46">
        <v>9.2899999999999991</v>
      </c>
      <c r="G956" s="46">
        <f t="shared" si="14"/>
        <v>9.2899999999999991</v>
      </c>
      <c r="H956" s="47" t="s">
        <v>24</v>
      </c>
      <c r="I956" s="47" t="s">
        <v>58</v>
      </c>
      <c r="J956" s="32"/>
    </row>
    <row r="957" spans="1:10" x14ac:dyDescent="0.2">
      <c r="A957" s="32"/>
      <c r="B957" s="36" t="s">
        <v>1669</v>
      </c>
      <c r="C957" s="37" t="s">
        <v>1627</v>
      </c>
      <c r="D957" s="38" t="s">
        <v>1540</v>
      </c>
      <c r="E957" s="39">
        <v>1</v>
      </c>
      <c r="F957" s="40">
        <v>9.2899999999999991</v>
      </c>
      <c r="G957" s="40">
        <f t="shared" si="14"/>
        <v>9.2899999999999991</v>
      </c>
      <c r="H957" s="41" t="s">
        <v>24</v>
      </c>
      <c r="I957" s="41" t="s">
        <v>58</v>
      </c>
      <c r="J957" s="32"/>
    </row>
    <row r="958" spans="1:10" x14ac:dyDescent="0.2">
      <c r="A958" s="32"/>
      <c r="B958" s="42" t="s">
        <v>1670</v>
      </c>
      <c r="C958" s="43" t="s">
        <v>1627</v>
      </c>
      <c r="D958" s="44" t="s">
        <v>1671</v>
      </c>
      <c r="E958" s="45">
        <v>1</v>
      </c>
      <c r="F958" s="46">
        <v>8.09</v>
      </c>
      <c r="G958" s="46">
        <f t="shared" si="14"/>
        <v>8.09</v>
      </c>
      <c r="H958" s="47" t="s">
        <v>24</v>
      </c>
      <c r="I958" s="47" t="s">
        <v>58</v>
      </c>
      <c r="J958" s="32"/>
    </row>
    <row r="959" spans="1:10" x14ac:dyDescent="0.2">
      <c r="A959" s="32"/>
      <c r="B959" s="36" t="s">
        <v>1672</v>
      </c>
      <c r="C959" s="37" t="s">
        <v>1627</v>
      </c>
      <c r="D959" s="38" t="s">
        <v>1671</v>
      </c>
      <c r="E959" s="39">
        <v>1</v>
      </c>
      <c r="F959" s="40">
        <v>8.09</v>
      </c>
      <c r="G959" s="40">
        <f t="shared" si="14"/>
        <v>8.09</v>
      </c>
      <c r="H959" s="41" t="s">
        <v>24</v>
      </c>
      <c r="I959" s="41" t="s">
        <v>58</v>
      </c>
      <c r="J959" s="32"/>
    </row>
    <row r="960" spans="1:10" x14ac:dyDescent="0.2">
      <c r="A960" s="32"/>
      <c r="B960" s="42" t="s">
        <v>1673</v>
      </c>
      <c r="C960" s="43" t="s">
        <v>1627</v>
      </c>
      <c r="D960" s="44" t="s">
        <v>1671</v>
      </c>
      <c r="E960" s="45">
        <v>1</v>
      </c>
      <c r="F960" s="46">
        <v>8.09</v>
      </c>
      <c r="G960" s="46">
        <f t="shared" si="14"/>
        <v>8.09</v>
      </c>
      <c r="H960" s="47" t="s">
        <v>24</v>
      </c>
      <c r="I960" s="47" t="s">
        <v>58</v>
      </c>
      <c r="J960" s="32"/>
    </row>
    <row r="961" spans="1:10" x14ac:dyDescent="0.2">
      <c r="A961" s="32"/>
      <c r="B961" s="36" t="s">
        <v>1674</v>
      </c>
      <c r="C961" s="37" t="s">
        <v>1675</v>
      </c>
      <c r="D961" s="38" t="s">
        <v>1676</v>
      </c>
      <c r="E961" s="39">
        <v>1</v>
      </c>
      <c r="F961" s="40">
        <v>21.98</v>
      </c>
      <c r="G961" s="40">
        <f t="shared" si="14"/>
        <v>21.98</v>
      </c>
      <c r="H961" s="41" t="s">
        <v>24</v>
      </c>
      <c r="I961" s="41" t="s">
        <v>58</v>
      </c>
      <c r="J961" s="32"/>
    </row>
    <row r="962" spans="1:10" x14ac:dyDescent="0.2">
      <c r="A962" s="32"/>
      <c r="B962" s="42" t="s">
        <v>1677</v>
      </c>
      <c r="C962" s="43" t="s">
        <v>1675</v>
      </c>
      <c r="D962" s="44" t="s">
        <v>1678</v>
      </c>
      <c r="E962" s="45">
        <v>1</v>
      </c>
      <c r="F962" s="46">
        <v>19.989999999999998</v>
      </c>
      <c r="G962" s="46">
        <f t="shared" si="14"/>
        <v>19.989999999999998</v>
      </c>
      <c r="H962" s="47" t="s">
        <v>24</v>
      </c>
      <c r="I962" s="47" t="s">
        <v>58</v>
      </c>
      <c r="J962" s="32"/>
    </row>
    <row r="963" spans="1:10" x14ac:dyDescent="0.2">
      <c r="A963" s="32"/>
      <c r="B963" s="36" t="s">
        <v>1679</v>
      </c>
      <c r="C963" s="37" t="s">
        <v>1675</v>
      </c>
      <c r="D963" s="38" t="s">
        <v>1680</v>
      </c>
      <c r="E963" s="39">
        <v>1</v>
      </c>
      <c r="F963" s="40">
        <v>14.69</v>
      </c>
      <c r="G963" s="40">
        <f t="shared" si="14"/>
        <v>14.69</v>
      </c>
      <c r="H963" s="41" t="s">
        <v>24</v>
      </c>
      <c r="I963" s="41" t="s">
        <v>58</v>
      </c>
      <c r="J963" s="32"/>
    </row>
    <row r="964" spans="1:10" x14ac:dyDescent="0.2">
      <c r="A964" s="32"/>
      <c r="B964" s="42" t="s">
        <v>1681</v>
      </c>
      <c r="C964" s="43" t="s">
        <v>1675</v>
      </c>
      <c r="D964" s="44" t="s">
        <v>43</v>
      </c>
      <c r="E964" s="45">
        <v>1</v>
      </c>
      <c r="F964" s="46">
        <v>2.19</v>
      </c>
      <c r="G964" s="46">
        <f t="shared" si="14"/>
        <v>2.19</v>
      </c>
      <c r="H964" s="47" t="s">
        <v>24</v>
      </c>
      <c r="I964" s="47" t="s">
        <v>58</v>
      </c>
      <c r="J964" s="32"/>
    </row>
    <row r="965" spans="1:10" x14ac:dyDescent="0.2">
      <c r="A965" s="32"/>
      <c r="B965" s="36" t="s">
        <v>1682</v>
      </c>
      <c r="C965" s="37" t="s">
        <v>1675</v>
      </c>
      <c r="D965" s="38" t="s">
        <v>43</v>
      </c>
      <c r="E965" s="39">
        <v>1</v>
      </c>
      <c r="F965" s="40">
        <v>2.19</v>
      </c>
      <c r="G965" s="40">
        <f t="shared" ref="G965:G1028" si="15">E965*F965</f>
        <v>2.19</v>
      </c>
      <c r="H965" s="41" t="s">
        <v>24</v>
      </c>
      <c r="I965" s="41" t="s">
        <v>58</v>
      </c>
      <c r="J965" s="32"/>
    </row>
    <row r="966" spans="1:10" x14ac:dyDescent="0.2">
      <c r="A966" s="32"/>
      <c r="B966" s="42" t="s">
        <v>1683</v>
      </c>
      <c r="C966" s="43" t="s">
        <v>1675</v>
      </c>
      <c r="D966" s="44" t="s">
        <v>1684</v>
      </c>
      <c r="E966" s="45">
        <v>1</v>
      </c>
      <c r="F966" s="46">
        <v>6.99</v>
      </c>
      <c r="G966" s="46">
        <f t="shared" si="15"/>
        <v>6.99</v>
      </c>
      <c r="H966" s="47" t="s">
        <v>24</v>
      </c>
      <c r="I966" s="47" t="s">
        <v>58</v>
      </c>
      <c r="J966" s="32"/>
    </row>
    <row r="967" spans="1:10" x14ac:dyDescent="0.2">
      <c r="A967" s="32"/>
      <c r="B967" s="36" t="s">
        <v>1685</v>
      </c>
      <c r="C967" s="37" t="s">
        <v>1675</v>
      </c>
      <c r="D967" s="38" t="s">
        <v>1684</v>
      </c>
      <c r="E967" s="39">
        <v>1</v>
      </c>
      <c r="F967" s="40">
        <v>6.99</v>
      </c>
      <c r="G967" s="40">
        <f t="shared" si="15"/>
        <v>6.99</v>
      </c>
      <c r="H967" s="41" t="s">
        <v>24</v>
      </c>
      <c r="I967" s="41" t="s">
        <v>58</v>
      </c>
      <c r="J967" s="32"/>
    </row>
    <row r="968" spans="1:10" x14ac:dyDescent="0.2">
      <c r="A968" s="32"/>
      <c r="B968" s="42" t="s">
        <v>1686</v>
      </c>
      <c r="C968" s="43" t="s">
        <v>1675</v>
      </c>
      <c r="D968" s="44" t="s">
        <v>1687</v>
      </c>
      <c r="E968" s="45">
        <v>1</v>
      </c>
      <c r="F968" s="46">
        <v>6.89</v>
      </c>
      <c r="G968" s="46">
        <f t="shared" si="15"/>
        <v>6.89</v>
      </c>
      <c r="H968" s="47" t="s">
        <v>24</v>
      </c>
      <c r="I968" s="47" t="s">
        <v>58</v>
      </c>
      <c r="J968" s="32"/>
    </row>
    <row r="969" spans="1:10" x14ac:dyDescent="0.2">
      <c r="A969" s="32"/>
      <c r="B969" s="36" t="s">
        <v>1688</v>
      </c>
      <c r="C969" s="37" t="s">
        <v>1675</v>
      </c>
      <c r="D969" s="38" t="s">
        <v>81</v>
      </c>
      <c r="E969" s="39">
        <v>1</v>
      </c>
      <c r="F969" s="40">
        <v>3.99</v>
      </c>
      <c r="G969" s="40">
        <f t="shared" si="15"/>
        <v>3.99</v>
      </c>
      <c r="H969" s="41" t="s">
        <v>24</v>
      </c>
      <c r="I969" s="41" t="s">
        <v>58</v>
      </c>
      <c r="J969" s="32"/>
    </row>
    <row r="970" spans="1:10" x14ac:dyDescent="0.2">
      <c r="A970" s="32"/>
      <c r="B970" s="42" t="s">
        <v>1689</v>
      </c>
      <c r="C970" s="43" t="s">
        <v>1675</v>
      </c>
      <c r="D970" s="44" t="s">
        <v>1690</v>
      </c>
      <c r="E970" s="45">
        <v>1</v>
      </c>
      <c r="F970" s="46">
        <v>69.989999999999995</v>
      </c>
      <c r="G970" s="46">
        <f t="shared" si="15"/>
        <v>69.989999999999995</v>
      </c>
      <c r="H970" s="47" t="s">
        <v>24</v>
      </c>
      <c r="I970" s="47" t="s">
        <v>58</v>
      </c>
      <c r="J970" s="32"/>
    </row>
    <row r="971" spans="1:10" x14ac:dyDescent="0.2">
      <c r="A971" s="32"/>
      <c r="B971" s="36" t="s">
        <v>1691</v>
      </c>
      <c r="C971" s="37" t="s">
        <v>1675</v>
      </c>
      <c r="D971" s="38" t="s">
        <v>1398</v>
      </c>
      <c r="E971" s="39">
        <v>1</v>
      </c>
      <c r="F971" s="40">
        <v>48.8</v>
      </c>
      <c r="G971" s="40">
        <f t="shared" si="15"/>
        <v>48.8</v>
      </c>
      <c r="H971" s="41" t="s">
        <v>24</v>
      </c>
      <c r="I971" s="41" t="s">
        <v>58</v>
      </c>
      <c r="J971" s="32"/>
    </row>
    <row r="972" spans="1:10" x14ac:dyDescent="0.2">
      <c r="A972" s="32"/>
      <c r="B972" s="42" t="s">
        <v>1692</v>
      </c>
      <c r="C972" s="43" t="s">
        <v>1675</v>
      </c>
      <c r="D972" s="44" t="s">
        <v>1400</v>
      </c>
      <c r="E972" s="45">
        <v>1</v>
      </c>
      <c r="F972" s="46">
        <v>99.9</v>
      </c>
      <c r="G972" s="46">
        <f t="shared" si="15"/>
        <v>99.9</v>
      </c>
      <c r="H972" s="47" t="s">
        <v>24</v>
      </c>
      <c r="I972" s="47" t="s">
        <v>58</v>
      </c>
      <c r="J972" s="32"/>
    </row>
    <row r="973" spans="1:10" x14ac:dyDescent="0.2">
      <c r="A973" s="32"/>
      <c r="B973" s="36" t="s">
        <v>1693</v>
      </c>
      <c r="C973" s="37" t="s">
        <v>1675</v>
      </c>
      <c r="D973" s="38" t="s">
        <v>1694</v>
      </c>
      <c r="E973" s="39">
        <v>1</v>
      </c>
      <c r="F973" s="40">
        <v>14.69</v>
      </c>
      <c r="G973" s="40">
        <f t="shared" si="15"/>
        <v>14.69</v>
      </c>
      <c r="H973" s="41" t="s">
        <v>24</v>
      </c>
      <c r="I973" s="41" t="s">
        <v>58</v>
      </c>
      <c r="J973" s="32"/>
    </row>
    <row r="974" spans="1:10" x14ac:dyDescent="0.2">
      <c r="A974" s="32"/>
      <c r="B974" s="42" t="s">
        <v>1695</v>
      </c>
      <c r="C974" s="43" t="s">
        <v>1675</v>
      </c>
      <c r="D974" s="44" t="s">
        <v>619</v>
      </c>
      <c r="E974" s="45">
        <v>1</v>
      </c>
      <c r="F974" s="46">
        <v>22.99</v>
      </c>
      <c r="G974" s="46">
        <f t="shared" si="15"/>
        <v>22.99</v>
      </c>
      <c r="H974" s="47" t="s">
        <v>24</v>
      </c>
      <c r="I974" s="47" t="s">
        <v>58</v>
      </c>
      <c r="J974" s="32"/>
    </row>
    <row r="975" spans="1:10" x14ac:dyDescent="0.2">
      <c r="A975" s="32"/>
      <c r="B975" s="36" t="s">
        <v>1696</v>
      </c>
      <c r="C975" s="37" t="s">
        <v>1675</v>
      </c>
      <c r="D975" s="38" t="s">
        <v>1697</v>
      </c>
      <c r="E975" s="39">
        <v>1</v>
      </c>
      <c r="F975" s="40">
        <v>15.59</v>
      </c>
      <c r="G975" s="40">
        <f t="shared" si="15"/>
        <v>15.59</v>
      </c>
      <c r="H975" s="41" t="s">
        <v>25</v>
      </c>
      <c r="I975" s="41" t="s">
        <v>58</v>
      </c>
      <c r="J975" s="32"/>
    </row>
    <row r="976" spans="1:10" x14ac:dyDescent="0.2">
      <c r="A976" s="32"/>
      <c r="B976" s="42" t="s">
        <v>1698</v>
      </c>
      <c r="C976" s="43" t="s">
        <v>1675</v>
      </c>
      <c r="D976" s="44" t="s">
        <v>1699</v>
      </c>
      <c r="E976" s="45">
        <v>1</v>
      </c>
      <c r="F976" s="46">
        <v>2.99</v>
      </c>
      <c r="G976" s="46">
        <f t="shared" si="15"/>
        <v>2.99</v>
      </c>
      <c r="H976" s="47" t="s">
        <v>24</v>
      </c>
      <c r="I976" s="47" t="s">
        <v>58</v>
      </c>
      <c r="J976" s="32"/>
    </row>
    <row r="977" spans="1:10" x14ac:dyDescent="0.2">
      <c r="A977" s="32"/>
      <c r="B977" s="36" t="s">
        <v>1700</v>
      </c>
      <c r="C977" s="37" t="s">
        <v>1675</v>
      </c>
      <c r="D977" s="38" t="s">
        <v>1699</v>
      </c>
      <c r="E977" s="39">
        <v>1</v>
      </c>
      <c r="F977" s="40">
        <v>2.99</v>
      </c>
      <c r="G977" s="40">
        <f t="shared" si="15"/>
        <v>2.99</v>
      </c>
      <c r="H977" s="41" t="s">
        <v>24</v>
      </c>
      <c r="I977" s="41" t="s">
        <v>58</v>
      </c>
      <c r="J977" s="32"/>
    </row>
    <row r="978" spans="1:10" x14ac:dyDescent="0.2">
      <c r="A978" s="32"/>
      <c r="B978" s="42" t="s">
        <v>1701</v>
      </c>
      <c r="C978" s="43" t="s">
        <v>1675</v>
      </c>
      <c r="D978" s="44" t="s">
        <v>1702</v>
      </c>
      <c r="E978" s="45">
        <v>1</v>
      </c>
      <c r="F978" s="46">
        <v>7.69</v>
      </c>
      <c r="G978" s="46">
        <f t="shared" si="15"/>
        <v>7.69</v>
      </c>
      <c r="H978" s="47" t="s">
        <v>25</v>
      </c>
      <c r="I978" s="47" t="s">
        <v>58</v>
      </c>
      <c r="J978" s="32"/>
    </row>
    <row r="979" spans="1:10" x14ac:dyDescent="0.2">
      <c r="A979" s="32"/>
      <c r="B979" s="36" t="s">
        <v>1703</v>
      </c>
      <c r="C979" s="37" t="s">
        <v>1675</v>
      </c>
      <c r="D979" s="38" t="s">
        <v>1704</v>
      </c>
      <c r="E979" s="39">
        <v>1</v>
      </c>
      <c r="F979" s="40">
        <v>21.99</v>
      </c>
      <c r="G979" s="40">
        <f t="shared" si="15"/>
        <v>21.99</v>
      </c>
      <c r="H979" s="41" t="s">
        <v>25</v>
      </c>
      <c r="I979" s="41" t="s">
        <v>58</v>
      </c>
      <c r="J979" s="32"/>
    </row>
    <row r="980" spans="1:10" x14ac:dyDescent="0.2">
      <c r="A980" s="32"/>
      <c r="B980" s="42" t="s">
        <v>1705</v>
      </c>
      <c r="C980" s="43" t="s">
        <v>1675</v>
      </c>
      <c r="D980" s="44" t="s">
        <v>1706</v>
      </c>
      <c r="E980" s="45">
        <v>1</v>
      </c>
      <c r="F980" s="46">
        <v>11.99</v>
      </c>
      <c r="G980" s="46">
        <f t="shared" si="15"/>
        <v>11.99</v>
      </c>
      <c r="H980" s="47" t="s">
        <v>25</v>
      </c>
      <c r="I980" s="47" t="s">
        <v>58</v>
      </c>
      <c r="J980" s="32"/>
    </row>
    <row r="981" spans="1:10" x14ac:dyDescent="0.2">
      <c r="A981" s="32"/>
      <c r="B981" s="36" t="s">
        <v>1707</v>
      </c>
      <c r="C981" s="37" t="s">
        <v>1675</v>
      </c>
      <c r="D981" s="38" t="s">
        <v>1708</v>
      </c>
      <c r="E981" s="39">
        <v>1</v>
      </c>
      <c r="F981" s="40">
        <v>14.69</v>
      </c>
      <c r="G981" s="40">
        <f t="shared" si="15"/>
        <v>14.69</v>
      </c>
      <c r="H981" s="41" t="s">
        <v>24</v>
      </c>
      <c r="I981" s="41" t="s">
        <v>58</v>
      </c>
      <c r="J981" s="32"/>
    </row>
    <row r="982" spans="1:10" x14ac:dyDescent="0.2">
      <c r="A982" s="32"/>
      <c r="B982" s="42" t="s">
        <v>1709</v>
      </c>
      <c r="C982" s="43" t="s">
        <v>1675</v>
      </c>
      <c r="D982" s="44" t="s">
        <v>1710</v>
      </c>
      <c r="E982" s="45">
        <v>1</v>
      </c>
      <c r="F982" s="46">
        <v>11.99</v>
      </c>
      <c r="G982" s="46">
        <f t="shared" si="15"/>
        <v>11.99</v>
      </c>
      <c r="H982" s="47" t="s">
        <v>25</v>
      </c>
      <c r="I982" s="47" t="s">
        <v>58</v>
      </c>
      <c r="J982" s="32"/>
    </row>
    <row r="983" spans="1:10" x14ac:dyDescent="0.2">
      <c r="A983" s="32"/>
      <c r="B983" s="36" t="s">
        <v>1711</v>
      </c>
      <c r="C983" s="37" t="s">
        <v>1675</v>
      </c>
      <c r="D983" s="38" t="s">
        <v>1712</v>
      </c>
      <c r="E983" s="39">
        <v>1</v>
      </c>
      <c r="F983" s="40">
        <v>11.99</v>
      </c>
      <c r="G983" s="40">
        <f t="shared" si="15"/>
        <v>11.99</v>
      </c>
      <c r="H983" s="41" t="s">
        <v>25</v>
      </c>
      <c r="I983" s="41" t="s">
        <v>58</v>
      </c>
      <c r="J983" s="32"/>
    </row>
    <row r="984" spans="1:10" x14ac:dyDescent="0.2">
      <c r="A984" s="32"/>
      <c r="B984" s="42" t="s">
        <v>1713</v>
      </c>
      <c r="C984" s="43" t="s">
        <v>1675</v>
      </c>
      <c r="D984" s="44" t="s">
        <v>834</v>
      </c>
      <c r="E984" s="45">
        <v>1</v>
      </c>
      <c r="F984" s="46">
        <v>4.66</v>
      </c>
      <c r="G984" s="46">
        <f t="shared" si="15"/>
        <v>4.66</v>
      </c>
      <c r="H984" s="47" t="s">
        <v>25</v>
      </c>
      <c r="I984" s="47" t="s">
        <v>58</v>
      </c>
      <c r="J984" s="32"/>
    </row>
    <row r="985" spans="1:10" x14ac:dyDescent="0.2">
      <c r="A985" s="32"/>
      <c r="B985" s="36" t="s">
        <v>1714</v>
      </c>
      <c r="C985" s="37" t="s">
        <v>1675</v>
      </c>
      <c r="D985" s="38" t="s">
        <v>834</v>
      </c>
      <c r="E985" s="39">
        <v>1</v>
      </c>
      <c r="F985" s="40">
        <v>4.66</v>
      </c>
      <c r="G985" s="40">
        <f t="shared" si="15"/>
        <v>4.66</v>
      </c>
      <c r="H985" s="41" t="s">
        <v>25</v>
      </c>
      <c r="I985" s="41" t="s">
        <v>58</v>
      </c>
      <c r="J985" s="32"/>
    </row>
    <row r="986" spans="1:10" x14ac:dyDescent="0.2">
      <c r="A986" s="32"/>
      <c r="B986" s="42" t="s">
        <v>1715</v>
      </c>
      <c r="C986" s="43" t="s">
        <v>1675</v>
      </c>
      <c r="D986" s="44" t="s">
        <v>1716</v>
      </c>
      <c r="E986" s="45">
        <v>1</v>
      </c>
      <c r="F986" s="46">
        <v>4.66</v>
      </c>
      <c r="G986" s="46">
        <f t="shared" si="15"/>
        <v>4.66</v>
      </c>
      <c r="H986" s="47" t="s">
        <v>25</v>
      </c>
      <c r="I986" s="47" t="s">
        <v>58</v>
      </c>
      <c r="J986" s="32"/>
    </row>
    <row r="987" spans="1:10" x14ac:dyDescent="0.2">
      <c r="A987" s="32"/>
      <c r="B987" s="36" t="s">
        <v>1717</v>
      </c>
      <c r="C987" s="37" t="s">
        <v>1675</v>
      </c>
      <c r="D987" s="38" t="s">
        <v>179</v>
      </c>
      <c r="E987" s="39">
        <v>1</v>
      </c>
      <c r="F987" s="40">
        <v>4.66</v>
      </c>
      <c r="G987" s="40">
        <f t="shared" si="15"/>
        <v>4.66</v>
      </c>
      <c r="H987" s="41" t="s">
        <v>25</v>
      </c>
      <c r="I987" s="41" t="s">
        <v>58</v>
      </c>
      <c r="J987" s="32"/>
    </row>
    <row r="988" spans="1:10" x14ac:dyDescent="0.2">
      <c r="A988" s="32"/>
      <c r="B988" s="42" t="s">
        <v>1718</v>
      </c>
      <c r="C988" s="43" t="s">
        <v>1675</v>
      </c>
      <c r="D988" s="44" t="s">
        <v>181</v>
      </c>
      <c r="E988" s="45">
        <v>1</v>
      </c>
      <c r="F988" s="46">
        <v>4.66</v>
      </c>
      <c r="G988" s="46">
        <f t="shared" si="15"/>
        <v>4.66</v>
      </c>
      <c r="H988" s="47" t="s">
        <v>25</v>
      </c>
      <c r="I988" s="47" t="s">
        <v>58</v>
      </c>
      <c r="J988" s="32"/>
    </row>
    <row r="989" spans="1:10" x14ac:dyDescent="0.2">
      <c r="A989" s="32"/>
      <c r="B989" s="36" t="s">
        <v>1719</v>
      </c>
      <c r="C989" s="37" t="s">
        <v>1675</v>
      </c>
      <c r="D989" s="38" t="s">
        <v>1720</v>
      </c>
      <c r="E989" s="39">
        <v>1</v>
      </c>
      <c r="F989" s="40">
        <v>7.26</v>
      </c>
      <c r="G989" s="40">
        <f t="shared" si="15"/>
        <v>7.26</v>
      </c>
      <c r="H989" s="41" t="s">
        <v>24</v>
      </c>
      <c r="I989" s="41" t="s">
        <v>58</v>
      </c>
      <c r="J989" s="32"/>
    </row>
    <row r="990" spans="1:10" x14ac:dyDescent="0.2">
      <c r="A990" s="32"/>
      <c r="B990" s="42" t="s">
        <v>1721</v>
      </c>
      <c r="C990" s="43" t="s">
        <v>1675</v>
      </c>
      <c r="D990" s="44" t="s">
        <v>1722</v>
      </c>
      <c r="E990" s="45">
        <v>1</v>
      </c>
      <c r="F990" s="46">
        <v>13.49</v>
      </c>
      <c r="G990" s="46">
        <f t="shared" si="15"/>
        <v>13.49</v>
      </c>
      <c r="H990" s="47" t="s">
        <v>24</v>
      </c>
      <c r="I990" s="47" t="s">
        <v>58</v>
      </c>
      <c r="J990" s="32"/>
    </row>
    <row r="991" spans="1:10" x14ac:dyDescent="0.2">
      <c r="A991" s="32"/>
      <c r="B991" s="36" t="s">
        <v>1723</v>
      </c>
      <c r="C991" s="37" t="s">
        <v>1675</v>
      </c>
      <c r="D991" s="38" t="s">
        <v>1724</v>
      </c>
      <c r="E991" s="39">
        <v>1</v>
      </c>
      <c r="F991" s="40">
        <v>3.99</v>
      </c>
      <c r="G991" s="40">
        <f t="shared" si="15"/>
        <v>3.99</v>
      </c>
      <c r="H991" s="41" t="s">
        <v>24</v>
      </c>
      <c r="I991" s="41" t="s">
        <v>58</v>
      </c>
      <c r="J991" s="32"/>
    </row>
    <row r="992" spans="1:10" x14ac:dyDescent="0.2">
      <c r="A992" s="32"/>
      <c r="B992" s="42" t="s">
        <v>1725</v>
      </c>
      <c r="C992" s="43" t="s">
        <v>1675</v>
      </c>
      <c r="D992" s="44" t="s">
        <v>216</v>
      </c>
      <c r="E992" s="45">
        <v>1</v>
      </c>
      <c r="F992" s="46">
        <v>8.59</v>
      </c>
      <c r="G992" s="46">
        <f t="shared" si="15"/>
        <v>8.59</v>
      </c>
      <c r="H992" s="47" t="s">
        <v>25</v>
      </c>
      <c r="I992" s="47" t="s">
        <v>58</v>
      </c>
      <c r="J992" s="32"/>
    </row>
    <row r="993" spans="1:10" x14ac:dyDescent="0.2">
      <c r="A993" s="32"/>
      <c r="B993" s="36" t="s">
        <v>1726</v>
      </c>
      <c r="C993" s="37" t="s">
        <v>1675</v>
      </c>
      <c r="D993" s="38" t="s">
        <v>1727</v>
      </c>
      <c r="E993" s="39">
        <v>1</v>
      </c>
      <c r="F993" s="40">
        <v>12.99</v>
      </c>
      <c r="G993" s="40">
        <f t="shared" si="15"/>
        <v>12.99</v>
      </c>
      <c r="H993" s="41" t="s">
        <v>24</v>
      </c>
      <c r="I993" s="41" t="s">
        <v>58</v>
      </c>
      <c r="J993" s="32"/>
    </row>
    <row r="994" spans="1:10" x14ac:dyDescent="0.2">
      <c r="A994" s="32"/>
      <c r="B994" s="42" t="s">
        <v>1728</v>
      </c>
      <c r="C994" s="43" t="s">
        <v>1675</v>
      </c>
      <c r="D994" s="44" t="s">
        <v>1727</v>
      </c>
      <c r="E994" s="45">
        <v>1</v>
      </c>
      <c r="F994" s="46">
        <v>12.99</v>
      </c>
      <c r="G994" s="46">
        <f t="shared" si="15"/>
        <v>12.99</v>
      </c>
      <c r="H994" s="47" t="s">
        <v>24</v>
      </c>
      <c r="I994" s="47" t="s">
        <v>58</v>
      </c>
      <c r="J994" s="32"/>
    </row>
    <row r="995" spans="1:10" x14ac:dyDescent="0.2">
      <c r="A995" s="32"/>
      <c r="B995" s="36" t="s">
        <v>1729</v>
      </c>
      <c r="C995" s="37" t="s">
        <v>1675</v>
      </c>
      <c r="D995" s="38" t="s">
        <v>664</v>
      </c>
      <c r="E995" s="39">
        <v>1</v>
      </c>
      <c r="F995" s="40">
        <v>9.49</v>
      </c>
      <c r="G995" s="40">
        <f t="shared" si="15"/>
        <v>9.49</v>
      </c>
      <c r="H995" s="41" t="s">
        <v>24</v>
      </c>
      <c r="I995" s="41" t="s">
        <v>58</v>
      </c>
      <c r="J995" s="32"/>
    </row>
    <row r="996" spans="1:10" x14ac:dyDescent="0.2">
      <c r="A996" s="32"/>
      <c r="B996" s="42" t="s">
        <v>1730</v>
      </c>
      <c r="C996" s="43" t="s">
        <v>1675</v>
      </c>
      <c r="D996" s="44" t="s">
        <v>1731</v>
      </c>
      <c r="E996" s="45">
        <v>1</v>
      </c>
      <c r="F996" s="46">
        <v>2.39</v>
      </c>
      <c r="G996" s="46">
        <f t="shared" si="15"/>
        <v>2.39</v>
      </c>
      <c r="H996" s="47" t="s">
        <v>24</v>
      </c>
      <c r="I996" s="47" t="s">
        <v>58</v>
      </c>
      <c r="J996" s="32"/>
    </row>
    <row r="997" spans="1:10" x14ac:dyDescent="0.2">
      <c r="A997" s="32"/>
      <c r="B997" s="36" t="s">
        <v>1732</v>
      </c>
      <c r="C997" s="37" t="s">
        <v>1675</v>
      </c>
      <c r="D997" s="38" t="s">
        <v>188</v>
      </c>
      <c r="E997" s="39">
        <v>1</v>
      </c>
      <c r="F997" s="40">
        <v>4.66</v>
      </c>
      <c r="G997" s="40">
        <f t="shared" si="15"/>
        <v>4.66</v>
      </c>
      <c r="H997" s="41" t="s">
        <v>25</v>
      </c>
      <c r="I997" s="41" t="s">
        <v>58</v>
      </c>
      <c r="J997" s="32"/>
    </row>
    <row r="998" spans="1:10" x14ac:dyDescent="0.2">
      <c r="A998" s="32"/>
      <c r="B998" s="42" t="s">
        <v>1733</v>
      </c>
      <c r="C998" s="43" t="s">
        <v>1675</v>
      </c>
      <c r="D998" s="44" t="s">
        <v>1734</v>
      </c>
      <c r="E998" s="45">
        <v>1</v>
      </c>
      <c r="F998" s="46">
        <v>4.3899999999999997</v>
      </c>
      <c r="G998" s="46">
        <f t="shared" si="15"/>
        <v>4.3899999999999997</v>
      </c>
      <c r="H998" s="47" t="s">
        <v>24</v>
      </c>
      <c r="I998" s="47" t="s">
        <v>58</v>
      </c>
      <c r="J998" s="32"/>
    </row>
    <row r="999" spans="1:10" x14ac:dyDescent="0.2">
      <c r="A999" s="32"/>
      <c r="B999" s="36" t="s">
        <v>1735</v>
      </c>
      <c r="C999" s="37" t="s">
        <v>1675</v>
      </c>
      <c r="D999" s="38" t="s">
        <v>1736</v>
      </c>
      <c r="E999" s="39">
        <v>1</v>
      </c>
      <c r="F999" s="40">
        <v>21.99</v>
      </c>
      <c r="G999" s="40">
        <f t="shared" si="15"/>
        <v>21.99</v>
      </c>
      <c r="H999" s="41" t="s">
        <v>25</v>
      </c>
      <c r="I999" s="41" t="s">
        <v>58</v>
      </c>
      <c r="J999" s="32"/>
    </row>
    <row r="1000" spans="1:10" x14ac:dyDescent="0.2">
      <c r="A1000" s="32"/>
      <c r="B1000" s="42" t="s">
        <v>1737</v>
      </c>
      <c r="C1000" s="43" t="s">
        <v>1675</v>
      </c>
      <c r="D1000" s="44" t="s">
        <v>1738</v>
      </c>
      <c r="E1000" s="45">
        <v>1</v>
      </c>
      <c r="F1000" s="46">
        <v>5.89</v>
      </c>
      <c r="G1000" s="46">
        <f t="shared" si="15"/>
        <v>5.89</v>
      </c>
      <c r="H1000" s="47" t="s">
        <v>24</v>
      </c>
      <c r="I1000" s="47" t="s">
        <v>58</v>
      </c>
      <c r="J1000" s="32"/>
    </row>
    <row r="1001" spans="1:10" x14ac:dyDescent="0.2">
      <c r="A1001" s="32"/>
      <c r="B1001" s="36" t="s">
        <v>1739</v>
      </c>
      <c r="C1001" s="37" t="s">
        <v>1675</v>
      </c>
      <c r="D1001" s="38" t="s">
        <v>1740</v>
      </c>
      <c r="E1001" s="39">
        <v>1</v>
      </c>
      <c r="F1001" s="40">
        <v>5.79</v>
      </c>
      <c r="G1001" s="40">
        <f t="shared" si="15"/>
        <v>5.79</v>
      </c>
      <c r="H1001" s="41" t="s">
        <v>24</v>
      </c>
      <c r="I1001" s="41" t="s">
        <v>58</v>
      </c>
      <c r="J1001" s="32"/>
    </row>
    <row r="1002" spans="1:10" x14ac:dyDescent="0.2">
      <c r="A1002" s="32"/>
      <c r="B1002" s="42" t="s">
        <v>1741</v>
      </c>
      <c r="C1002" s="43" t="s">
        <v>1675</v>
      </c>
      <c r="D1002" s="44" t="s">
        <v>1742</v>
      </c>
      <c r="E1002" s="45">
        <v>1</v>
      </c>
      <c r="F1002" s="46">
        <v>9.43</v>
      </c>
      <c r="G1002" s="46">
        <f t="shared" si="15"/>
        <v>9.43</v>
      </c>
      <c r="H1002" s="47" t="s">
        <v>24</v>
      </c>
      <c r="I1002" s="47" t="s">
        <v>58</v>
      </c>
      <c r="J1002" s="32"/>
    </row>
    <row r="1003" spans="1:10" x14ac:dyDescent="0.2">
      <c r="A1003" s="32"/>
      <c r="B1003" s="36" t="s">
        <v>1743</v>
      </c>
      <c r="C1003" s="37" t="s">
        <v>1675</v>
      </c>
      <c r="D1003" s="38" t="s">
        <v>1744</v>
      </c>
      <c r="E1003" s="39">
        <v>1</v>
      </c>
      <c r="F1003" s="40">
        <v>4.99</v>
      </c>
      <c r="G1003" s="40">
        <f t="shared" si="15"/>
        <v>4.99</v>
      </c>
      <c r="H1003" s="41" t="s">
        <v>28</v>
      </c>
      <c r="I1003" s="41" t="s">
        <v>58</v>
      </c>
      <c r="J1003" s="32"/>
    </row>
    <row r="1004" spans="1:10" x14ac:dyDescent="0.2">
      <c r="A1004" s="32"/>
      <c r="B1004" s="42" t="s">
        <v>1745</v>
      </c>
      <c r="C1004" s="43" t="s">
        <v>1675</v>
      </c>
      <c r="D1004" s="44" t="s">
        <v>1387</v>
      </c>
      <c r="E1004" s="45">
        <v>1</v>
      </c>
      <c r="F1004" s="46">
        <v>38.99</v>
      </c>
      <c r="G1004" s="46">
        <f t="shared" si="15"/>
        <v>38.99</v>
      </c>
      <c r="H1004" s="47" t="s">
        <v>24</v>
      </c>
      <c r="I1004" s="47" t="s">
        <v>58</v>
      </c>
      <c r="J1004" s="32"/>
    </row>
    <row r="1005" spans="1:10" x14ac:dyDescent="0.2">
      <c r="A1005" s="32"/>
      <c r="B1005" s="36" t="s">
        <v>1746</v>
      </c>
      <c r="C1005" s="37" t="s">
        <v>1747</v>
      </c>
      <c r="D1005" s="38" t="s">
        <v>1748</v>
      </c>
      <c r="E1005" s="39">
        <v>1</v>
      </c>
      <c r="F1005" s="40">
        <v>370</v>
      </c>
      <c r="G1005" s="40">
        <f t="shared" si="15"/>
        <v>370</v>
      </c>
      <c r="H1005" s="41" t="s">
        <v>28</v>
      </c>
      <c r="I1005" s="41" t="s">
        <v>58</v>
      </c>
      <c r="J1005" s="32"/>
    </row>
    <row r="1006" spans="1:10" x14ac:dyDescent="0.2">
      <c r="A1006" s="32"/>
      <c r="B1006" s="42" t="s">
        <v>1749</v>
      </c>
      <c r="C1006" s="43" t="s">
        <v>1750</v>
      </c>
      <c r="D1006" s="44" t="s">
        <v>337</v>
      </c>
      <c r="E1006" s="45">
        <v>1</v>
      </c>
      <c r="F1006" s="46">
        <v>47</v>
      </c>
      <c r="G1006" s="46">
        <f t="shared" si="15"/>
        <v>47</v>
      </c>
      <c r="H1006" s="47" t="s">
        <v>24</v>
      </c>
      <c r="I1006" s="47" t="s">
        <v>338</v>
      </c>
      <c r="J1006" s="32"/>
    </row>
    <row r="1007" spans="1:10" x14ac:dyDescent="0.2">
      <c r="A1007" s="32"/>
      <c r="B1007" s="36" t="s">
        <v>1751</v>
      </c>
      <c r="C1007" s="37" t="s">
        <v>1750</v>
      </c>
      <c r="D1007" s="38" t="s">
        <v>906</v>
      </c>
      <c r="E1007" s="39">
        <v>1</v>
      </c>
      <c r="F1007" s="40">
        <v>7</v>
      </c>
      <c r="G1007" s="40">
        <f t="shared" si="15"/>
        <v>7</v>
      </c>
      <c r="H1007" s="41" t="s">
        <v>24</v>
      </c>
      <c r="I1007" s="41" t="s">
        <v>58</v>
      </c>
      <c r="J1007" s="32"/>
    </row>
    <row r="1008" spans="1:10" x14ac:dyDescent="0.2">
      <c r="A1008" s="32"/>
      <c r="B1008" s="42" t="s">
        <v>1752</v>
      </c>
      <c r="C1008" s="43" t="s">
        <v>1750</v>
      </c>
      <c r="D1008" s="44" t="s">
        <v>1753</v>
      </c>
      <c r="E1008" s="45">
        <v>1</v>
      </c>
      <c r="F1008" s="46">
        <v>51</v>
      </c>
      <c r="G1008" s="46">
        <f t="shared" si="15"/>
        <v>51</v>
      </c>
      <c r="H1008" s="47" t="s">
        <v>24</v>
      </c>
      <c r="I1008" s="47" t="s">
        <v>338</v>
      </c>
      <c r="J1008" s="32"/>
    </row>
    <row r="1009" spans="1:10" x14ac:dyDescent="0.2">
      <c r="A1009" s="32"/>
      <c r="B1009" s="36" t="s">
        <v>1754</v>
      </c>
      <c r="C1009" s="37" t="s">
        <v>1750</v>
      </c>
      <c r="D1009" s="38" t="s">
        <v>41</v>
      </c>
      <c r="E1009" s="39">
        <v>1</v>
      </c>
      <c r="F1009" s="40">
        <v>15</v>
      </c>
      <c r="G1009" s="40">
        <f t="shared" si="15"/>
        <v>15</v>
      </c>
      <c r="H1009" s="41" t="s">
        <v>26</v>
      </c>
      <c r="I1009" s="41" t="s">
        <v>58</v>
      </c>
      <c r="J1009" s="32"/>
    </row>
    <row r="1010" spans="1:10" x14ac:dyDescent="0.2">
      <c r="A1010" s="32"/>
      <c r="B1010" s="42" t="s">
        <v>1755</v>
      </c>
      <c r="C1010" s="43" t="s">
        <v>1756</v>
      </c>
      <c r="D1010" s="44" t="s">
        <v>1757</v>
      </c>
      <c r="E1010" s="45">
        <v>1</v>
      </c>
      <c r="F1010" s="46">
        <v>68</v>
      </c>
      <c r="G1010" s="46">
        <f t="shared" si="15"/>
        <v>68</v>
      </c>
      <c r="H1010" s="47" t="s">
        <v>24</v>
      </c>
      <c r="I1010" s="47" t="s">
        <v>58</v>
      </c>
      <c r="J1010" s="32"/>
    </row>
    <row r="1011" spans="1:10" x14ac:dyDescent="0.2">
      <c r="A1011" s="32"/>
      <c r="B1011" s="36" t="s">
        <v>1758</v>
      </c>
      <c r="C1011" s="37" t="s">
        <v>1756</v>
      </c>
      <c r="D1011" s="38" t="s">
        <v>1759</v>
      </c>
      <c r="E1011" s="39">
        <v>1</v>
      </c>
      <c r="F1011" s="40">
        <v>15</v>
      </c>
      <c r="G1011" s="40">
        <f t="shared" si="15"/>
        <v>15</v>
      </c>
      <c r="H1011" s="41" t="s">
        <v>24</v>
      </c>
      <c r="I1011" s="41" t="s">
        <v>58</v>
      </c>
      <c r="J1011" s="32"/>
    </row>
    <row r="1012" spans="1:10" x14ac:dyDescent="0.2">
      <c r="A1012" s="32"/>
      <c r="B1012" s="42" t="s">
        <v>1760</v>
      </c>
      <c r="C1012" s="43" t="s">
        <v>1761</v>
      </c>
      <c r="D1012" s="44" t="s">
        <v>1762</v>
      </c>
      <c r="E1012" s="45">
        <v>1</v>
      </c>
      <c r="F1012" s="46">
        <v>10.29</v>
      </c>
      <c r="G1012" s="46">
        <f t="shared" si="15"/>
        <v>10.29</v>
      </c>
      <c r="H1012" s="47" t="s">
        <v>24</v>
      </c>
      <c r="I1012" s="47" t="s">
        <v>58</v>
      </c>
      <c r="J1012" s="32"/>
    </row>
    <row r="1013" spans="1:10" x14ac:dyDescent="0.2">
      <c r="A1013" s="32"/>
      <c r="B1013" s="36" t="s">
        <v>1763</v>
      </c>
      <c r="C1013" s="37" t="s">
        <v>1761</v>
      </c>
      <c r="D1013" s="38" t="s">
        <v>1762</v>
      </c>
      <c r="E1013" s="39">
        <v>1</v>
      </c>
      <c r="F1013" s="40">
        <v>10.29</v>
      </c>
      <c r="G1013" s="40">
        <f t="shared" si="15"/>
        <v>10.29</v>
      </c>
      <c r="H1013" s="41" t="s">
        <v>24</v>
      </c>
      <c r="I1013" s="41" t="s">
        <v>58</v>
      </c>
      <c r="J1013" s="32"/>
    </row>
    <row r="1014" spans="1:10" x14ac:dyDescent="0.2">
      <c r="A1014" s="32"/>
      <c r="B1014" s="42" t="s">
        <v>1764</v>
      </c>
      <c r="C1014" s="43" t="s">
        <v>1761</v>
      </c>
      <c r="D1014" s="44" t="s">
        <v>1765</v>
      </c>
      <c r="E1014" s="45">
        <v>1</v>
      </c>
      <c r="F1014" s="46">
        <v>8.39</v>
      </c>
      <c r="G1014" s="46">
        <f t="shared" si="15"/>
        <v>8.39</v>
      </c>
      <c r="H1014" s="47" t="s">
        <v>24</v>
      </c>
      <c r="I1014" s="47" t="s">
        <v>58</v>
      </c>
      <c r="J1014" s="32"/>
    </row>
    <row r="1015" spans="1:10" x14ac:dyDescent="0.2">
      <c r="A1015" s="32"/>
      <c r="B1015" s="36" t="s">
        <v>1766</v>
      </c>
      <c r="C1015" s="37" t="s">
        <v>1761</v>
      </c>
      <c r="D1015" s="38" t="s">
        <v>1767</v>
      </c>
      <c r="E1015" s="39">
        <v>1</v>
      </c>
      <c r="F1015" s="40">
        <v>3.99</v>
      </c>
      <c r="G1015" s="40">
        <f t="shared" si="15"/>
        <v>3.99</v>
      </c>
      <c r="H1015" s="41" t="s">
        <v>24</v>
      </c>
      <c r="I1015" s="41" t="s">
        <v>58</v>
      </c>
      <c r="J1015" s="32"/>
    </row>
    <row r="1016" spans="1:10" x14ac:dyDescent="0.2">
      <c r="A1016" s="32"/>
      <c r="B1016" s="42" t="s">
        <v>1768</v>
      </c>
      <c r="C1016" s="43" t="s">
        <v>1761</v>
      </c>
      <c r="D1016" s="44" t="s">
        <v>1769</v>
      </c>
      <c r="E1016" s="45">
        <v>1</v>
      </c>
      <c r="F1016" s="46">
        <v>14.29</v>
      </c>
      <c r="G1016" s="46">
        <f t="shared" si="15"/>
        <v>14.29</v>
      </c>
      <c r="H1016" s="47" t="s">
        <v>24</v>
      </c>
      <c r="I1016" s="47" t="s">
        <v>58</v>
      </c>
      <c r="J1016" s="32"/>
    </row>
    <row r="1017" spans="1:10" x14ac:dyDescent="0.2">
      <c r="A1017" s="32"/>
      <c r="B1017" s="36" t="s">
        <v>1770</v>
      </c>
      <c r="C1017" s="37" t="s">
        <v>1771</v>
      </c>
      <c r="D1017" s="38" t="s">
        <v>1772</v>
      </c>
      <c r="E1017" s="39">
        <v>1</v>
      </c>
      <c r="F1017" s="40">
        <v>18.38</v>
      </c>
      <c r="G1017" s="40">
        <f t="shared" si="15"/>
        <v>18.38</v>
      </c>
      <c r="H1017" s="41" t="s">
        <v>24</v>
      </c>
      <c r="I1017" s="41" t="s">
        <v>58</v>
      </c>
      <c r="J1017" s="32"/>
    </row>
    <row r="1018" spans="1:10" x14ac:dyDescent="0.2">
      <c r="A1018" s="32"/>
      <c r="B1018" s="42" t="s">
        <v>1773</v>
      </c>
      <c r="C1018" s="43" t="s">
        <v>1771</v>
      </c>
      <c r="D1018" s="44" t="s">
        <v>1774</v>
      </c>
      <c r="E1018" s="45">
        <v>1</v>
      </c>
      <c r="F1018" s="46">
        <v>142.93</v>
      </c>
      <c r="G1018" s="46">
        <f t="shared" si="15"/>
        <v>142.93</v>
      </c>
      <c r="H1018" s="47" t="s">
        <v>24</v>
      </c>
      <c r="I1018" s="47" t="s">
        <v>58</v>
      </c>
      <c r="J1018" s="32"/>
    </row>
    <row r="1019" spans="1:10" x14ac:dyDescent="0.2">
      <c r="A1019" s="32"/>
      <c r="B1019" s="36" t="s">
        <v>1775</v>
      </c>
      <c r="C1019" s="37" t="s">
        <v>1771</v>
      </c>
      <c r="D1019" s="38" t="s">
        <v>1776</v>
      </c>
      <c r="E1019" s="39">
        <v>1</v>
      </c>
      <c r="F1019" s="40">
        <v>5.99</v>
      </c>
      <c r="G1019" s="40">
        <f t="shared" si="15"/>
        <v>5.99</v>
      </c>
      <c r="H1019" s="41" t="s">
        <v>24</v>
      </c>
      <c r="I1019" s="41" t="s">
        <v>58</v>
      </c>
      <c r="J1019" s="32"/>
    </row>
    <row r="1020" spans="1:10" x14ac:dyDescent="0.2">
      <c r="A1020" s="32"/>
      <c r="B1020" s="42" t="s">
        <v>1777</v>
      </c>
      <c r="C1020" s="43" t="s">
        <v>1771</v>
      </c>
      <c r="D1020" s="44" t="s">
        <v>1778</v>
      </c>
      <c r="E1020" s="45">
        <v>1</v>
      </c>
      <c r="F1020" s="46">
        <v>2.29</v>
      </c>
      <c r="G1020" s="46">
        <f t="shared" si="15"/>
        <v>2.29</v>
      </c>
      <c r="H1020" s="47" t="s">
        <v>24</v>
      </c>
      <c r="I1020" s="47" t="s">
        <v>58</v>
      </c>
      <c r="J1020" s="32"/>
    </row>
    <row r="1021" spans="1:10" x14ac:dyDescent="0.2">
      <c r="A1021" s="32"/>
      <c r="B1021" s="36" t="s">
        <v>1779</v>
      </c>
      <c r="C1021" s="37" t="s">
        <v>1771</v>
      </c>
      <c r="D1021" s="38" t="s">
        <v>1780</v>
      </c>
      <c r="E1021" s="39">
        <v>1</v>
      </c>
      <c r="F1021" s="40">
        <v>22.49</v>
      </c>
      <c r="G1021" s="40">
        <f t="shared" si="15"/>
        <v>22.49</v>
      </c>
      <c r="H1021" s="41" t="s">
        <v>24</v>
      </c>
      <c r="I1021" s="41" t="s">
        <v>58</v>
      </c>
      <c r="J1021" s="32"/>
    </row>
    <row r="1022" spans="1:10" x14ac:dyDescent="0.2">
      <c r="A1022" s="32"/>
      <c r="B1022" s="42" t="s">
        <v>1781</v>
      </c>
      <c r="C1022" s="43" t="s">
        <v>1771</v>
      </c>
      <c r="D1022" s="44" t="s">
        <v>1782</v>
      </c>
      <c r="E1022" s="45">
        <v>1</v>
      </c>
      <c r="F1022" s="46">
        <v>25.9</v>
      </c>
      <c r="G1022" s="46">
        <f t="shared" si="15"/>
        <v>25.9</v>
      </c>
      <c r="H1022" s="47" t="s">
        <v>24</v>
      </c>
      <c r="I1022" s="47" t="s">
        <v>58</v>
      </c>
      <c r="J1022" s="32"/>
    </row>
    <row r="1023" spans="1:10" x14ac:dyDescent="0.2">
      <c r="A1023" s="32"/>
      <c r="B1023" s="36" t="s">
        <v>1783</v>
      </c>
      <c r="C1023" s="37" t="s">
        <v>1771</v>
      </c>
      <c r="D1023" s="38" t="s">
        <v>1784</v>
      </c>
      <c r="E1023" s="39">
        <v>1</v>
      </c>
      <c r="F1023" s="40">
        <v>34.49</v>
      </c>
      <c r="G1023" s="40">
        <f t="shared" si="15"/>
        <v>34.49</v>
      </c>
      <c r="H1023" s="41" t="s">
        <v>24</v>
      </c>
      <c r="I1023" s="41" t="s">
        <v>58</v>
      </c>
      <c r="J1023" s="32"/>
    </row>
    <row r="1024" spans="1:10" x14ac:dyDescent="0.2">
      <c r="A1024" s="32"/>
      <c r="B1024" s="42" t="s">
        <v>1785</v>
      </c>
      <c r="C1024" s="43" t="s">
        <v>1771</v>
      </c>
      <c r="D1024" s="44" t="s">
        <v>1786</v>
      </c>
      <c r="E1024" s="45">
        <v>1</v>
      </c>
      <c r="F1024" s="46">
        <v>16.690000000000001</v>
      </c>
      <c r="G1024" s="46">
        <f t="shared" si="15"/>
        <v>16.690000000000001</v>
      </c>
      <c r="H1024" s="47" t="s">
        <v>24</v>
      </c>
      <c r="I1024" s="47" t="s">
        <v>58</v>
      </c>
      <c r="J1024" s="32"/>
    </row>
    <row r="1025" spans="1:10" x14ac:dyDescent="0.2">
      <c r="A1025" s="32"/>
      <c r="B1025" s="36" t="s">
        <v>1787</v>
      </c>
      <c r="C1025" s="37" t="s">
        <v>1771</v>
      </c>
      <c r="D1025" s="38" t="s">
        <v>1788</v>
      </c>
      <c r="E1025" s="39">
        <v>1</v>
      </c>
      <c r="F1025" s="40">
        <v>22.9</v>
      </c>
      <c r="G1025" s="40">
        <f t="shared" si="15"/>
        <v>22.9</v>
      </c>
      <c r="H1025" s="41" t="s">
        <v>24</v>
      </c>
      <c r="I1025" s="41" t="s">
        <v>58</v>
      </c>
      <c r="J1025" s="32"/>
    </row>
    <row r="1026" spans="1:10" x14ac:dyDescent="0.2">
      <c r="A1026" s="32"/>
      <c r="B1026" s="42" t="s">
        <v>1789</v>
      </c>
      <c r="C1026" s="43" t="s">
        <v>1790</v>
      </c>
      <c r="D1026" s="44" t="s">
        <v>337</v>
      </c>
      <c r="E1026" s="45">
        <v>1</v>
      </c>
      <c r="F1026" s="46">
        <v>49</v>
      </c>
      <c r="G1026" s="46">
        <f t="shared" si="15"/>
        <v>49</v>
      </c>
      <c r="H1026" s="47" t="s">
        <v>24</v>
      </c>
      <c r="I1026" s="47" t="s">
        <v>338</v>
      </c>
      <c r="J1026" s="32"/>
    </row>
    <row r="1027" spans="1:10" x14ac:dyDescent="0.2">
      <c r="A1027" s="32"/>
      <c r="B1027" s="36" t="s">
        <v>1791</v>
      </c>
      <c r="C1027" s="37" t="s">
        <v>1790</v>
      </c>
      <c r="D1027" s="38" t="s">
        <v>906</v>
      </c>
      <c r="E1027" s="39">
        <v>1</v>
      </c>
      <c r="F1027" s="40">
        <v>7</v>
      </c>
      <c r="G1027" s="40">
        <f t="shared" si="15"/>
        <v>7</v>
      </c>
      <c r="H1027" s="41" t="s">
        <v>24</v>
      </c>
      <c r="I1027" s="41" t="s">
        <v>58</v>
      </c>
      <c r="J1027" s="32"/>
    </row>
    <row r="1028" spans="1:10" x14ac:dyDescent="0.2">
      <c r="A1028" s="32"/>
      <c r="B1028" s="42" t="s">
        <v>1792</v>
      </c>
      <c r="C1028" s="43" t="s">
        <v>1790</v>
      </c>
      <c r="D1028" s="44" t="s">
        <v>1753</v>
      </c>
      <c r="E1028" s="45">
        <v>1</v>
      </c>
      <c r="F1028" s="46">
        <v>51</v>
      </c>
      <c r="G1028" s="46">
        <f t="shared" si="15"/>
        <v>51</v>
      </c>
      <c r="H1028" s="47" t="s">
        <v>24</v>
      </c>
      <c r="I1028" s="47" t="s">
        <v>338</v>
      </c>
      <c r="J1028" s="32"/>
    </row>
    <row r="1029" spans="1:10" x14ac:dyDescent="0.2">
      <c r="A1029" s="32"/>
      <c r="B1029" s="36" t="s">
        <v>1793</v>
      </c>
      <c r="C1029" s="37" t="s">
        <v>1790</v>
      </c>
      <c r="D1029" s="38" t="s">
        <v>41</v>
      </c>
      <c r="E1029" s="39">
        <v>1</v>
      </c>
      <c r="F1029" s="40">
        <v>15</v>
      </c>
      <c r="G1029" s="40">
        <f t="shared" ref="G1029:G1092" si="16">E1029*F1029</f>
        <v>15</v>
      </c>
      <c r="H1029" s="41" t="s">
        <v>26</v>
      </c>
      <c r="I1029" s="41" t="s">
        <v>58</v>
      </c>
      <c r="J1029" s="32"/>
    </row>
    <row r="1030" spans="1:10" x14ac:dyDescent="0.2">
      <c r="A1030" s="32"/>
      <c r="B1030" s="42" t="s">
        <v>1794</v>
      </c>
      <c r="C1030" s="43" t="s">
        <v>1795</v>
      </c>
      <c r="D1030" s="44" t="s">
        <v>337</v>
      </c>
      <c r="E1030" s="45">
        <v>1</v>
      </c>
      <c r="F1030" s="46">
        <v>49</v>
      </c>
      <c r="G1030" s="46">
        <f t="shared" si="16"/>
        <v>49</v>
      </c>
      <c r="H1030" s="47" t="s">
        <v>24</v>
      </c>
      <c r="I1030" s="47" t="s">
        <v>338</v>
      </c>
      <c r="J1030" s="32"/>
    </row>
    <row r="1031" spans="1:10" x14ac:dyDescent="0.2">
      <c r="A1031" s="32"/>
      <c r="B1031" s="36" t="s">
        <v>1796</v>
      </c>
      <c r="C1031" s="37" t="s">
        <v>1795</v>
      </c>
      <c r="D1031" s="38" t="s">
        <v>906</v>
      </c>
      <c r="E1031" s="39">
        <v>1</v>
      </c>
      <c r="F1031" s="40">
        <v>7</v>
      </c>
      <c r="G1031" s="40">
        <f t="shared" si="16"/>
        <v>7</v>
      </c>
      <c r="H1031" s="41" t="s">
        <v>24</v>
      </c>
      <c r="I1031" s="41" t="s">
        <v>58</v>
      </c>
      <c r="J1031" s="32"/>
    </row>
    <row r="1032" spans="1:10" x14ac:dyDescent="0.2">
      <c r="A1032" s="32"/>
      <c r="B1032" s="42" t="s">
        <v>1797</v>
      </c>
      <c r="C1032" s="43" t="s">
        <v>1795</v>
      </c>
      <c r="D1032" s="44" t="s">
        <v>1753</v>
      </c>
      <c r="E1032" s="45">
        <v>1</v>
      </c>
      <c r="F1032" s="46">
        <v>51</v>
      </c>
      <c r="G1032" s="46">
        <f t="shared" si="16"/>
        <v>51</v>
      </c>
      <c r="H1032" s="47" t="s">
        <v>24</v>
      </c>
      <c r="I1032" s="47" t="s">
        <v>338</v>
      </c>
      <c r="J1032" s="32"/>
    </row>
    <row r="1033" spans="1:10" x14ac:dyDescent="0.2">
      <c r="A1033" s="32"/>
      <c r="B1033" s="36" t="s">
        <v>1798</v>
      </c>
      <c r="C1033" s="37" t="s">
        <v>1795</v>
      </c>
      <c r="D1033" s="38" t="s">
        <v>41</v>
      </c>
      <c r="E1033" s="39">
        <v>1</v>
      </c>
      <c r="F1033" s="40">
        <v>15</v>
      </c>
      <c r="G1033" s="40">
        <f t="shared" si="16"/>
        <v>15</v>
      </c>
      <c r="H1033" s="41" t="s">
        <v>26</v>
      </c>
      <c r="I1033" s="41" t="s">
        <v>58</v>
      </c>
      <c r="J1033" s="32"/>
    </row>
    <row r="1034" spans="1:10" x14ac:dyDescent="0.2">
      <c r="A1034" s="32"/>
      <c r="B1034" s="42" t="s">
        <v>1799</v>
      </c>
      <c r="C1034" s="43" t="s">
        <v>1800</v>
      </c>
      <c r="D1034" s="44" t="s">
        <v>1801</v>
      </c>
      <c r="E1034" s="45">
        <v>1</v>
      </c>
      <c r="F1034" s="46">
        <v>153.4</v>
      </c>
      <c r="G1034" s="46">
        <f t="shared" si="16"/>
        <v>153.4</v>
      </c>
      <c r="H1034" s="47" t="s">
        <v>24</v>
      </c>
      <c r="I1034" s="47" t="s">
        <v>58</v>
      </c>
      <c r="J1034" s="32"/>
    </row>
    <row r="1035" spans="1:10" x14ac:dyDescent="0.2">
      <c r="A1035" s="32"/>
      <c r="B1035" s="36" t="s">
        <v>1802</v>
      </c>
      <c r="C1035" s="37" t="s">
        <v>1800</v>
      </c>
      <c r="D1035" s="38" t="s">
        <v>1801</v>
      </c>
      <c r="E1035" s="39">
        <v>1</v>
      </c>
      <c r="F1035" s="40">
        <v>153.4</v>
      </c>
      <c r="G1035" s="40">
        <f t="shared" si="16"/>
        <v>153.4</v>
      </c>
      <c r="H1035" s="41" t="s">
        <v>24</v>
      </c>
      <c r="I1035" s="41" t="s">
        <v>58</v>
      </c>
      <c r="J1035" s="32"/>
    </row>
    <row r="1036" spans="1:10" x14ac:dyDescent="0.2">
      <c r="A1036" s="32"/>
      <c r="B1036" s="42" t="s">
        <v>1803</v>
      </c>
      <c r="C1036" s="43" t="s">
        <v>1800</v>
      </c>
      <c r="D1036" s="44" t="s">
        <v>1804</v>
      </c>
      <c r="E1036" s="45">
        <v>1</v>
      </c>
      <c r="F1036" s="46">
        <v>45.13</v>
      </c>
      <c r="G1036" s="46">
        <f t="shared" si="16"/>
        <v>45.13</v>
      </c>
      <c r="H1036" s="47" t="s">
        <v>24</v>
      </c>
      <c r="I1036" s="47" t="s">
        <v>58</v>
      </c>
      <c r="J1036" s="32"/>
    </row>
    <row r="1037" spans="1:10" x14ac:dyDescent="0.2">
      <c r="A1037" s="32"/>
      <c r="B1037" s="36" t="s">
        <v>1805</v>
      </c>
      <c r="C1037" s="37" t="s">
        <v>1800</v>
      </c>
      <c r="D1037" s="38" t="s">
        <v>1806</v>
      </c>
      <c r="E1037" s="39">
        <v>1</v>
      </c>
      <c r="F1037" s="40">
        <v>32.01</v>
      </c>
      <c r="G1037" s="40">
        <f t="shared" si="16"/>
        <v>32.01</v>
      </c>
      <c r="H1037" s="41" t="s">
        <v>25</v>
      </c>
      <c r="I1037" s="41" t="s">
        <v>58</v>
      </c>
      <c r="J1037" s="32"/>
    </row>
    <row r="1038" spans="1:10" x14ac:dyDescent="0.2">
      <c r="A1038" s="32"/>
      <c r="B1038" s="42" t="s">
        <v>1807</v>
      </c>
      <c r="C1038" s="43" t="s">
        <v>1800</v>
      </c>
      <c r="D1038" s="44" t="s">
        <v>1808</v>
      </c>
      <c r="E1038" s="45">
        <v>1</v>
      </c>
      <c r="F1038" s="46">
        <v>38.83</v>
      </c>
      <c r="G1038" s="46">
        <f t="shared" si="16"/>
        <v>38.83</v>
      </c>
      <c r="H1038" s="47" t="s">
        <v>25</v>
      </c>
      <c r="I1038" s="47" t="s">
        <v>58</v>
      </c>
      <c r="J1038" s="32"/>
    </row>
    <row r="1039" spans="1:10" x14ac:dyDescent="0.2">
      <c r="A1039" s="32"/>
      <c r="B1039" s="36" t="s">
        <v>1809</v>
      </c>
      <c r="C1039" s="37" t="s">
        <v>1800</v>
      </c>
      <c r="D1039" s="38" t="s">
        <v>706</v>
      </c>
      <c r="E1039" s="39">
        <v>1</v>
      </c>
      <c r="F1039" s="40">
        <v>30.03</v>
      </c>
      <c r="G1039" s="40">
        <f t="shared" si="16"/>
        <v>30.03</v>
      </c>
      <c r="H1039" s="41" t="s">
        <v>25</v>
      </c>
      <c r="I1039" s="41" t="s">
        <v>58</v>
      </c>
      <c r="J1039" s="32"/>
    </row>
    <row r="1040" spans="1:10" x14ac:dyDescent="0.2">
      <c r="A1040" s="32"/>
      <c r="B1040" s="42" t="s">
        <v>1810</v>
      </c>
      <c r="C1040" s="43" t="s">
        <v>1811</v>
      </c>
      <c r="D1040" s="44" t="s">
        <v>1812</v>
      </c>
      <c r="E1040" s="45">
        <v>1</v>
      </c>
      <c r="F1040" s="46">
        <v>69.28</v>
      </c>
      <c r="G1040" s="46">
        <f t="shared" si="16"/>
        <v>69.28</v>
      </c>
      <c r="H1040" s="47" t="s">
        <v>25</v>
      </c>
      <c r="I1040" s="47" t="s">
        <v>58</v>
      </c>
      <c r="J1040" s="32"/>
    </row>
    <row r="1041" spans="1:10" x14ac:dyDescent="0.2">
      <c r="A1041" s="32"/>
      <c r="B1041" s="36" t="s">
        <v>1813</v>
      </c>
      <c r="C1041" s="37" t="s">
        <v>1811</v>
      </c>
      <c r="D1041" s="38" t="s">
        <v>1814</v>
      </c>
      <c r="E1041" s="39">
        <v>1</v>
      </c>
      <c r="F1041" s="40">
        <v>8.61</v>
      </c>
      <c r="G1041" s="40">
        <f t="shared" si="16"/>
        <v>8.61</v>
      </c>
      <c r="H1041" s="41" t="s">
        <v>25</v>
      </c>
      <c r="I1041" s="41" t="s">
        <v>58</v>
      </c>
      <c r="J1041" s="32"/>
    </row>
    <row r="1042" spans="1:10" x14ac:dyDescent="0.2">
      <c r="A1042" s="32"/>
      <c r="B1042" s="42" t="s">
        <v>1815</v>
      </c>
      <c r="C1042" s="43" t="s">
        <v>1816</v>
      </c>
      <c r="D1042" s="44" t="s">
        <v>1817</v>
      </c>
      <c r="E1042" s="45">
        <v>1</v>
      </c>
      <c r="F1042" s="46">
        <v>50.99</v>
      </c>
      <c r="G1042" s="46">
        <f t="shared" si="16"/>
        <v>50.99</v>
      </c>
      <c r="H1042" s="47" t="s">
        <v>24</v>
      </c>
      <c r="I1042" s="47" t="s">
        <v>58</v>
      </c>
      <c r="J1042" s="32"/>
    </row>
    <row r="1043" spans="1:10" x14ac:dyDescent="0.2">
      <c r="A1043" s="32"/>
      <c r="B1043" s="36" t="s">
        <v>1818</v>
      </c>
      <c r="C1043" s="37" t="s">
        <v>1816</v>
      </c>
      <c r="D1043" s="38" t="s">
        <v>1448</v>
      </c>
      <c r="E1043" s="39">
        <v>1</v>
      </c>
      <c r="F1043" s="40">
        <v>45.99</v>
      </c>
      <c r="G1043" s="40">
        <f t="shared" si="16"/>
        <v>45.99</v>
      </c>
      <c r="H1043" s="41" t="s">
        <v>24</v>
      </c>
      <c r="I1043" s="41" t="s">
        <v>58</v>
      </c>
      <c r="J1043" s="32"/>
    </row>
    <row r="1044" spans="1:10" x14ac:dyDescent="0.2">
      <c r="A1044" s="32"/>
      <c r="B1044" s="42" t="s">
        <v>1819</v>
      </c>
      <c r="C1044" s="43" t="s">
        <v>1816</v>
      </c>
      <c r="D1044" s="44" t="s">
        <v>1820</v>
      </c>
      <c r="E1044" s="45">
        <v>1</v>
      </c>
      <c r="F1044" s="46">
        <v>72.39</v>
      </c>
      <c r="G1044" s="46">
        <f t="shared" si="16"/>
        <v>72.39</v>
      </c>
      <c r="H1044" s="47" t="s">
        <v>24</v>
      </c>
      <c r="I1044" s="47" t="s">
        <v>58</v>
      </c>
      <c r="J1044" s="32"/>
    </row>
    <row r="1045" spans="1:10" x14ac:dyDescent="0.2">
      <c r="A1045" s="32"/>
      <c r="B1045" s="36" t="s">
        <v>1821</v>
      </c>
      <c r="C1045" s="37" t="s">
        <v>1816</v>
      </c>
      <c r="D1045" s="38" t="s">
        <v>1822</v>
      </c>
      <c r="E1045" s="39">
        <v>1</v>
      </c>
      <c r="F1045" s="40">
        <v>32.49</v>
      </c>
      <c r="G1045" s="40">
        <f t="shared" si="16"/>
        <v>32.49</v>
      </c>
      <c r="H1045" s="41" t="s">
        <v>24</v>
      </c>
      <c r="I1045" s="41" t="s">
        <v>58</v>
      </c>
      <c r="J1045" s="32"/>
    </row>
    <row r="1046" spans="1:10" x14ac:dyDescent="0.2">
      <c r="A1046" s="32"/>
      <c r="B1046" s="42" t="s">
        <v>1823</v>
      </c>
      <c r="C1046" s="43" t="s">
        <v>1816</v>
      </c>
      <c r="D1046" s="44" t="s">
        <v>1822</v>
      </c>
      <c r="E1046" s="45">
        <v>1</v>
      </c>
      <c r="F1046" s="46">
        <v>32.49</v>
      </c>
      <c r="G1046" s="46">
        <f t="shared" si="16"/>
        <v>32.49</v>
      </c>
      <c r="H1046" s="47" t="s">
        <v>24</v>
      </c>
      <c r="I1046" s="47" t="s">
        <v>58</v>
      </c>
      <c r="J1046" s="32"/>
    </row>
    <row r="1047" spans="1:10" x14ac:dyDescent="0.2">
      <c r="A1047" s="32"/>
      <c r="B1047" s="36" t="s">
        <v>1824</v>
      </c>
      <c r="C1047" s="37" t="s">
        <v>1816</v>
      </c>
      <c r="D1047" s="38" t="s">
        <v>1825</v>
      </c>
      <c r="E1047" s="39">
        <v>1</v>
      </c>
      <c r="F1047" s="40">
        <v>8.89</v>
      </c>
      <c r="G1047" s="40">
        <f t="shared" si="16"/>
        <v>8.89</v>
      </c>
      <c r="H1047" s="41" t="s">
        <v>24</v>
      </c>
      <c r="I1047" s="41" t="s">
        <v>58</v>
      </c>
      <c r="J1047" s="32"/>
    </row>
    <row r="1048" spans="1:10" x14ac:dyDescent="0.2">
      <c r="A1048" s="32"/>
      <c r="B1048" s="42" t="s">
        <v>1826</v>
      </c>
      <c r="C1048" s="43" t="s">
        <v>1816</v>
      </c>
      <c r="D1048" s="44" t="s">
        <v>1827</v>
      </c>
      <c r="E1048" s="45">
        <v>1</v>
      </c>
      <c r="F1048" s="46">
        <v>18.489999999999998</v>
      </c>
      <c r="G1048" s="46">
        <f t="shared" si="16"/>
        <v>18.489999999999998</v>
      </c>
      <c r="H1048" s="47" t="s">
        <v>24</v>
      </c>
      <c r="I1048" s="47" t="s">
        <v>58</v>
      </c>
      <c r="J1048" s="32"/>
    </row>
    <row r="1049" spans="1:10" x14ac:dyDescent="0.2">
      <c r="A1049" s="32"/>
      <c r="B1049" s="36" t="s">
        <v>1828</v>
      </c>
      <c r="C1049" s="37" t="s">
        <v>1816</v>
      </c>
      <c r="D1049" s="38" t="s">
        <v>1829</v>
      </c>
      <c r="E1049" s="39">
        <v>1</v>
      </c>
      <c r="F1049" s="40">
        <v>15.59</v>
      </c>
      <c r="G1049" s="40">
        <f t="shared" si="16"/>
        <v>15.59</v>
      </c>
      <c r="H1049" s="41" t="s">
        <v>24</v>
      </c>
      <c r="I1049" s="41" t="s">
        <v>58</v>
      </c>
      <c r="J1049" s="32"/>
    </row>
    <row r="1050" spans="1:10" x14ac:dyDescent="0.2">
      <c r="A1050" s="32"/>
      <c r="B1050" s="42" t="s">
        <v>1830</v>
      </c>
      <c r="C1050" s="43" t="s">
        <v>1816</v>
      </c>
      <c r="D1050" s="44" t="s">
        <v>1831</v>
      </c>
      <c r="E1050" s="45">
        <v>1</v>
      </c>
      <c r="F1050" s="46">
        <v>8.99</v>
      </c>
      <c r="G1050" s="46">
        <f t="shared" si="16"/>
        <v>8.99</v>
      </c>
      <c r="H1050" s="47" t="s">
        <v>24</v>
      </c>
      <c r="I1050" s="47" t="s">
        <v>58</v>
      </c>
      <c r="J1050" s="32"/>
    </row>
    <row r="1051" spans="1:10" x14ac:dyDescent="0.2">
      <c r="A1051" s="32"/>
      <c r="B1051" s="36" t="s">
        <v>1832</v>
      </c>
      <c r="C1051" s="37" t="s">
        <v>1816</v>
      </c>
      <c r="D1051" s="38" t="s">
        <v>1833</v>
      </c>
      <c r="E1051" s="39">
        <v>1</v>
      </c>
      <c r="F1051" s="40">
        <v>21.59</v>
      </c>
      <c r="G1051" s="40">
        <f t="shared" si="16"/>
        <v>21.59</v>
      </c>
      <c r="H1051" s="41" t="s">
        <v>24</v>
      </c>
      <c r="I1051" s="41" t="s">
        <v>58</v>
      </c>
      <c r="J1051" s="32"/>
    </row>
    <row r="1052" spans="1:10" x14ac:dyDescent="0.2">
      <c r="A1052" s="32"/>
      <c r="B1052" s="42" t="s">
        <v>1834</v>
      </c>
      <c r="C1052" s="43" t="s">
        <v>1816</v>
      </c>
      <c r="D1052" s="44" t="s">
        <v>1835</v>
      </c>
      <c r="E1052" s="45">
        <v>1</v>
      </c>
      <c r="F1052" s="46">
        <v>7.79</v>
      </c>
      <c r="G1052" s="46">
        <f t="shared" si="16"/>
        <v>7.79</v>
      </c>
      <c r="H1052" s="47" t="s">
        <v>24</v>
      </c>
      <c r="I1052" s="47" t="s">
        <v>58</v>
      </c>
      <c r="J1052" s="32"/>
    </row>
    <row r="1053" spans="1:10" x14ac:dyDescent="0.2">
      <c r="A1053" s="32"/>
      <c r="B1053" s="36" t="s">
        <v>1836</v>
      </c>
      <c r="C1053" s="37" t="s">
        <v>1816</v>
      </c>
      <c r="D1053" s="38" t="s">
        <v>1837</v>
      </c>
      <c r="E1053" s="39">
        <v>1</v>
      </c>
      <c r="F1053" s="40">
        <v>21.79</v>
      </c>
      <c r="G1053" s="40">
        <f t="shared" si="16"/>
        <v>21.79</v>
      </c>
      <c r="H1053" s="41" t="s">
        <v>24</v>
      </c>
      <c r="I1053" s="41" t="s">
        <v>58</v>
      </c>
      <c r="J1053" s="32"/>
    </row>
    <row r="1054" spans="1:10" x14ac:dyDescent="0.2">
      <c r="A1054" s="32"/>
      <c r="B1054" s="42" t="s">
        <v>1838</v>
      </c>
      <c r="C1054" s="43" t="s">
        <v>1816</v>
      </c>
      <c r="D1054" s="44" t="s">
        <v>1839</v>
      </c>
      <c r="E1054" s="45">
        <v>1</v>
      </c>
      <c r="F1054" s="46">
        <v>22.39</v>
      </c>
      <c r="G1054" s="46">
        <f t="shared" si="16"/>
        <v>22.39</v>
      </c>
      <c r="H1054" s="47" t="s">
        <v>24</v>
      </c>
      <c r="I1054" s="47" t="s">
        <v>58</v>
      </c>
      <c r="J1054" s="32"/>
    </row>
    <row r="1055" spans="1:10" x14ac:dyDescent="0.2">
      <c r="A1055" s="32"/>
      <c r="B1055" s="36" t="s">
        <v>1840</v>
      </c>
      <c r="C1055" s="37" t="s">
        <v>1816</v>
      </c>
      <c r="D1055" s="38" t="s">
        <v>1837</v>
      </c>
      <c r="E1055" s="39">
        <v>1</v>
      </c>
      <c r="F1055" s="40">
        <v>21.79</v>
      </c>
      <c r="G1055" s="40">
        <f t="shared" si="16"/>
        <v>21.79</v>
      </c>
      <c r="H1055" s="41" t="s">
        <v>24</v>
      </c>
      <c r="I1055" s="41" t="s">
        <v>58</v>
      </c>
      <c r="J1055" s="32"/>
    </row>
    <row r="1056" spans="1:10" x14ac:dyDescent="0.2">
      <c r="A1056" s="32"/>
      <c r="B1056" s="42" t="s">
        <v>1841</v>
      </c>
      <c r="C1056" s="43" t="s">
        <v>1816</v>
      </c>
      <c r="D1056" s="44" t="s">
        <v>1842</v>
      </c>
      <c r="E1056" s="45">
        <v>1</v>
      </c>
      <c r="F1056" s="46">
        <v>14.69</v>
      </c>
      <c r="G1056" s="46">
        <f t="shared" si="16"/>
        <v>14.69</v>
      </c>
      <c r="H1056" s="47" t="s">
        <v>24</v>
      </c>
      <c r="I1056" s="47" t="s">
        <v>58</v>
      </c>
      <c r="J1056" s="32"/>
    </row>
    <row r="1057" spans="1:10" x14ac:dyDescent="0.2">
      <c r="A1057" s="32"/>
      <c r="B1057" s="36" t="s">
        <v>1843</v>
      </c>
      <c r="C1057" s="37" t="s">
        <v>1816</v>
      </c>
      <c r="D1057" s="38" t="s">
        <v>1844</v>
      </c>
      <c r="E1057" s="39">
        <v>1</v>
      </c>
      <c r="F1057" s="40">
        <v>10.49</v>
      </c>
      <c r="G1057" s="40">
        <f t="shared" si="16"/>
        <v>10.49</v>
      </c>
      <c r="H1057" s="41" t="s">
        <v>24</v>
      </c>
      <c r="I1057" s="41" t="s">
        <v>58</v>
      </c>
      <c r="J1057" s="32"/>
    </row>
    <row r="1058" spans="1:10" x14ac:dyDescent="0.2">
      <c r="A1058" s="32"/>
      <c r="B1058" s="42" t="s">
        <v>1845</v>
      </c>
      <c r="C1058" s="43" t="s">
        <v>1816</v>
      </c>
      <c r="D1058" s="44" t="s">
        <v>1846</v>
      </c>
      <c r="E1058" s="45">
        <v>1</v>
      </c>
      <c r="F1058" s="46">
        <v>13.99</v>
      </c>
      <c r="G1058" s="46">
        <f t="shared" si="16"/>
        <v>13.99</v>
      </c>
      <c r="H1058" s="47" t="s">
        <v>24</v>
      </c>
      <c r="I1058" s="47" t="s">
        <v>58</v>
      </c>
      <c r="J1058" s="32"/>
    </row>
    <row r="1059" spans="1:10" x14ac:dyDescent="0.2">
      <c r="A1059" s="32"/>
      <c r="B1059" s="36" t="s">
        <v>1847</v>
      </c>
      <c r="C1059" s="37" t="s">
        <v>1816</v>
      </c>
      <c r="D1059" s="38" t="s">
        <v>1676</v>
      </c>
      <c r="E1059" s="39">
        <v>1</v>
      </c>
      <c r="F1059" s="40">
        <v>21.98</v>
      </c>
      <c r="G1059" s="40">
        <f t="shared" si="16"/>
        <v>21.98</v>
      </c>
      <c r="H1059" s="41" t="s">
        <v>24</v>
      </c>
      <c r="I1059" s="41" t="s">
        <v>58</v>
      </c>
      <c r="J1059" s="32"/>
    </row>
    <row r="1060" spans="1:10" x14ac:dyDescent="0.2">
      <c r="A1060" s="32"/>
      <c r="B1060" s="42" t="s">
        <v>1848</v>
      </c>
      <c r="C1060" s="43" t="s">
        <v>1816</v>
      </c>
      <c r="D1060" s="44" t="s">
        <v>1012</v>
      </c>
      <c r="E1060" s="45">
        <v>1</v>
      </c>
      <c r="F1060" s="46">
        <v>7.59</v>
      </c>
      <c r="G1060" s="46">
        <f t="shared" si="16"/>
        <v>7.59</v>
      </c>
      <c r="H1060" s="47" t="s">
        <v>24</v>
      </c>
      <c r="I1060" s="47" t="s">
        <v>58</v>
      </c>
      <c r="J1060" s="32"/>
    </row>
    <row r="1061" spans="1:10" x14ac:dyDescent="0.2">
      <c r="A1061" s="32"/>
      <c r="B1061" s="36" t="s">
        <v>1849</v>
      </c>
      <c r="C1061" s="37" t="s">
        <v>1816</v>
      </c>
      <c r="D1061" s="38" t="s">
        <v>1850</v>
      </c>
      <c r="E1061" s="39">
        <v>1</v>
      </c>
      <c r="F1061" s="40">
        <v>10.59</v>
      </c>
      <c r="G1061" s="40">
        <f t="shared" si="16"/>
        <v>10.59</v>
      </c>
      <c r="H1061" s="41" t="s">
        <v>24</v>
      </c>
      <c r="I1061" s="41" t="s">
        <v>58</v>
      </c>
      <c r="J1061" s="32"/>
    </row>
    <row r="1062" spans="1:10" x14ac:dyDescent="0.2">
      <c r="A1062" s="32"/>
      <c r="B1062" s="42" t="s">
        <v>1851</v>
      </c>
      <c r="C1062" s="43" t="s">
        <v>1816</v>
      </c>
      <c r="D1062" s="44" t="s">
        <v>1852</v>
      </c>
      <c r="E1062" s="45">
        <v>1</v>
      </c>
      <c r="F1062" s="46">
        <v>23.99</v>
      </c>
      <c r="G1062" s="46">
        <f t="shared" si="16"/>
        <v>23.99</v>
      </c>
      <c r="H1062" s="47" t="s">
        <v>24</v>
      </c>
      <c r="I1062" s="47" t="s">
        <v>58</v>
      </c>
      <c r="J1062" s="32"/>
    </row>
    <row r="1063" spans="1:10" x14ac:dyDescent="0.2">
      <c r="A1063" s="32"/>
      <c r="B1063" s="36" t="s">
        <v>1853</v>
      </c>
      <c r="C1063" s="37" t="s">
        <v>1816</v>
      </c>
      <c r="D1063" s="38" t="s">
        <v>42</v>
      </c>
      <c r="E1063" s="39">
        <v>1</v>
      </c>
      <c r="F1063" s="40">
        <v>10.99</v>
      </c>
      <c r="G1063" s="40">
        <f t="shared" si="16"/>
        <v>10.99</v>
      </c>
      <c r="H1063" s="41" t="s">
        <v>24</v>
      </c>
      <c r="I1063" s="41" t="s">
        <v>58</v>
      </c>
      <c r="J1063" s="32"/>
    </row>
    <row r="1064" spans="1:10" x14ac:dyDescent="0.2">
      <c r="A1064" s="32"/>
      <c r="B1064" s="42" t="s">
        <v>1854</v>
      </c>
      <c r="C1064" s="43" t="s">
        <v>1816</v>
      </c>
      <c r="D1064" s="44" t="s">
        <v>1855</v>
      </c>
      <c r="E1064" s="45">
        <v>1</v>
      </c>
      <c r="F1064" s="46">
        <v>69.989999999999995</v>
      </c>
      <c r="G1064" s="46">
        <f t="shared" si="16"/>
        <v>69.989999999999995</v>
      </c>
      <c r="H1064" s="47" t="s">
        <v>24</v>
      </c>
      <c r="I1064" s="47" t="s">
        <v>58</v>
      </c>
      <c r="J1064" s="32"/>
    </row>
    <row r="1065" spans="1:10" x14ac:dyDescent="0.2">
      <c r="A1065" s="32"/>
      <c r="B1065" s="36" t="s">
        <v>1856</v>
      </c>
      <c r="C1065" s="37" t="s">
        <v>1816</v>
      </c>
      <c r="D1065" s="38" t="s">
        <v>1855</v>
      </c>
      <c r="E1065" s="39">
        <v>1</v>
      </c>
      <c r="F1065" s="40">
        <v>69.989999999999995</v>
      </c>
      <c r="G1065" s="40">
        <f t="shared" si="16"/>
        <v>69.989999999999995</v>
      </c>
      <c r="H1065" s="41" t="s">
        <v>24</v>
      </c>
      <c r="I1065" s="41" t="s">
        <v>58</v>
      </c>
      <c r="J1065" s="32"/>
    </row>
    <row r="1066" spans="1:10" x14ac:dyDescent="0.2">
      <c r="A1066" s="32"/>
      <c r="B1066" s="42" t="s">
        <v>1857</v>
      </c>
      <c r="C1066" s="43" t="s">
        <v>1816</v>
      </c>
      <c r="D1066" s="44" t="s">
        <v>1858</v>
      </c>
      <c r="E1066" s="45">
        <v>1</v>
      </c>
      <c r="F1066" s="46">
        <v>16.989999999999998</v>
      </c>
      <c r="G1066" s="46">
        <f t="shared" si="16"/>
        <v>16.989999999999998</v>
      </c>
      <c r="H1066" s="47" t="s">
        <v>24</v>
      </c>
      <c r="I1066" s="47" t="s">
        <v>58</v>
      </c>
      <c r="J1066" s="32"/>
    </row>
    <row r="1067" spans="1:10" x14ac:dyDescent="0.2">
      <c r="A1067" s="32"/>
      <c r="B1067" s="36" t="s">
        <v>1859</v>
      </c>
      <c r="C1067" s="37" t="s">
        <v>1816</v>
      </c>
      <c r="D1067" s="38" t="s">
        <v>1860</v>
      </c>
      <c r="E1067" s="39">
        <v>1</v>
      </c>
      <c r="F1067" s="40">
        <v>39.49</v>
      </c>
      <c r="G1067" s="40">
        <f t="shared" si="16"/>
        <v>39.49</v>
      </c>
      <c r="H1067" s="41" t="s">
        <v>24</v>
      </c>
      <c r="I1067" s="41" t="s">
        <v>58</v>
      </c>
      <c r="J1067" s="32"/>
    </row>
    <row r="1068" spans="1:10" x14ac:dyDescent="0.2">
      <c r="A1068" s="32"/>
      <c r="B1068" s="42" t="s">
        <v>1861</v>
      </c>
      <c r="C1068" s="43" t="s">
        <v>1816</v>
      </c>
      <c r="D1068" s="44" t="s">
        <v>1862</v>
      </c>
      <c r="E1068" s="45">
        <v>1</v>
      </c>
      <c r="F1068" s="46">
        <v>10.99</v>
      </c>
      <c r="G1068" s="46">
        <f t="shared" si="16"/>
        <v>10.99</v>
      </c>
      <c r="H1068" s="47" t="s">
        <v>24</v>
      </c>
      <c r="I1068" s="47" t="s">
        <v>58</v>
      </c>
      <c r="J1068" s="32"/>
    </row>
    <row r="1069" spans="1:10" x14ac:dyDescent="0.2">
      <c r="A1069" s="32"/>
      <c r="B1069" s="36" t="s">
        <v>1863</v>
      </c>
      <c r="C1069" s="37" t="s">
        <v>1816</v>
      </c>
      <c r="D1069" s="38" t="s">
        <v>1862</v>
      </c>
      <c r="E1069" s="39">
        <v>1</v>
      </c>
      <c r="F1069" s="40">
        <v>10.99</v>
      </c>
      <c r="G1069" s="40">
        <f t="shared" si="16"/>
        <v>10.99</v>
      </c>
      <c r="H1069" s="41" t="s">
        <v>24</v>
      </c>
      <c r="I1069" s="41" t="s">
        <v>58</v>
      </c>
      <c r="J1069" s="32"/>
    </row>
    <row r="1070" spans="1:10" x14ac:dyDescent="0.2">
      <c r="A1070" s="32"/>
      <c r="B1070" s="42" t="s">
        <v>1864</v>
      </c>
      <c r="C1070" s="43" t="s">
        <v>1816</v>
      </c>
      <c r="D1070" s="44" t="s">
        <v>1862</v>
      </c>
      <c r="E1070" s="45">
        <v>1</v>
      </c>
      <c r="F1070" s="46">
        <v>10.99</v>
      </c>
      <c r="G1070" s="46">
        <f t="shared" si="16"/>
        <v>10.99</v>
      </c>
      <c r="H1070" s="47" t="s">
        <v>24</v>
      </c>
      <c r="I1070" s="47" t="s">
        <v>58</v>
      </c>
      <c r="J1070" s="32"/>
    </row>
    <row r="1071" spans="1:10" x14ac:dyDescent="0.2">
      <c r="A1071" s="32"/>
      <c r="B1071" s="36" t="s">
        <v>1865</v>
      </c>
      <c r="C1071" s="37" t="s">
        <v>1816</v>
      </c>
      <c r="D1071" s="38" t="s">
        <v>1862</v>
      </c>
      <c r="E1071" s="39">
        <v>1</v>
      </c>
      <c r="F1071" s="40">
        <v>10.99</v>
      </c>
      <c r="G1071" s="40">
        <f t="shared" si="16"/>
        <v>10.99</v>
      </c>
      <c r="H1071" s="41" t="s">
        <v>24</v>
      </c>
      <c r="I1071" s="41" t="s">
        <v>58</v>
      </c>
      <c r="J1071" s="32"/>
    </row>
    <row r="1072" spans="1:10" x14ac:dyDescent="0.2">
      <c r="A1072" s="32"/>
      <c r="B1072" s="42" t="s">
        <v>1866</v>
      </c>
      <c r="C1072" s="43" t="s">
        <v>1816</v>
      </c>
      <c r="D1072" s="44" t="s">
        <v>43</v>
      </c>
      <c r="E1072" s="45">
        <v>1</v>
      </c>
      <c r="F1072" s="46">
        <v>2.9</v>
      </c>
      <c r="G1072" s="46">
        <f t="shared" si="16"/>
        <v>2.9</v>
      </c>
      <c r="H1072" s="47" t="s">
        <v>24</v>
      </c>
      <c r="I1072" s="47" t="s">
        <v>58</v>
      </c>
      <c r="J1072" s="32"/>
    </row>
    <row r="1073" spans="1:10" x14ac:dyDescent="0.2">
      <c r="A1073" s="32"/>
      <c r="B1073" s="36" t="s">
        <v>1867</v>
      </c>
      <c r="C1073" s="37" t="s">
        <v>1816</v>
      </c>
      <c r="D1073" s="38" t="s">
        <v>1862</v>
      </c>
      <c r="E1073" s="39">
        <v>1</v>
      </c>
      <c r="F1073" s="40">
        <v>10.99</v>
      </c>
      <c r="G1073" s="40">
        <f t="shared" si="16"/>
        <v>10.99</v>
      </c>
      <c r="H1073" s="41" t="s">
        <v>24</v>
      </c>
      <c r="I1073" s="41" t="s">
        <v>58</v>
      </c>
      <c r="J1073" s="32"/>
    </row>
    <row r="1074" spans="1:10" x14ac:dyDescent="0.2">
      <c r="A1074" s="32"/>
      <c r="B1074" s="42" t="s">
        <v>1868</v>
      </c>
      <c r="C1074" s="43" t="s">
        <v>1816</v>
      </c>
      <c r="D1074" s="44" t="s">
        <v>1862</v>
      </c>
      <c r="E1074" s="45">
        <v>1</v>
      </c>
      <c r="F1074" s="46">
        <v>10.99</v>
      </c>
      <c r="G1074" s="46">
        <f t="shared" si="16"/>
        <v>10.99</v>
      </c>
      <c r="H1074" s="47" t="s">
        <v>24</v>
      </c>
      <c r="I1074" s="47" t="s">
        <v>58</v>
      </c>
      <c r="J1074" s="32"/>
    </row>
    <row r="1075" spans="1:10" x14ac:dyDescent="0.2">
      <c r="A1075" s="32"/>
      <c r="B1075" s="36" t="s">
        <v>1869</v>
      </c>
      <c r="C1075" s="37" t="s">
        <v>1816</v>
      </c>
      <c r="D1075" s="38" t="s">
        <v>83</v>
      </c>
      <c r="E1075" s="39">
        <v>1</v>
      </c>
      <c r="F1075" s="40">
        <v>10.99</v>
      </c>
      <c r="G1075" s="40">
        <f t="shared" si="16"/>
        <v>10.99</v>
      </c>
      <c r="H1075" s="41" t="s">
        <v>24</v>
      </c>
      <c r="I1075" s="41" t="s">
        <v>58</v>
      </c>
      <c r="J1075" s="32"/>
    </row>
    <row r="1076" spans="1:10" x14ac:dyDescent="0.2">
      <c r="A1076" s="32"/>
      <c r="B1076" s="42" t="s">
        <v>1870</v>
      </c>
      <c r="C1076" s="43" t="s">
        <v>1816</v>
      </c>
      <c r="D1076" s="44" t="s">
        <v>1871</v>
      </c>
      <c r="E1076" s="45">
        <v>1</v>
      </c>
      <c r="F1076" s="46">
        <v>5.79</v>
      </c>
      <c r="G1076" s="46">
        <f t="shared" si="16"/>
        <v>5.79</v>
      </c>
      <c r="H1076" s="47" t="s">
        <v>24</v>
      </c>
      <c r="I1076" s="47" t="s">
        <v>58</v>
      </c>
      <c r="J1076" s="32"/>
    </row>
    <row r="1077" spans="1:10" x14ac:dyDescent="0.2">
      <c r="A1077" s="32"/>
      <c r="B1077" s="36" t="s">
        <v>1872</v>
      </c>
      <c r="C1077" s="37" t="s">
        <v>1816</v>
      </c>
      <c r="D1077" s="38" t="s">
        <v>43</v>
      </c>
      <c r="E1077" s="39">
        <v>1</v>
      </c>
      <c r="F1077" s="40">
        <v>2.9</v>
      </c>
      <c r="G1077" s="40">
        <f t="shared" si="16"/>
        <v>2.9</v>
      </c>
      <c r="H1077" s="41" t="s">
        <v>24</v>
      </c>
      <c r="I1077" s="41" t="s">
        <v>58</v>
      </c>
      <c r="J1077" s="32"/>
    </row>
    <row r="1078" spans="1:10" x14ac:dyDescent="0.2">
      <c r="A1078" s="32"/>
      <c r="B1078" s="42" t="s">
        <v>1873</v>
      </c>
      <c r="C1078" s="43" t="s">
        <v>1816</v>
      </c>
      <c r="D1078" s="44" t="s">
        <v>1874</v>
      </c>
      <c r="E1078" s="45">
        <v>1</v>
      </c>
      <c r="F1078" s="46">
        <v>2.99</v>
      </c>
      <c r="G1078" s="46">
        <f t="shared" si="16"/>
        <v>2.99</v>
      </c>
      <c r="H1078" s="47" t="s">
        <v>24</v>
      </c>
      <c r="I1078" s="47" t="s">
        <v>58</v>
      </c>
      <c r="J1078" s="32"/>
    </row>
    <row r="1079" spans="1:10" x14ac:dyDescent="0.2">
      <c r="A1079" s="32"/>
      <c r="B1079" s="36" t="s">
        <v>1875</v>
      </c>
      <c r="C1079" s="37" t="s">
        <v>1816</v>
      </c>
      <c r="D1079" s="38" t="s">
        <v>1874</v>
      </c>
      <c r="E1079" s="39">
        <v>1</v>
      </c>
      <c r="F1079" s="40">
        <v>2.99</v>
      </c>
      <c r="G1079" s="40">
        <f t="shared" si="16"/>
        <v>2.99</v>
      </c>
      <c r="H1079" s="41" t="s">
        <v>24</v>
      </c>
      <c r="I1079" s="41" t="s">
        <v>58</v>
      </c>
      <c r="J1079" s="32"/>
    </row>
    <row r="1080" spans="1:10" x14ac:dyDescent="0.2">
      <c r="A1080" s="32"/>
      <c r="B1080" s="42" t="s">
        <v>1876</v>
      </c>
      <c r="C1080" s="43" t="s">
        <v>1816</v>
      </c>
      <c r="D1080" s="44" t="s">
        <v>1512</v>
      </c>
      <c r="E1080" s="45">
        <v>1</v>
      </c>
      <c r="F1080" s="46">
        <v>1.69</v>
      </c>
      <c r="G1080" s="46">
        <f t="shared" si="16"/>
        <v>1.69</v>
      </c>
      <c r="H1080" s="47" t="s">
        <v>24</v>
      </c>
      <c r="I1080" s="47" t="s">
        <v>58</v>
      </c>
      <c r="J1080" s="32"/>
    </row>
    <row r="1081" spans="1:10" x14ac:dyDescent="0.2">
      <c r="A1081" s="32"/>
      <c r="B1081" s="36" t="s">
        <v>1877</v>
      </c>
      <c r="C1081" s="37" t="s">
        <v>1816</v>
      </c>
      <c r="D1081" s="38" t="s">
        <v>1871</v>
      </c>
      <c r="E1081" s="39">
        <v>1</v>
      </c>
      <c r="F1081" s="40">
        <v>5.79</v>
      </c>
      <c r="G1081" s="40">
        <f t="shared" si="16"/>
        <v>5.79</v>
      </c>
      <c r="H1081" s="41" t="s">
        <v>24</v>
      </c>
      <c r="I1081" s="41" t="s">
        <v>58</v>
      </c>
      <c r="J1081" s="32"/>
    </row>
    <row r="1082" spans="1:10" x14ac:dyDescent="0.2">
      <c r="A1082" s="32"/>
      <c r="B1082" s="42" t="s">
        <v>1878</v>
      </c>
      <c r="C1082" s="43" t="s">
        <v>1816</v>
      </c>
      <c r="D1082" s="44" t="s">
        <v>43</v>
      </c>
      <c r="E1082" s="45">
        <v>1</v>
      </c>
      <c r="F1082" s="46">
        <v>2.9</v>
      </c>
      <c r="G1082" s="46">
        <f t="shared" si="16"/>
        <v>2.9</v>
      </c>
      <c r="H1082" s="47" t="s">
        <v>24</v>
      </c>
      <c r="I1082" s="47" t="s">
        <v>58</v>
      </c>
      <c r="J1082" s="32"/>
    </row>
    <row r="1083" spans="1:10" x14ac:dyDescent="0.2">
      <c r="A1083" s="32"/>
      <c r="B1083" s="36" t="s">
        <v>1879</v>
      </c>
      <c r="C1083" s="37" t="s">
        <v>1816</v>
      </c>
      <c r="D1083" s="38" t="s">
        <v>1512</v>
      </c>
      <c r="E1083" s="39">
        <v>1</v>
      </c>
      <c r="F1083" s="40">
        <v>1.69</v>
      </c>
      <c r="G1083" s="40">
        <f t="shared" si="16"/>
        <v>1.69</v>
      </c>
      <c r="H1083" s="41" t="s">
        <v>24</v>
      </c>
      <c r="I1083" s="41" t="s">
        <v>58</v>
      </c>
      <c r="J1083" s="32"/>
    </row>
    <row r="1084" spans="1:10" x14ac:dyDescent="0.2">
      <c r="A1084" s="32"/>
      <c r="B1084" s="42" t="s">
        <v>1880</v>
      </c>
      <c r="C1084" s="43" t="s">
        <v>1816</v>
      </c>
      <c r="D1084" s="44" t="s">
        <v>43</v>
      </c>
      <c r="E1084" s="45">
        <v>1</v>
      </c>
      <c r="F1084" s="46">
        <v>2.9</v>
      </c>
      <c r="G1084" s="46">
        <f t="shared" si="16"/>
        <v>2.9</v>
      </c>
      <c r="H1084" s="47" t="s">
        <v>24</v>
      </c>
      <c r="I1084" s="47" t="s">
        <v>58</v>
      </c>
      <c r="J1084" s="32"/>
    </row>
    <row r="1085" spans="1:10" x14ac:dyDescent="0.2">
      <c r="A1085" s="32"/>
      <c r="B1085" s="36" t="s">
        <v>1881</v>
      </c>
      <c r="C1085" s="37" t="s">
        <v>1816</v>
      </c>
      <c r="D1085" s="38" t="s">
        <v>1882</v>
      </c>
      <c r="E1085" s="39">
        <v>1</v>
      </c>
      <c r="F1085" s="40">
        <v>4.29</v>
      </c>
      <c r="G1085" s="40">
        <f t="shared" si="16"/>
        <v>4.29</v>
      </c>
      <c r="H1085" s="41" t="s">
        <v>24</v>
      </c>
      <c r="I1085" s="41" t="s">
        <v>58</v>
      </c>
      <c r="J1085" s="32"/>
    </row>
    <row r="1086" spans="1:10" x14ac:dyDescent="0.2">
      <c r="A1086" s="32"/>
      <c r="B1086" s="42" t="s">
        <v>1883</v>
      </c>
      <c r="C1086" s="43" t="s">
        <v>1816</v>
      </c>
      <c r="D1086" s="44" t="s">
        <v>43</v>
      </c>
      <c r="E1086" s="45">
        <v>1</v>
      </c>
      <c r="F1086" s="46">
        <v>2.9</v>
      </c>
      <c r="G1086" s="46">
        <f t="shared" si="16"/>
        <v>2.9</v>
      </c>
      <c r="H1086" s="47" t="s">
        <v>24</v>
      </c>
      <c r="I1086" s="47" t="s">
        <v>58</v>
      </c>
      <c r="J1086" s="32"/>
    </row>
    <row r="1087" spans="1:10" x14ac:dyDescent="0.2">
      <c r="A1087" s="32"/>
      <c r="B1087" s="36" t="s">
        <v>1884</v>
      </c>
      <c r="C1087" s="37" t="s">
        <v>1816</v>
      </c>
      <c r="D1087" s="38" t="s">
        <v>1885</v>
      </c>
      <c r="E1087" s="39">
        <v>1</v>
      </c>
      <c r="F1087" s="40">
        <v>4.99</v>
      </c>
      <c r="G1087" s="40">
        <f t="shared" si="16"/>
        <v>4.99</v>
      </c>
      <c r="H1087" s="41" t="s">
        <v>24</v>
      </c>
      <c r="I1087" s="41" t="s">
        <v>58</v>
      </c>
      <c r="J1087" s="32"/>
    </row>
    <row r="1088" spans="1:10" x14ac:dyDescent="0.2">
      <c r="A1088" s="32"/>
      <c r="B1088" s="42" t="s">
        <v>1886</v>
      </c>
      <c r="C1088" s="43" t="s">
        <v>1816</v>
      </c>
      <c r="D1088" s="44" t="s">
        <v>1887</v>
      </c>
      <c r="E1088" s="45">
        <v>1</v>
      </c>
      <c r="F1088" s="46">
        <v>3.99</v>
      </c>
      <c r="G1088" s="46">
        <f t="shared" si="16"/>
        <v>3.99</v>
      </c>
      <c r="H1088" s="47" t="s">
        <v>24</v>
      </c>
      <c r="I1088" s="47" t="s">
        <v>58</v>
      </c>
      <c r="J1088" s="32"/>
    </row>
    <row r="1089" spans="1:10" x14ac:dyDescent="0.2">
      <c r="A1089" s="32"/>
      <c r="B1089" s="36" t="s">
        <v>1888</v>
      </c>
      <c r="C1089" s="37" t="s">
        <v>1816</v>
      </c>
      <c r="D1089" s="38" t="s">
        <v>1889</v>
      </c>
      <c r="E1089" s="39">
        <v>1</v>
      </c>
      <c r="F1089" s="40">
        <v>4.99</v>
      </c>
      <c r="G1089" s="40">
        <f t="shared" si="16"/>
        <v>4.99</v>
      </c>
      <c r="H1089" s="41" t="s">
        <v>24</v>
      </c>
      <c r="I1089" s="41" t="s">
        <v>58</v>
      </c>
      <c r="J1089" s="32"/>
    </row>
    <row r="1090" spans="1:10" x14ac:dyDescent="0.2">
      <c r="A1090" s="32"/>
      <c r="B1090" s="42" t="s">
        <v>1890</v>
      </c>
      <c r="C1090" s="43" t="s">
        <v>1816</v>
      </c>
      <c r="D1090" s="44" t="s">
        <v>1512</v>
      </c>
      <c r="E1090" s="45">
        <v>1</v>
      </c>
      <c r="F1090" s="46">
        <v>1.69</v>
      </c>
      <c r="G1090" s="46">
        <f t="shared" si="16"/>
        <v>1.69</v>
      </c>
      <c r="H1090" s="47" t="s">
        <v>24</v>
      </c>
      <c r="I1090" s="47" t="s">
        <v>58</v>
      </c>
      <c r="J1090" s="32"/>
    </row>
    <row r="1091" spans="1:10" x14ac:dyDescent="0.2">
      <c r="A1091" s="32"/>
      <c r="B1091" s="36" t="s">
        <v>1891</v>
      </c>
      <c r="C1091" s="37" t="s">
        <v>1816</v>
      </c>
      <c r="D1091" s="38" t="s">
        <v>1892</v>
      </c>
      <c r="E1091" s="39">
        <v>1</v>
      </c>
      <c r="F1091" s="40">
        <v>7.19</v>
      </c>
      <c r="G1091" s="40">
        <f t="shared" si="16"/>
        <v>7.19</v>
      </c>
      <c r="H1091" s="41" t="s">
        <v>24</v>
      </c>
      <c r="I1091" s="41" t="s">
        <v>58</v>
      </c>
      <c r="J1091" s="32"/>
    </row>
    <row r="1092" spans="1:10" x14ac:dyDescent="0.2">
      <c r="A1092" s="32"/>
      <c r="B1092" s="42" t="s">
        <v>1893</v>
      </c>
      <c r="C1092" s="43" t="s">
        <v>1816</v>
      </c>
      <c r="D1092" s="44" t="s">
        <v>1894</v>
      </c>
      <c r="E1092" s="45">
        <v>1</v>
      </c>
      <c r="F1092" s="46">
        <v>2.89</v>
      </c>
      <c r="G1092" s="46">
        <f t="shared" si="16"/>
        <v>2.89</v>
      </c>
      <c r="H1092" s="47" t="s">
        <v>24</v>
      </c>
      <c r="I1092" s="47" t="s">
        <v>58</v>
      </c>
      <c r="J1092" s="32"/>
    </row>
    <row r="1093" spans="1:10" x14ac:dyDescent="0.2">
      <c r="A1093" s="32"/>
      <c r="B1093" s="36" t="s">
        <v>1895</v>
      </c>
      <c r="C1093" s="37" t="s">
        <v>1816</v>
      </c>
      <c r="D1093" s="38" t="s">
        <v>1896</v>
      </c>
      <c r="E1093" s="39">
        <v>1</v>
      </c>
      <c r="F1093" s="40">
        <v>4.29</v>
      </c>
      <c r="G1093" s="40">
        <f t="shared" ref="G1093:G1156" si="17">E1093*F1093</f>
        <v>4.29</v>
      </c>
      <c r="H1093" s="41" t="s">
        <v>24</v>
      </c>
      <c r="I1093" s="41" t="s">
        <v>58</v>
      </c>
      <c r="J1093" s="32"/>
    </row>
    <row r="1094" spans="1:10" x14ac:dyDescent="0.2">
      <c r="A1094" s="32"/>
      <c r="B1094" s="42" t="s">
        <v>1897</v>
      </c>
      <c r="C1094" s="43" t="s">
        <v>1816</v>
      </c>
      <c r="D1094" s="44" t="s">
        <v>1898</v>
      </c>
      <c r="E1094" s="45">
        <v>1</v>
      </c>
      <c r="F1094" s="46">
        <v>6.99</v>
      </c>
      <c r="G1094" s="46">
        <f t="shared" si="17"/>
        <v>6.99</v>
      </c>
      <c r="H1094" s="47" t="s">
        <v>24</v>
      </c>
      <c r="I1094" s="47" t="s">
        <v>58</v>
      </c>
      <c r="J1094" s="32"/>
    </row>
    <row r="1095" spans="1:10" x14ac:dyDescent="0.2">
      <c r="A1095" s="32"/>
      <c r="B1095" s="36" t="s">
        <v>1899</v>
      </c>
      <c r="C1095" s="37" t="s">
        <v>1816</v>
      </c>
      <c r="D1095" s="38" t="s">
        <v>1368</v>
      </c>
      <c r="E1095" s="39">
        <v>1</v>
      </c>
      <c r="F1095" s="40">
        <v>1.56</v>
      </c>
      <c r="G1095" s="40">
        <f t="shared" si="17"/>
        <v>1.56</v>
      </c>
      <c r="H1095" s="41" t="s">
        <v>24</v>
      </c>
      <c r="I1095" s="41" t="s">
        <v>58</v>
      </c>
      <c r="J1095" s="32"/>
    </row>
    <row r="1096" spans="1:10" x14ac:dyDescent="0.2">
      <c r="A1096" s="32"/>
      <c r="B1096" s="42" t="s">
        <v>1900</v>
      </c>
      <c r="C1096" s="43" t="s">
        <v>1816</v>
      </c>
      <c r="D1096" s="44" t="s">
        <v>1901</v>
      </c>
      <c r="E1096" s="45">
        <v>1</v>
      </c>
      <c r="F1096" s="46">
        <v>5.49</v>
      </c>
      <c r="G1096" s="46">
        <f t="shared" si="17"/>
        <v>5.49</v>
      </c>
      <c r="H1096" s="47" t="s">
        <v>24</v>
      </c>
      <c r="I1096" s="47" t="s">
        <v>58</v>
      </c>
      <c r="J1096" s="32"/>
    </row>
    <row r="1097" spans="1:10" x14ac:dyDescent="0.2">
      <c r="A1097" s="32"/>
      <c r="B1097" s="36" t="s">
        <v>1902</v>
      </c>
      <c r="C1097" s="37" t="s">
        <v>1816</v>
      </c>
      <c r="D1097" s="38" t="s">
        <v>1368</v>
      </c>
      <c r="E1097" s="39">
        <v>1</v>
      </c>
      <c r="F1097" s="40">
        <v>1.56</v>
      </c>
      <c r="G1097" s="40">
        <f t="shared" si="17"/>
        <v>1.56</v>
      </c>
      <c r="H1097" s="41" t="s">
        <v>24</v>
      </c>
      <c r="I1097" s="41" t="s">
        <v>58</v>
      </c>
      <c r="J1097" s="32"/>
    </row>
    <row r="1098" spans="1:10" x14ac:dyDescent="0.2">
      <c r="A1098" s="32"/>
      <c r="B1098" s="42" t="s">
        <v>1903</v>
      </c>
      <c r="C1098" s="43" t="s">
        <v>1816</v>
      </c>
      <c r="D1098" s="44" t="s">
        <v>1896</v>
      </c>
      <c r="E1098" s="45">
        <v>1</v>
      </c>
      <c r="F1098" s="46">
        <v>4.29</v>
      </c>
      <c r="G1098" s="46">
        <f t="shared" si="17"/>
        <v>4.29</v>
      </c>
      <c r="H1098" s="47" t="s">
        <v>24</v>
      </c>
      <c r="I1098" s="47" t="s">
        <v>58</v>
      </c>
      <c r="J1098" s="32"/>
    </row>
    <row r="1099" spans="1:10" x14ac:dyDescent="0.2">
      <c r="A1099" s="32"/>
      <c r="B1099" s="36" t="s">
        <v>1904</v>
      </c>
      <c r="C1099" s="37" t="s">
        <v>1816</v>
      </c>
      <c r="D1099" s="38" t="s">
        <v>1905</v>
      </c>
      <c r="E1099" s="39">
        <v>1</v>
      </c>
      <c r="F1099" s="40">
        <v>4.59</v>
      </c>
      <c r="G1099" s="40">
        <f t="shared" si="17"/>
        <v>4.59</v>
      </c>
      <c r="H1099" s="41" t="s">
        <v>24</v>
      </c>
      <c r="I1099" s="41" t="s">
        <v>58</v>
      </c>
      <c r="J1099" s="32"/>
    </row>
    <row r="1100" spans="1:10" x14ac:dyDescent="0.2">
      <c r="A1100" s="32"/>
      <c r="B1100" s="42" t="s">
        <v>1906</v>
      </c>
      <c r="C1100" s="43" t="s">
        <v>1816</v>
      </c>
      <c r="D1100" s="44" t="s">
        <v>1905</v>
      </c>
      <c r="E1100" s="45">
        <v>1</v>
      </c>
      <c r="F1100" s="46">
        <v>4.59</v>
      </c>
      <c r="G1100" s="46">
        <f t="shared" si="17"/>
        <v>4.59</v>
      </c>
      <c r="H1100" s="47" t="s">
        <v>24</v>
      </c>
      <c r="I1100" s="47" t="s">
        <v>58</v>
      </c>
      <c r="J1100" s="32"/>
    </row>
    <row r="1101" spans="1:10" x14ac:dyDescent="0.2">
      <c r="A1101" s="32"/>
      <c r="B1101" s="36" t="s">
        <v>1907</v>
      </c>
      <c r="C1101" s="37" t="s">
        <v>1816</v>
      </c>
      <c r="D1101" s="38" t="s">
        <v>1905</v>
      </c>
      <c r="E1101" s="39">
        <v>1</v>
      </c>
      <c r="F1101" s="40">
        <v>4.59</v>
      </c>
      <c r="G1101" s="40">
        <f t="shared" si="17"/>
        <v>4.59</v>
      </c>
      <c r="H1101" s="41" t="s">
        <v>24</v>
      </c>
      <c r="I1101" s="41" t="s">
        <v>58</v>
      </c>
      <c r="J1101" s="32"/>
    </row>
    <row r="1102" spans="1:10" x14ac:dyDescent="0.2">
      <c r="A1102" s="32"/>
      <c r="B1102" s="42" t="s">
        <v>1908</v>
      </c>
      <c r="C1102" s="43" t="s">
        <v>1816</v>
      </c>
      <c r="D1102" s="44" t="s">
        <v>1905</v>
      </c>
      <c r="E1102" s="45">
        <v>1</v>
      </c>
      <c r="F1102" s="46">
        <v>4.59</v>
      </c>
      <c r="G1102" s="46">
        <f t="shared" si="17"/>
        <v>4.59</v>
      </c>
      <c r="H1102" s="47" t="s">
        <v>24</v>
      </c>
      <c r="I1102" s="47" t="s">
        <v>58</v>
      </c>
      <c r="J1102" s="32"/>
    </row>
    <row r="1103" spans="1:10" x14ac:dyDescent="0.2">
      <c r="A1103" s="32"/>
      <c r="B1103" s="36" t="s">
        <v>1909</v>
      </c>
      <c r="C1103" s="37" t="s">
        <v>1816</v>
      </c>
      <c r="D1103" s="38" t="s">
        <v>1910</v>
      </c>
      <c r="E1103" s="39">
        <v>1</v>
      </c>
      <c r="F1103" s="40">
        <v>16.989999999999998</v>
      </c>
      <c r="G1103" s="40">
        <f t="shared" si="17"/>
        <v>16.989999999999998</v>
      </c>
      <c r="H1103" s="41" t="s">
        <v>24</v>
      </c>
      <c r="I1103" s="41" t="s">
        <v>58</v>
      </c>
      <c r="J1103" s="32"/>
    </row>
    <row r="1104" spans="1:10" x14ac:dyDescent="0.2">
      <c r="A1104" s="32"/>
      <c r="B1104" s="42" t="s">
        <v>1911</v>
      </c>
      <c r="C1104" s="43" t="s">
        <v>1816</v>
      </c>
      <c r="D1104" s="44" t="s">
        <v>1912</v>
      </c>
      <c r="E1104" s="45">
        <v>1</v>
      </c>
      <c r="F1104" s="46">
        <v>2.99</v>
      </c>
      <c r="G1104" s="46">
        <f t="shared" si="17"/>
        <v>2.99</v>
      </c>
      <c r="H1104" s="47" t="s">
        <v>24</v>
      </c>
      <c r="I1104" s="47" t="s">
        <v>58</v>
      </c>
      <c r="J1104" s="32"/>
    </row>
    <row r="1105" spans="1:10" x14ac:dyDescent="0.2">
      <c r="A1105" s="32"/>
      <c r="B1105" s="36" t="s">
        <v>1913</v>
      </c>
      <c r="C1105" s="37" t="s">
        <v>1816</v>
      </c>
      <c r="D1105" s="38" t="s">
        <v>1914</v>
      </c>
      <c r="E1105" s="39">
        <v>1</v>
      </c>
      <c r="F1105" s="40">
        <v>2.75</v>
      </c>
      <c r="G1105" s="40">
        <f t="shared" si="17"/>
        <v>2.75</v>
      </c>
      <c r="H1105" s="41" t="s">
        <v>24</v>
      </c>
      <c r="I1105" s="41" t="s">
        <v>58</v>
      </c>
      <c r="J1105" s="32"/>
    </row>
    <row r="1106" spans="1:10" x14ac:dyDescent="0.2">
      <c r="A1106" s="32"/>
      <c r="B1106" s="42" t="s">
        <v>1915</v>
      </c>
      <c r="C1106" s="43" t="s">
        <v>1816</v>
      </c>
      <c r="D1106" s="44" t="s">
        <v>1916</v>
      </c>
      <c r="E1106" s="45">
        <v>1</v>
      </c>
      <c r="F1106" s="46">
        <v>2.99</v>
      </c>
      <c r="G1106" s="46">
        <f t="shared" si="17"/>
        <v>2.99</v>
      </c>
      <c r="H1106" s="47" t="s">
        <v>24</v>
      </c>
      <c r="I1106" s="47" t="s">
        <v>58</v>
      </c>
      <c r="J1106" s="32"/>
    </row>
    <row r="1107" spans="1:10" x14ac:dyDescent="0.2">
      <c r="A1107" s="32"/>
      <c r="B1107" s="36" t="s">
        <v>1917</v>
      </c>
      <c r="C1107" s="37" t="s">
        <v>1816</v>
      </c>
      <c r="D1107" s="38" t="s">
        <v>1918</v>
      </c>
      <c r="E1107" s="39">
        <v>1</v>
      </c>
      <c r="F1107" s="40">
        <v>4.6900000000000004</v>
      </c>
      <c r="G1107" s="40">
        <f t="shared" si="17"/>
        <v>4.6900000000000004</v>
      </c>
      <c r="H1107" s="41" t="s">
        <v>24</v>
      </c>
      <c r="I1107" s="41" t="s">
        <v>58</v>
      </c>
      <c r="J1107" s="32"/>
    </row>
    <row r="1108" spans="1:10" x14ac:dyDescent="0.2">
      <c r="A1108" s="32"/>
      <c r="B1108" s="42" t="s">
        <v>1919</v>
      </c>
      <c r="C1108" s="43" t="s">
        <v>1816</v>
      </c>
      <c r="D1108" s="44" t="s">
        <v>137</v>
      </c>
      <c r="E1108" s="45">
        <v>1</v>
      </c>
      <c r="F1108" s="46">
        <v>6.49</v>
      </c>
      <c r="G1108" s="46">
        <f t="shared" si="17"/>
        <v>6.49</v>
      </c>
      <c r="H1108" s="47" t="s">
        <v>24</v>
      </c>
      <c r="I1108" s="47" t="s">
        <v>58</v>
      </c>
      <c r="J1108" s="32"/>
    </row>
    <row r="1109" spans="1:10" x14ac:dyDescent="0.2">
      <c r="A1109" s="32"/>
      <c r="B1109" s="36" t="s">
        <v>1920</v>
      </c>
      <c r="C1109" s="37" t="s">
        <v>1816</v>
      </c>
      <c r="D1109" s="38" t="s">
        <v>1921</v>
      </c>
      <c r="E1109" s="39">
        <v>1</v>
      </c>
      <c r="F1109" s="40">
        <v>1.29</v>
      </c>
      <c r="G1109" s="40">
        <f t="shared" si="17"/>
        <v>1.29</v>
      </c>
      <c r="H1109" s="41" t="s">
        <v>24</v>
      </c>
      <c r="I1109" s="41" t="s">
        <v>58</v>
      </c>
      <c r="J1109" s="32"/>
    </row>
    <row r="1110" spans="1:10" x14ac:dyDescent="0.2">
      <c r="A1110" s="32"/>
      <c r="B1110" s="42" t="s">
        <v>1922</v>
      </c>
      <c r="C1110" s="43" t="s">
        <v>1816</v>
      </c>
      <c r="D1110" s="44" t="s">
        <v>1923</v>
      </c>
      <c r="E1110" s="45">
        <v>1</v>
      </c>
      <c r="F1110" s="46">
        <v>5.43</v>
      </c>
      <c r="G1110" s="46">
        <f t="shared" si="17"/>
        <v>5.43</v>
      </c>
      <c r="H1110" s="47" t="s">
        <v>24</v>
      </c>
      <c r="I1110" s="47" t="s">
        <v>58</v>
      </c>
      <c r="J1110" s="32"/>
    </row>
    <row r="1111" spans="1:10" x14ac:dyDescent="0.2">
      <c r="A1111" s="32"/>
      <c r="B1111" s="36" t="s">
        <v>1924</v>
      </c>
      <c r="C1111" s="37" t="s">
        <v>1816</v>
      </c>
      <c r="D1111" s="38" t="s">
        <v>1925</v>
      </c>
      <c r="E1111" s="39">
        <v>1</v>
      </c>
      <c r="F1111" s="40">
        <v>7.39</v>
      </c>
      <c r="G1111" s="40">
        <f t="shared" si="17"/>
        <v>7.39</v>
      </c>
      <c r="H1111" s="41" t="s">
        <v>24</v>
      </c>
      <c r="I1111" s="41" t="s">
        <v>58</v>
      </c>
      <c r="J1111" s="32"/>
    </row>
    <row r="1112" spans="1:10" x14ac:dyDescent="0.2">
      <c r="A1112" s="32"/>
      <c r="B1112" s="42" t="s">
        <v>1926</v>
      </c>
      <c r="C1112" s="43" t="s">
        <v>1816</v>
      </c>
      <c r="D1112" s="44" t="s">
        <v>1927</v>
      </c>
      <c r="E1112" s="45">
        <v>1</v>
      </c>
      <c r="F1112" s="46">
        <v>15.99</v>
      </c>
      <c r="G1112" s="46">
        <f t="shared" si="17"/>
        <v>15.99</v>
      </c>
      <c r="H1112" s="47" t="s">
        <v>24</v>
      </c>
      <c r="I1112" s="47" t="s">
        <v>58</v>
      </c>
      <c r="J1112" s="32"/>
    </row>
    <row r="1113" spans="1:10" x14ac:dyDescent="0.2">
      <c r="A1113" s="32"/>
      <c r="B1113" s="36" t="s">
        <v>1928</v>
      </c>
      <c r="C1113" s="37" t="s">
        <v>1816</v>
      </c>
      <c r="D1113" s="38" t="s">
        <v>1929</v>
      </c>
      <c r="E1113" s="39">
        <v>1</v>
      </c>
      <c r="F1113" s="40">
        <v>19.989999999999998</v>
      </c>
      <c r="G1113" s="40">
        <f t="shared" si="17"/>
        <v>19.989999999999998</v>
      </c>
      <c r="H1113" s="41" t="s">
        <v>24</v>
      </c>
      <c r="I1113" s="41" t="s">
        <v>58</v>
      </c>
      <c r="J1113" s="32"/>
    </row>
    <row r="1114" spans="1:10" x14ac:dyDescent="0.2">
      <c r="A1114" s="32"/>
      <c r="B1114" s="42" t="s">
        <v>1930</v>
      </c>
      <c r="C1114" s="43" t="s">
        <v>1816</v>
      </c>
      <c r="D1114" s="44" t="s">
        <v>1931</v>
      </c>
      <c r="E1114" s="45">
        <v>1</v>
      </c>
      <c r="F1114" s="46">
        <v>19.690000000000001</v>
      </c>
      <c r="G1114" s="46">
        <f t="shared" si="17"/>
        <v>19.690000000000001</v>
      </c>
      <c r="H1114" s="47" t="s">
        <v>24</v>
      </c>
      <c r="I1114" s="47" t="s">
        <v>58</v>
      </c>
      <c r="J1114" s="32"/>
    </row>
    <row r="1115" spans="1:10" x14ac:dyDescent="0.2">
      <c r="A1115" s="32"/>
      <c r="B1115" s="36" t="s">
        <v>1932</v>
      </c>
      <c r="C1115" s="37" t="s">
        <v>1816</v>
      </c>
      <c r="D1115" s="38" t="s">
        <v>1933</v>
      </c>
      <c r="E1115" s="39">
        <v>1</v>
      </c>
      <c r="F1115" s="40">
        <v>13.99</v>
      </c>
      <c r="G1115" s="40">
        <f t="shared" si="17"/>
        <v>13.99</v>
      </c>
      <c r="H1115" s="41" t="s">
        <v>24</v>
      </c>
      <c r="I1115" s="41" t="s">
        <v>58</v>
      </c>
      <c r="J1115" s="32"/>
    </row>
    <row r="1116" spans="1:10" x14ac:dyDescent="0.2">
      <c r="A1116" s="32"/>
      <c r="B1116" s="42" t="s">
        <v>1934</v>
      </c>
      <c r="C1116" s="43" t="s">
        <v>1816</v>
      </c>
      <c r="D1116" s="44" t="s">
        <v>1935</v>
      </c>
      <c r="E1116" s="45">
        <v>1</v>
      </c>
      <c r="F1116" s="46">
        <v>17.690000000000001</v>
      </c>
      <c r="G1116" s="46">
        <f t="shared" si="17"/>
        <v>17.690000000000001</v>
      </c>
      <c r="H1116" s="47" t="s">
        <v>25</v>
      </c>
      <c r="I1116" s="47" t="s">
        <v>58</v>
      </c>
      <c r="J1116" s="32"/>
    </row>
    <row r="1117" spans="1:10" x14ac:dyDescent="0.2">
      <c r="A1117" s="32"/>
      <c r="B1117" s="36" t="s">
        <v>1936</v>
      </c>
      <c r="C1117" s="37" t="s">
        <v>1816</v>
      </c>
      <c r="D1117" s="38" t="s">
        <v>1937</v>
      </c>
      <c r="E1117" s="39">
        <v>1</v>
      </c>
      <c r="F1117" s="40">
        <v>7.89</v>
      </c>
      <c r="G1117" s="40">
        <f t="shared" si="17"/>
        <v>7.89</v>
      </c>
      <c r="H1117" s="41" t="s">
        <v>24</v>
      </c>
      <c r="I1117" s="41" t="s">
        <v>58</v>
      </c>
      <c r="J1117" s="32"/>
    </row>
    <row r="1118" spans="1:10" x14ac:dyDescent="0.2">
      <c r="A1118" s="32"/>
      <c r="B1118" s="42" t="s">
        <v>1938</v>
      </c>
      <c r="C1118" s="43" t="s">
        <v>1816</v>
      </c>
      <c r="D1118" s="44" t="s">
        <v>1939</v>
      </c>
      <c r="E1118" s="45">
        <v>1</v>
      </c>
      <c r="F1118" s="46">
        <v>1.79</v>
      </c>
      <c r="G1118" s="46">
        <f t="shared" si="17"/>
        <v>1.79</v>
      </c>
      <c r="H1118" s="47" t="s">
        <v>24</v>
      </c>
      <c r="I1118" s="47" t="s">
        <v>58</v>
      </c>
      <c r="J1118" s="32"/>
    </row>
    <row r="1119" spans="1:10" x14ac:dyDescent="0.2">
      <c r="A1119" s="32"/>
      <c r="B1119" s="36" t="s">
        <v>1940</v>
      </c>
      <c r="C1119" s="37" t="s">
        <v>1816</v>
      </c>
      <c r="D1119" s="38" t="s">
        <v>1939</v>
      </c>
      <c r="E1119" s="39">
        <v>1</v>
      </c>
      <c r="F1119" s="40">
        <v>1.79</v>
      </c>
      <c r="G1119" s="40">
        <f t="shared" si="17"/>
        <v>1.79</v>
      </c>
      <c r="H1119" s="41" t="s">
        <v>24</v>
      </c>
      <c r="I1119" s="41" t="s">
        <v>58</v>
      </c>
      <c r="J1119" s="32"/>
    </row>
    <row r="1120" spans="1:10" x14ac:dyDescent="0.2">
      <c r="A1120" s="32"/>
      <c r="B1120" s="42" t="s">
        <v>1941</v>
      </c>
      <c r="C1120" s="43" t="s">
        <v>1816</v>
      </c>
      <c r="D1120" s="44" t="s">
        <v>1942</v>
      </c>
      <c r="E1120" s="45">
        <v>1</v>
      </c>
      <c r="F1120" s="46">
        <v>1.85</v>
      </c>
      <c r="G1120" s="46">
        <f t="shared" si="17"/>
        <v>1.85</v>
      </c>
      <c r="H1120" s="47" t="s">
        <v>24</v>
      </c>
      <c r="I1120" s="47" t="s">
        <v>58</v>
      </c>
      <c r="J1120" s="32"/>
    </row>
    <row r="1121" spans="1:10" x14ac:dyDescent="0.2">
      <c r="A1121" s="32"/>
      <c r="B1121" s="36" t="s">
        <v>1943</v>
      </c>
      <c r="C1121" s="37" t="s">
        <v>1816</v>
      </c>
      <c r="D1121" s="38" t="s">
        <v>1944</v>
      </c>
      <c r="E1121" s="39">
        <v>1</v>
      </c>
      <c r="F1121" s="40">
        <v>16.89</v>
      </c>
      <c r="G1121" s="40">
        <f t="shared" si="17"/>
        <v>16.89</v>
      </c>
      <c r="H1121" s="41" t="s">
        <v>24</v>
      </c>
      <c r="I1121" s="41" t="s">
        <v>58</v>
      </c>
      <c r="J1121" s="32"/>
    </row>
    <row r="1122" spans="1:10" x14ac:dyDescent="0.2">
      <c r="A1122" s="32"/>
      <c r="B1122" s="42" t="s">
        <v>1945</v>
      </c>
      <c r="C1122" s="43" t="s">
        <v>1816</v>
      </c>
      <c r="D1122" s="44" t="s">
        <v>1946</v>
      </c>
      <c r="E1122" s="45">
        <v>1</v>
      </c>
      <c r="F1122" s="46">
        <v>51.9</v>
      </c>
      <c r="G1122" s="46">
        <f t="shared" si="17"/>
        <v>51.9</v>
      </c>
      <c r="H1122" s="47" t="s">
        <v>24</v>
      </c>
      <c r="I1122" s="47" t="s">
        <v>58</v>
      </c>
      <c r="J1122" s="32"/>
    </row>
    <row r="1123" spans="1:10" x14ac:dyDescent="0.2">
      <c r="A1123" s="32"/>
      <c r="B1123" s="36" t="s">
        <v>1947</v>
      </c>
      <c r="C1123" s="37" t="s">
        <v>1816</v>
      </c>
      <c r="D1123" s="38" t="s">
        <v>1948</v>
      </c>
      <c r="E1123" s="39">
        <v>1</v>
      </c>
      <c r="F1123" s="40">
        <v>9.99</v>
      </c>
      <c r="G1123" s="40">
        <f t="shared" si="17"/>
        <v>9.99</v>
      </c>
      <c r="H1123" s="41" t="s">
        <v>24</v>
      </c>
      <c r="I1123" s="41" t="s">
        <v>58</v>
      </c>
      <c r="J1123" s="32"/>
    </row>
    <row r="1124" spans="1:10" x14ac:dyDescent="0.2">
      <c r="A1124" s="32"/>
      <c r="B1124" s="42" t="s">
        <v>1949</v>
      </c>
      <c r="C1124" s="43" t="s">
        <v>1816</v>
      </c>
      <c r="D1124" s="44" t="s">
        <v>1950</v>
      </c>
      <c r="E1124" s="45">
        <v>1</v>
      </c>
      <c r="F1124" s="46">
        <v>26.79</v>
      </c>
      <c r="G1124" s="46">
        <f t="shared" si="17"/>
        <v>26.79</v>
      </c>
      <c r="H1124" s="47" t="s">
        <v>24</v>
      </c>
      <c r="I1124" s="47" t="s">
        <v>58</v>
      </c>
      <c r="J1124" s="32"/>
    </row>
    <row r="1125" spans="1:10" x14ac:dyDescent="0.2">
      <c r="A1125" s="32"/>
      <c r="B1125" s="36" t="s">
        <v>1951</v>
      </c>
      <c r="C1125" s="37" t="s">
        <v>1816</v>
      </c>
      <c r="D1125" s="38" t="s">
        <v>1952</v>
      </c>
      <c r="E1125" s="39">
        <v>1</v>
      </c>
      <c r="F1125" s="40">
        <v>11.69</v>
      </c>
      <c r="G1125" s="40">
        <f t="shared" si="17"/>
        <v>11.69</v>
      </c>
      <c r="H1125" s="41" t="s">
        <v>24</v>
      </c>
      <c r="I1125" s="41" t="s">
        <v>58</v>
      </c>
      <c r="J1125" s="32"/>
    </row>
    <row r="1126" spans="1:10" x14ac:dyDescent="0.2">
      <c r="A1126" s="32"/>
      <c r="B1126" s="42" t="s">
        <v>1953</v>
      </c>
      <c r="C1126" s="43" t="s">
        <v>1816</v>
      </c>
      <c r="D1126" s="44" t="s">
        <v>1744</v>
      </c>
      <c r="E1126" s="45">
        <v>1</v>
      </c>
      <c r="F1126" s="46">
        <v>4.99</v>
      </c>
      <c r="G1126" s="46">
        <f t="shared" si="17"/>
        <v>4.99</v>
      </c>
      <c r="H1126" s="47" t="s">
        <v>28</v>
      </c>
      <c r="I1126" s="47" t="s">
        <v>58</v>
      </c>
      <c r="J1126" s="32"/>
    </row>
    <row r="1127" spans="1:10" x14ac:dyDescent="0.2">
      <c r="A1127" s="32"/>
      <c r="B1127" s="36" t="s">
        <v>1954</v>
      </c>
      <c r="C1127" s="37" t="s">
        <v>1816</v>
      </c>
      <c r="D1127" s="38" t="s">
        <v>1955</v>
      </c>
      <c r="E1127" s="39">
        <v>1</v>
      </c>
      <c r="F1127" s="40">
        <v>25.79</v>
      </c>
      <c r="G1127" s="40">
        <f t="shared" si="17"/>
        <v>25.79</v>
      </c>
      <c r="H1127" s="41" t="s">
        <v>24</v>
      </c>
      <c r="I1127" s="41" t="s">
        <v>58</v>
      </c>
      <c r="J1127" s="32"/>
    </row>
    <row r="1128" spans="1:10" x14ac:dyDescent="0.2">
      <c r="A1128" s="32"/>
      <c r="B1128" s="42" t="s">
        <v>1956</v>
      </c>
      <c r="C1128" s="43" t="s">
        <v>1816</v>
      </c>
      <c r="D1128" s="44" t="s">
        <v>1712</v>
      </c>
      <c r="E1128" s="45">
        <v>1</v>
      </c>
      <c r="F1128" s="46">
        <v>12.99</v>
      </c>
      <c r="G1128" s="46">
        <f t="shared" si="17"/>
        <v>12.99</v>
      </c>
      <c r="H1128" s="47" t="s">
        <v>25</v>
      </c>
      <c r="I1128" s="47" t="s">
        <v>58</v>
      </c>
      <c r="J1128" s="32"/>
    </row>
    <row r="1129" spans="1:10" x14ac:dyDescent="0.2">
      <c r="A1129" s="32"/>
      <c r="B1129" s="36" t="s">
        <v>1957</v>
      </c>
      <c r="C1129" s="37" t="s">
        <v>1816</v>
      </c>
      <c r="D1129" s="38" t="s">
        <v>1958</v>
      </c>
      <c r="E1129" s="39">
        <v>1</v>
      </c>
      <c r="F1129" s="40">
        <v>9.99</v>
      </c>
      <c r="G1129" s="40">
        <f t="shared" si="17"/>
        <v>9.99</v>
      </c>
      <c r="H1129" s="41" t="s">
        <v>25</v>
      </c>
      <c r="I1129" s="41" t="s">
        <v>58</v>
      </c>
      <c r="J1129" s="32"/>
    </row>
    <row r="1130" spans="1:10" x14ac:dyDescent="0.2">
      <c r="A1130" s="32"/>
      <c r="B1130" s="42" t="s">
        <v>1959</v>
      </c>
      <c r="C1130" s="43" t="s">
        <v>1816</v>
      </c>
      <c r="D1130" s="44" t="s">
        <v>1710</v>
      </c>
      <c r="E1130" s="45">
        <v>1</v>
      </c>
      <c r="F1130" s="46">
        <v>12.99</v>
      </c>
      <c r="G1130" s="46">
        <f t="shared" si="17"/>
        <v>12.99</v>
      </c>
      <c r="H1130" s="47" t="s">
        <v>25</v>
      </c>
      <c r="I1130" s="47" t="s">
        <v>58</v>
      </c>
      <c r="J1130" s="32"/>
    </row>
    <row r="1131" spans="1:10" x14ac:dyDescent="0.2">
      <c r="A1131" s="32"/>
      <c r="B1131" s="36" t="s">
        <v>1960</v>
      </c>
      <c r="C1131" s="37" t="s">
        <v>1816</v>
      </c>
      <c r="D1131" s="38" t="s">
        <v>1961</v>
      </c>
      <c r="E1131" s="39">
        <v>1</v>
      </c>
      <c r="F1131" s="40">
        <v>19.989999999999998</v>
      </c>
      <c r="G1131" s="40">
        <f t="shared" si="17"/>
        <v>19.989999999999998</v>
      </c>
      <c r="H1131" s="41" t="s">
        <v>24</v>
      </c>
      <c r="I1131" s="41" t="s">
        <v>58</v>
      </c>
      <c r="J1131" s="32"/>
    </row>
    <row r="1132" spans="1:10" x14ac:dyDescent="0.2">
      <c r="A1132" s="32"/>
      <c r="B1132" s="42" t="s">
        <v>1962</v>
      </c>
      <c r="C1132" s="43" t="s">
        <v>1816</v>
      </c>
      <c r="D1132" s="44" t="s">
        <v>1963</v>
      </c>
      <c r="E1132" s="45">
        <v>1</v>
      </c>
      <c r="F1132" s="46">
        <v>8.99</v>
      </c>
      <c r="G1132" s="46">
        <f t="shared" si="17"/>
        <v>8.99</v>
      </c>
      <c r="H1132" s="47" t="s">
        <v>24</v>
      </c>
      <c r="I1132" s="47" t="s">
        <v>58</v>
      </c>
      <c r="J1132" s="32"/>
    </row>
    <row r="1133" spans="1:10" x14ac:dyDescent="0.2">
      <c r="A1133" s="32"/>
      <c r="B1133" s="36" t="s">
        <v>1964</v>
      </c>
      <c r="C1133" s="37" t="s">
        <v>1965</v>
      </c>
      <c r="D1133" s="38" t="s">
        <v>1966</v>
      </c>
      <c r="E1133" s="39">
        <v>1</v>
      </c>
      <c r="F1133" s="40">
        <v>4.49</v>
      </c>
      <c r="G1133" s="40">
        <f t="shared" si="17"/>
        <v>4.49</v>
      </c>
      <c r="H1133" s="41" t="s">
        <v>24</v>
      </c>
      <c r="I1133" s="41" t="s">
        <v>58</v>
      </c>
      <c r="J1133" s="32"/>
    </row>
    <row r="1134" spans="1:10" x14ac:dyDescent="0.2">
      <c r="A1134" s="32"/>
      <c r="B1134" s="42" t="s">
        <v>1967</v>
      </c>
      <c r="C1134" s="43" t="s">
        <v>1965</v>
      </c>
      <c r="D1134" s="44" t="s">
        <v>1968</v>
      </c>
      <c r="E1134" s="45">
        <v>1</v>
      </c>
      <c r="F1134" s="46">
        <v>4.59</v>
      </c>
      <c r="G1134" s="46">
        <f t="shared" si="17"/>
        <v>4.59</v>
      </c>
      <c r="H1134" s="47" t="s">
        <v>24</v>
      </c>
      <c r="I1134" s="47" t="s">
        <v>58</v>
      </c>
      <c r="J1134" s="32"/>
    </row>
    <row r="1135" spans="1:10" x14ac:dyDescent="0.2">
      <c r="A1135" s="32"/>
      <c r="B1135" s="36" t="s">
        <v>1969</v>
      </c>
      <c r="C1135" s="37" t="s">
        <v>1965</v>
      </c>
      <c r="D1135" s="38" t="s">
        <v>1970</v>
      </c>
      <c r="E1135" s="39">
        <v>1</v>
      </c>
      <c r="F1135" s="40">
        <v>11.99</v>
      </c>
      <c r="G1135" s="40">
        <f t="shared" si="17"/>
        <v>11.99</v>
      </c>
      <c r="H1135" s="41" t="s">
        <v>24</v>
      </c>
      <c r="I1135" s="41" t="s">
        <v>58</v>
      </c>
      <c r="J1135" s="32"/>
    </row>
    <row r="1136" spans="1:10" x14ac:dyDescent="0.2">
      <c r="A1136" s="32"/>
      <c r="B1136" s="42" t="s">
        <v>1971</v>
      </c>
      <c r="C1136" s="43" t="s">
        <v>1965</v>
      </c>
      <c r="D1136" s="44" t="s">
        <v>1972</v>
      </c>
      <c r="E1136" s="45">
        <v>1</v>
      </c>
      <c r="F1136" s="46">
        <v>32.99</v>
      </c>
      <c r="G1136" s="46">
        <f t="shared" si="17"/>
        <v>32.99</v>
      </c>
      <c r="H1136" s="47" t="s">
        <v>24</v>
      </c>
      <c r="I1136" s="47" t="s">
        <v>58</v>
      </c>
      <c r="J1136" s="32"/>
    </row>
    <row r="1137" spans="1:10" x14ac:dyDescent="0.2">
      <c r="A1137" s="32"/>
      <c r="B1137" s="36" t="s">
        <v>1973</v>
      </c>
      <c r="C1137" s="37" t="s">
        <v>1965</v>
      </c>
      <c r="D1137" s="38" t="s">
        <v>1974</v>
      </c>
      <c r="E1137" s="39">
        <v>1</v>
      </c>
      <c r="F1137" s="40">
        <v>2.09</v>
      </c>
      <c r="G1137" s="40">
        <f t="shared" si="17"/>
        <v>2.09</v>
      </c>
      <c r="H1137" s="41" t="s">
        <v>24</v>
      </c>
      <c r="I1137" s="41" t="s">
        <v>58</v>
      </c>
      <c r="J1137" s="32"/>
    </row>
    <row r="1138" spans="1:10" x14ac:dyDescent="0.2">
      <c r="A1138" s="32"/>
      <c r="B1138" s="42" t="s">
        <v>1975</v>
      </c>
      <c r="C1138" s="43" t="s">
        <v>1965</v>
      </c>
      <c r="D1138" s="44" t="s">
        <v>1976</v>
      </c>
      <c r="E1138" s="45">
        <v>1</v>
      </c>
      <c r="F1138" s="46">
        <v>13.99</v>
      </c>
      <c r="G1138" s="46">
        <f t="shared" si="17"/>
        <v>13.99</v>
      </c>
      <c r="H1138" s="47" t="s">
        <v>24</v>
      </c>
      <c r="I1138" s="47" t="s">
        <v>58</v>
      </c>
      <c r="J1138" s="32"/>
    </row>
    <row r="1139" spans="1:10" x14ac:dyDescent="0.2">
      <c r="A1139" s="32"/>
      <c r="B1139" s="36" t="s">
        <v>1977</v>
      </c>
      <c r="C1139" s="37" t="s">
        <v>1965</v>
      </c>
      <c r="D1139" s="38" t="s">
        <v>1978</v>
      </c>
      <c r="E1139" s="39">
        <v>1</v>
      </c>
      <c r="F1139" s="40">
        <v>109.9</v>
      </c>
      <c r="G1139" s="40">
        <f t="shared" si="17"/>
        <v>109.9</v>
      </c>
      <c r="H1139" s="41" t="s">
        <v>24</v>
      </c>
      <c r="I1139" s="41" t="s">
        <v>58</v>
      </c>
      <c r="J1139" s="32"/>
    </row>
    <row r="1140" spans="1:10" x14ac:dyDescent="0.2">
      <c r="A1140" s="32"/>
      <c r="B1140" s="42" t="s">
        <v>1979</v>
      </c>
      <c r="C1140" s="43" t="s">
        <v>1965</v>
      </c>
      <c r="D1140" s="44" t="s">
        <v>1980</v>
      </c>
      <c r="E1140" s="45">
        <v>1</v>
      </c>
      <c r="F1140" s="46">
        <v>89.9</v>
      </c>
      <c r="G1140" s="46">
        <f t="shared" si="17"/>
        <v>89.9</v>
      </c>
      <c r="H1140" s="47" t="s">
        <v>24</v>
      </c>
      <c r="I1140" s="47" t="s">
        <v>58</v>
      </c>
      <c r="J1140" s="32"/>
    </row>
    <row r="1141" spans="1:10" x14ac:dyDescent="0.2">
      <c r="A1141" s="32"/>
      <c r="B1141" s="36" t="s">
        <v>1981</v>
      </c>
      <c r="C1141" s="37" t="s">
        <v>1965</v>
      </c>
      <c r="D1141" s="38" t="s">
        <v>1982</v>
      </c>
      <c r="E1141" s="39">
        <v>1</v>
      </c>
      <c r="F1141" s="40">
        <v>7.49</v>
      </c>
      <c r="G1141" s="40">
        <f t="shared" si="17"/>
        <v>7.49</v>
      </c>
      <c r="H1141" s="41" t="s">
        <v>24</v>
      </c>
      <c r="I1141" s="41" t="s">
        <v>58</v>
      </c>
      <c r="J1141" s="32"/>
    </row>
    <row r="1142" spans="1:10" x14ac:dyDescent="0.2">
      <c r="A1142" s="32"/>
      <c r="B1142" s="42" t="s">
        <v>1983</v>
      </c>
      <c r="C1142" s="43" t="s">
        <v>1965</v>
      </c>
      <c r="D1142" s="44" t="s">
        <v>1984</v>
      </c>
      <c r="E1142" s="45">
        <v>1</v>
      </c>
      <c r="F1142" s="46">
        <v>23.9</v>
      </c>
      <c r="G1142" s="46">
        <f t="shared" si="17"/>
        <v>23.9</v>
      </c>
      <c r="H1142" s="47" t="s">
        <v>24</v>
      </c>
      <c r="I1142" s="47" t="s">
        <v>58</v>
      </c>
      <c r="J1142" s="32"/>
    </row>
    <row r="1143" spans="1:10" x14ac:dyDescent="0.2">
      <c r="A1143" s="32"/>
      <c r="B1143" s="36" t="s">
        <v>1985</v>
      </c>
      <c r="C1143" s="37" t="s">
        <v>1965</v>
      </c>
      <c r="D1143" s="38" t="s">
        <v>1986</v>
      </c>
      <c r="E1143" s="39">
        <v>1</v>
      </c>
      <c r="F1143" s="40">
        <v>20.9</v>
      </c>
      <c r="G1143" s="40">
        <f t="shared" si="17"/>
        <v>20.9</v>
      </c>
      <c r="H1143" s="41" t="s">
        <v>24</v>
      </c>
      <c r="I1143" s="41" t="s">
        <v>58</v>
      </c>
      <c r="J1143" s="32"/>
    </row>
    <row r="1144" spans="1:10" x14ac:dyDescent="0.2">
      <c r="A1144" s="32"/>
      <c r="B1144" s="42" t="s">
        <v>1987</v>
      </c>
      <c r="C1144" s="43" t="s">
        <v>1965</v>
      </c>
      <c r="D1144" s="44" t="s">
        <v>1988</v>
      </c>
      <c r="E1144" s="45">
        <v>1</v>
      </c>
      <c r="F1144" s="46">
        <v>49.9</v>
      </c>
      <c r="G1144" s="46">
        <f t="shared" si="17"/>
        <v>49.9</v>
      </c>
      <c r="H1144" s="47" t="s">
        <v>24</v>
      </c>
      <c r="I1144" s="47" t="s">
        <v>58</v>
      </c>
      <c r="J1144" s="32"/>
    </row>
    <row r="1145" spans="1:10" x14ac:dyDescent="0.2">
      <c r="A1145" s="32"/>
      <c r="B1145" s="36" t="s">
        <v>1989</v>
      </c>
      <c r="C1145" s="37" t="s">
        <v>1965</v>
      </c>
      <c r="D1145" s="38" t="s">
        <v>1990</v>
      </c>
      <c r="E1145" s="39">
        <v>1</v>
      </c>
      <c r="F1145" s="40">
        <v>24.9</v>
      </c>
      <c r="G1145" s="40">
        <f t="shared" si="17"/>
        <v>24.9</v>
      </c>
      <c r="H1145" s="41" t="s">
        <v>24</v>
      </c>
      <c r="I1145" s="41" t="s">
        <v>58</v>
      </c>
      <c r="J1145" s="32"/>
    </row>
    <row r="1146" spans="1:10" x14ac:dyDescent="0.2">
      <c r="A1146" s="32"/>
      <c r="B1146" s="42" t="s">
        <v>1991</v>
      </c>
      <c r="C1146" s="43" t="s">
        <v>1965</v>
      </c>
      <c r="D1146" s="44" t="s">
        <v>1992</v>
      </c>
      <c r="E1146" s="45">
        <v>1</v>
      </c>
      <c r="F1146" s="46">
        <v>5.49</v>
      </c>
      <c r="G1146" s="46">
        <f t="shared" si="17"/>
        <v>5.49</v>
      </c>
      <c r="H1146" s="47" t="s">
        <v>24</v>
      </c>
      <c r="I1146" s="47" t="s">
        <v>58</v>
      </c>
      <c r="J1146" s="32"/>
    </row>
    <row r="1147" spans="1:10" x14ac:dyDescent="0.2">
      <c r="A1147" s="32"/>
      <c r="B1147" s="36" t="s">
        <v>1993</v>
      </c>
      <c r="C1147" s="37" t="s">
        <v>1965</v>
      </c>
      <c r="D1147" s="38" t="s">
        <v>1994</v>
      </c>
      <c r="E1147" s="39">
        <v>1</v>
      </c>
      <c r="F1147" s="40">
        <v>7.29</v>
      </c>
      <c r="G1147" s="40">
        <f t="shared" si="17"/>
        <v>7.29</v>
      </c>
      <c r="H1147" s="41" t="s">
        <v>24</v>
      </c>
      <c r="I1147" s="41" t="s">
        <v>58</v>
      </c>
      <c r="J1147" s="32"/>
    </row>
    <row r="1148" spans="1:10" x14ac:dyDescent="0.2">
      <c r="A1148" s="32"/>
      <c r="B1148" s="42" t="s">
        <v>1995</v>
      </c>
      <c r="C1148" s="43" t="s">
        <v>1965</v>
      </c>
      <c r="D1148" s="44" t="s">
        <v>1996</v>
      </c>
      <c r="E1148" s="45">
        <v>1</v>
      </c>
      <c r="F1148" s="46">
        <v>99.9</v>
      </c>
      <c r="G1148" s="46">
        <f t="shared" si="17"/>
        <v>99.9</v>
      </c>
      <c r="H1148" s="47" t="s">
        <v>24</v>
      </c>
      <c r="I1148" s="47" t="s">
        <v>58</v>
      </c>
      <c r="J1148" s="32"/>
    </row>
    <row r="1149" spans="1:10" x14ac:dyDescent="0.2">
      <c r="A1149" s="32"/>
      <c r="B1149" s="36" t="s">
        <v>1997</v>
      </c>
      <c r="C1149" s="37" t="s">
        <v>1965</v>
      </c>
      <c r="D1149" s="38" t="s">
        <v>1998</v>
      </c>
      <c r="E1149" s="39">
        <v>1</v>
      </c>
      <c r="F1149" s="40">
        <v>119</v>
      </c>
      <c r="G1149" s="40">
        <f t="shared" si="17"/>
        <v>119</v>
      </c>
      <c r="H1149" s="41" t="s">
        <v>24</v>
      </c>
      <c r="I1149" s="41" t="s">
        <v>58</v>
      </c>
      <c r="J1149" s="32"/>
    </row>
    <row r="1150" spans="1:10" x14ac:dyDescent="0.2">
      <c r="A1150" s="32"/>
      <c r="B1150" s="42" t="s">
        <v>1999</v>
      </c>
      <c r="C1150" s="43" t="s">
        <v>1965</v>
      </c>
      <c r="D1150" s="44" t="s">
        <v>2000</v>
      </c>
      <c r="E1150" s="45">
        <v>1</v>
      </c>
      <c r="F1150" s="46">
        <v>44.9</v>
      </c>
      <c r="G1150" s="46">
        <f t="shared" si="17"/>
        <v>44.9</v>
      </c>
      <c r="H1150" s="47" t="s">
        <v>24</v>
      </c>
      <c r="I1150" s="47" t="s">
        <v>58</v>
      </c>
      <c r="J1150" s="32"/>
    </row>
    <row r="1151" spans="1:10" x14ac:dyDescent="0.2">
      <c r="A1151" s="32"/>
      <c r="B1151" s="36" t="s">
        <v>2001</v>
      </c>
      <c r="C1151" s="37" t="s">
        <v>1965</v>
      </c>
      <c r="D1151" s="38" t="s">
        <v>2002</v>
      </c>
      <c r="E1151" s="39">
        <v>1</v>
      </c>
      <c r="F1151" s="40">
        <v>21.99</v>
      </c>
      <c r="G1151" s="40">
        <f t="shared" si="17"/>
        <v>21.99</v>
      </c>
      <c r="H1151" s="41" t="s">
        <v>24</v>
      </c>
      <c r="I1151" s="41" t="s">
        <v>58</v>
      </c>
      <c r="J1151" s="32"/>
    </row>
    <row r="1152" spans="1:10" x14ac:dyDescent="0.2">
      <c r="A1152" s="32"/>
      <c r="B1152" s="42" t="s">
        <v>2003</v>
      </c>
      <c r="C1152" s="43" t="s">
        <v>1965</v>
      </c>
      <c r="D1152" s="44" t="s">
        <v>2004</v>
      </c>
      <c r="E1152" s="45">
        <v>1</v>
      </c>
      <c r="F1152" s="46">
        <v>89.9</v>
      </c>
      <c r="G1152" s="46">
        <f t="shared" si="17"/>
        <v>89.9</v>
      </c>
      <c r="H1152" s="47" t="s">
        <v>24</v>
      </c>
      <c r="I1152" s="47" t="s">
        <v>58</v>
      </c>
      <c r="J1152" s="32"/>
    </row>
    <row r="1153" spans="1:10" x14ac:dyDescent="0.2">
      <c r="A1153" s="32"/>
      <c r="B1153" s="36" t="s">
        <v>2005</v>
      </c>
      <c r="C1153" s="37" t="s">
        <v>1965</v>
      </c>
      <c r="D1153" s="38" t="s">
        <v>759</v>
      </c>
      <c r="E1153" s="39">
        <v>1</v>
      </c>
      <c r="F1153" s="40">
        <v>12.99</v>
      </c>
      <c r="G1153" s="40">
        <f t="shared" si="17"/>
        <v>12.99</v>
      </c>
      <c r="H1153" s="41" t="s">
        <v>24</v>
      </c>
      <c r="I1153" s="41" t="s">
        <v>58</v>
      </c>
      <c r="J1153" s="32"/>
    </row>
    <row r="1154" spans="1:10" x14ac:dyDescent="0.2">
      <c r="A1154" s="32"/>
      <c r="B1154" s="42" t="s">
        <v>2006</v>
      </c>
      <c r="C1154" s="43" t="s">
        <v>1965</v>
      </c>
      <c r="D1154" s="44" t="s">
        <v>2007</v>
      </c>
      <c r="E1154" s="45">
        <v>1</v>
      </c>
      <c r="F1154" s="46">
        <v>14.69</v>
      </c>
      <c r="G1154" s="46">
        <f t="shared" si="17"/>
        <v>14.69</v>
      </c>
      <c r="H1154" s="47" t="s">
        <v>24</v>
      </c>
      <c r="I1154" s="47" t="s">
        <v>58</v>
      </c>
      <c r="J1154" s="32"/>
    </row>
    <row r="1155" spans="1:10" x14ac:dyDescent="0.2">
      <c r="A1155" s="32"/>
      <c r="B1155" s="36" t="s">
        <v>2008</v>
      </c>
      <c r="C1155" s="37" t="s">
        <v>1965</v>
      </c>
      <c r="D1155" s="38" t="s">
        <v>1982</v>
      </c>
      <c r="E1155" s="39">
        <v>1</v>
      </c>
      <c r="F1155" s="40">
        <v>7.49</v>
      </c>
      <c r="G1155" s="40">
        <f t="shared" si="17"/>
        <v>7.49</v>
      </c>
      <c r="H1155" s="41" t="s">
        <v>24</v>
      </c>
      <c r="I1155" s="41" t="s">
        <v>58</v>
      </c>
      <c r="J1155" s="32"/>
    </row>
    <row r="1156" spans="1:10" x14ac:dyDescent="0.2">
      <c r="A1156" s="32"/>
      <c r="B1156" s="42" t="s">
        <v>2009</v>
      </c>
      <c r="C1156" s="43" t="s">
        <v>1965</v>
      </c>
      <c r="D1156" s="44" t="s">
        <v>2010</v>
      </c>
      <c r="E1156" s="45">
        <v>1</v>
      </c>
      <c r="F1156" s="46">
        <v>3.59</v>
      </c>
      <c r="G1156" s="46">
        <f t="shared" si="17"/>
        <v>3.59</v>
      </c>
      <c r="H1156" s="47" t="s">
        <v>24</v>
      </c>
      <c r="I1156" s="47" t="s">
        <v>58</v>
      </c>
      <c r="J1156" s="32"/>
    </row>
    <row r="1157" spans="1:10" x14ac:dyDescent="0.2">
      <c r="A1157" s="32"/>
      <c r="B1157" s="36" t="s">
        <v>2011</v>
      </c>
      <c r="C1157" s="37" t="s">
        <v>1965</v>
      </c>
      <c r="D1157" s="38" t="s">
        <v>2012</v>
      </c>
      <c r="E1157" s="39">
        <v>1</v>
      </c>
      <c r="F1157" s="40">
        <v>2.99</v>
      </c>
      <c r="G1157" s="40">
        <f t="shared" ref="G1157:G1220" si="18">E1157*F1157</f>
        <v>2.99</v>
      </c>
      <c r="H1157" s="41" t="s">
        <v>24</v>
      </c>
      <c r="I1157" s="41" t="s">
        <v>58</v>
      </c>
      <c r="J1157" s="32"/>
    </row>
    <row r="1158" spans="1:10" x14ac:dyDescent="0.2">
      <c r="A1158" s="32"/>
      <c r="B1158" s="42" t="s">
        <v>2013</v>
      </c>
      <c r="C1158" s="43" t="s">
        <v>1965</v>
      </c>
      <c r="D1158" s="44" t="s">
        <v>1992</v>
      </c>
      <c r="E1158" s="45">
        <v>1</v>
      </c>
      <c r="F1158" s="46">
        <v>5.49</v>
      </c>
      <c r="G1158" s="46">
        <f t="shared" si="18"/>
        <v>5.49</v>
      </c>
      <c r="H1158" s="47" t="s">
        <v>24</v>
      </c>
      <c r="I1158" s="47" t="s">
        <v>58</v>
      </c>
      <c r="J1158" s="32"/>
    </row>
    <row r="1159" spans="1:10" x14ac:dyDescent="0.2">
      <c r="A1159" s="32"/>
      <c r="B1159" s="36" t="s">
        <v>2014</v>
      </c>
      <c r="C1159" s="37" t="s">
        <v>1965</v>
      </c>
      <c r="D1159" s="38" t="s">
        <v>2015</v>
      </c>
      <c r="E1159" s="39">
        <v>1</v>
      </c>
      <c r="F1159" s="40">
        <v>3.99</v>
      </c>
      <c r="G1159" s="40">
        <f t="shared" si="18"/>
        <v>3.99</v>
      </c>
      <c r="H1159" s="41" t="s">
        <v>24</v>
      </c>
      <c r="I1159" s="41" t="s">
        <v>58</v>
      </c>
      <c r="J1159" s="32"/>
    </row>
    <row r="1160" spans="1:10" x14ac:dyDescent="0.2">
      <c r="A1160" s="32"/>
      <c r="B1160" s="42" t="s">
        <v>2016</v>
      </c>
      <c r="C1160" s="43" t="s">
        <v>1965</v>
      </c>
      <c r="D1160" s="44" t="s">
        <v>2017</v>
      </c>
      <c r="E1160" s="45">
        <v>1</v>
      </c>
      <c r="F1160" s="46">
        <v>32.99</v>
      </c>
      <c r="G1160" s="46">
        <f t="shared" si="18"/>
        <v>32.99</v>
      </c>
      <c r="H1160" s="47" t="s">
        <v>24</v>
      </c>
      <c r="I1160" s="47" t="s">
        <v>58</v>
      </c>
      <c r="J1160" s="32"/>
    </row>
    <row r="1161" spans="1:10" x14ac:dyDescent="0.2">
      <c r="A1161" s="32"/>
      <c r="B1161" s="36" t="s">
        <v>2018</v>
      </c>
      <c r="C1161" s="37" t="s">
        <v>1965</v>
      </c>
      <c r="D1161" s="38" t="s">
        <v>2019</v>
      </c>
      <c r="E1161" s="39">
        <v>1</v>
      </c>
      <c r="F1161" s="40">
        <v>3.99</v>
      </c>
      <c r="G1161" s="40">
        <f t="shared" si="18"/>
        <v>3.99</v>
      </c>
      <c r="H1161" s="41" t="s">
        <v>24</v>
      </c>
      <c r="I1161" s="41" t="s">
        <v>58</v>
      </c>
      <c r="J1161" s="32"/>
    </row>
    <row r="1162" spans="1:10" x14ac:dyDescent="0.2">
      <c r="A1162" s="32"/>
      <c r="B1162" s="42" t="s">
        <v>2020</v>
      </c>
      <c r="C1162" s="43" t="s">
        <v>1965</v>
      </c>
      <c r="D1162" s="44" t="s">
        <v>367</v>
      </c>
      <c r="E1162" s="45">
        <v>1</v>
      </c>
      <c r="F1162" s="46">
        <v>4.99</v>
      </c>
      <c r="G1162" s="46">
        <f t="shared" si="18"/>
        <v>4.99</v>
      </c>
      <c r="H1162" s="47" t="s">
        <v>24</v>
      </c>
      <c r="I1162" s="47" t="s">
        <v>58</v>
      </c>
      <c r="J1162" s="32"/>
    </row>
    <row r="1163" spans="1:10" x14ac:dyDescent="0.2">
      <c r="A1163" s="32"/>
      <c r="B1163" s="36" t="s">
        <v>2021</v>
      </c>
      <c r="C1163" s="37" t="s">
        <v>1965</v>
      </c>
      <c r="D1163" s="38" t="s">
        <v>2022</v>
      </c>
      <c r="E1163" s="39">
        <v>1</v>
      </c>
      <c r="F1163" s="40">
        <v>14.99</v>
      </c>
      <c r="G1163" s="40">
        <f t="shared" si="18"/>
        <v>14.99</v>
      </c>
      <c r="H1163" s="41" t="s">
        <v>24</v>
      </c>
      <c r="I1163" s="41" t="s">
        <v>58</v>
      </c>
      <c r="J1163" s="32"/>
    </row>
    <row r="1164" spans="1:10" x14ac:dyDescent="0.2">
      <c r="A1164" s="32"/>
      <c r="B1164" s="42" t="s">
        <v>2023</v>
      </c>
      <c r="C1164" s="43" t="s">
        <v>1965</v>
      </c>
      <c r="D1164" s="44" t="s">
        <v>759</v>
      </c>
      <c r="E1164" s="45">
        <v>1</v>
      </c>
      <c r="F1164" s="46">
        <v>12.99</v>
      </c>
      <c r="G1164" s="46">
        <f t="shared" si="18"/>
        <v>12.99</v>
      </c>
      <c r="H1164" s="47" t="s">
        <v>24</v>
      </c>
      <c r="I1164" s="47" t="s">
        <v>58</v>
      </c>
      <c r="J1164" s="32"/>
    </row>
    <row r="1165" spans="1:10" x14ac:dyDescent="0.2">
      <c r="A1165" s="32"/>
      <c r="B1165" s="36" t="s">
        <v>2024</v>
      </c>
      <c r="C1165" s="37" t="s">
        <v>1965</v>
      </c>
      <c r="D1165" s="38" t="s">
        <v>2025</v>
      </c>
      <c r="E1165" s="39">
        <v>1</v>
      </c>
      <c r="F1165" s="40">
        <v>99.9</v>
      </c>
      <c r="G1165" s="40">
        <f t="shared" si="18"/>
        <v>99.9</v>
      </c>
      <c r="H1165" s="41" t="s">
        <v>24</v>
      </c>
      <c r="I1165" s="41" t="s">
        <v>58</v>
      </c>
      <c r="J1165" s="32"/>
    </row>
    <row r="1166" spans="1:10" x14ac:dyDescent="0.2">
      <c r="A1166" s="32"/>
      <c r="B1166" s="42" t="s">
        <v>2026</v>
      </c>
      <c r="C1166" s="43" t="s">
        <v>1965</v>
      </c>
      <c r="D1166" s="44" t="s">
        <v>2027</v>
      </c>
      <c r="E1166" s="45">
        <v>1</v>
      </c>
      <c r="F1166" s="46">
        <v>1.49</v>
      </c>
      <c r="G1166" s="46">
        <f t="shared" si="18"/>
        <v>1.49</v>
      </c>
      <c r="H1166" s="47" t="s">
        <v>24</v>
      </c>
      <c r="I1166" s="47" t="s">
        <v>58</v>
      </c>
      <c r="J1166" s="32"/>
    </row>
    <row r="1167" spans="1:10" x14ac:dyDescent="0.2">
      <c r="A1167" s="32"/>
      <c r="B1167" s="36" t="s">
        <v>2028</v>
      </c>
      <c r="C1167" s="37" t="s">
        <v>1965</v>
      </c>
      <c r="D1167" s="38" t="s">
        <v>2029</v>
      </c>
      <c r="E1167" s="39">
        <v>1</v>
      </c>
      <c r="F1167" s="40">
        <v>8.59</v>
      </c>
      <c r="G1167" s="40">
        <f t="shared" si="18"/>
        <v>8.59</v>
      </c>
      <c r="H1167" s="41" t="s">
        <v>24</v>
      </c>
      <c r="I1167" s="41" t="s">
        <v>58</v>
      </c>
      <c r="J1167" s="32"/>
    </row>
    <row r="1168" spans="1:10" x14ac:dyDescent="0.2">
      <c r="A1168" s="32"/>
      <c r="B1168" s="42" t="s">
        <v>2030</v>
      </c>
      <c r="C1168" s="43" t="s">
        <v>1965</v>
      </c>
      <c r="D1168" s="44" t="s">
        <v>2031</v>
      </c>
      <c r="E1168" s="45">
        <v>1</v>
      </c>
      <c r="F1168" s="46">
        <v>11.99</v>
      </c>
      <c r="G1168" s="46">
        <f t="shared" si="18"/>
        <v>11.99</v>
      </c>
      <c r="H1168" s="47" t="s">
        <v>24</v>
      </c>
      <c r="I1168" s="47" t="s">
        <v>58</v>
      </c>
      <c r="J1168" s="32"/>
    </row>
    <row r="1169" spans="1:10" x14ac:dyDescent="0.2">
      <c r="A1169" s="32"/>
      <c r="B1169" s="36" t="s">
        <v>2032</v>
      </c>
      <c r="C1169" s="37" t="s">
        <v>1965</v>
      </c>
      <c r="D1169" s="38" t="s">
        <v>2033</v>
      </c>
      <c r="E1169" s="39">
        <v>1</v>
      </c>
      <c r="F1169" s="40">
        <v>9.99</v>
      </c>
      <c r="G1169" s="40">
        <f t="shared" si="18"/>
        <v>9.99</v>
      </c>
      <c r="H1169" s="41" t="s">
        <v>24</v>
      </c>
      <c r="I1169" s="41" t="s">
        <v>58</v>
      </c>
      <c r="J1169" s="32"/>
    </row>
    <row r="1170" spans="1:10" x14ac:dyDescent="0.2">
      <c r="A1170" s="32"/>
      <c r="B1170" s="42" t="s">
        <v>2034</v>
      </c>
      <c r="C1170" s="43" t="s">
        <v>1965</v>
      </c>
      <c r="D1170" s="44" t="s">
        <v>2035</v>
      </c>
      <c r="E1170" s="45">
        <v>1</v>
      </c>
      <c r="F1170" s="46">
        <v>59.99</v>
      </c>
      <c r="G1170" s="46">
        <f t="shared" si="18"/>
        <v>59.99</v>
      </c>
      <c r="H1170" s="47" t="s">
        <v>24</v>
      </c>
      <c r="I1170" s="47" t="s">
        <v>58</v>
      </c>
      <c r="J1170" s="32"/>
    </row>
    <row r="1171" spans="1:10" x14ac:dyDescent="0.2">
      <c r="A1171" s="32"/>
      <c r="B1171" s="36" t="s">
        <v>2036</v>
      </c>
      <c r="C1171" s="37" t="s">
        <v>1965</v>
      </c>
      <c r="D1171" s="38" t="s">
        <v>2037</v>
      </c>
      <c r="E1171" s="39">
        <v>1</v>
      </c>
      <c r="F1171" s="40">
        <v>11.99</v>
      </c>
      <c r="G1171" s="40">
        <f t="shared" si="18"/>
        <v>11.99</v>
      </c>
      <c r="H1171" s="41" t="s">
        <v>24</v>
      </c>
      <c r="I1171" s="41" t="s">
        <v>58</v>
      </c>
      <c r="J1171" s="32"/>
    </row>
    <row r="1172" spans="1:10" x14ac:dyDescent="0.2">
      <c r="A1172" s="32"/>
      <c r="B1172" s="42" t="s">
        <v>2038</v>
      </c>
      <c r="C1172" s="43" t="s">
        <v>1965</v>
      </c>
      <c r="D1172" s="44" t="s">
        <v>2039</v>
      </c>
      <c r="E1172" s="45">
        <v>1</v>
      </c>
      <c r="F1172" s="46">
        <v>18.989999999999998</v>
      </c>
      <c r="G1172" s="46">
        <f t="shared" si="18"/>
        <v>18.989999999999998</v>
      </c>
      <c r="H1172" s="47" t="s">
        <v>24</v>
      </c>
      <c r="I1172" s="47" t="s">
        <v>58</v>
      </c>
      <c r="J1172" s="32"/>
    </row>
    <row r="1173" spans="1:10" x14ac:dyDescent="0.2">
      <c r="A1173" s="32"/>
      <c r="B1173" s="36" t="s">
        <v>2040</v>
      </c>
      <c r="C1173" s="37" t="s">
        <v>1965</v>
      </c>
      <c r="D1173" s="38" t="s">
        <v>2041</v>
      </c>
      <c r="E1173" s="39">
        <v>1</v>
      </c>
      <c r="F1173" s="40">
        <v>11.49</v>
      </c>
      <c r="G1173" s="40">
        <f t="shared" si="18"/>
        <v>11.49</v>
      </c>
      <c r="H1173" s="41" t="s">
        <v>24</v>
      </c>
      <c r="I1173" s="41" t="s">
        <v>58</v>
      </c>
      <c r="J1173" s="32"/>
    </row>
    <row r="1174" spans="1:10" x14ac:dyDescent="0.2">
      <c r="A1174" s="32"/>
      <c r="B1174" s="42" t="s">
        <v>2042</v>
      </c>
      <c r="C1174" s="43" t="s">
        <v>1965</v>
      </c>
      <c r="D1174" s="44" t="s">
        <v>2043</v>
      </c>
      <c r="E1174" s="45">
        <v>1</v>
      </c>
      <c r="F1174" s="46">
        <v>6.9</v>
      </c>
      <c r="G1174" s="46">
        <f t="shared" si="18"/>
        <v>6.9</v>
      </c>
      <c r="H1174" s="47" t="s">
        <v>24</v>
      </c>
      <c r="I1174" s="47" t="s">
        <v>58</v>
      </c>
      <c r="J1174" s="32"/>
    </row>
    <row r="1175" spans="1:10" x14ac:dyDescent="0.2">
      <c r="A1175" s="32"/>
      <c r="B1175" s="36" t="s">
        <v>2044</v>
      </c>
      <c r="C1175" s="37" t="s">
        <v>1965</v>
      </c>
      <c r="D1175" s="38" t="s">
        <v>2045</v>
      </c>
      <c r="E1175" s="39">
        <v>1</v>
      </c>
      <c r="F1175" s="40">
        <v>8.9</v>
      </c>
      <c r="G1175" s="40">
        <f t="shared" si="18"/>
        <v>8.9</v>
      </c>
      <c r="H1175" s="41" t="s">
        <v>24</v>
      </c>
      <c r="I1175" s="41" t="s">
        <v>58</v>
      </c>
      <c r="J1175" s="32"/>
    </row>
    <row r="1176" spans="1:10" x14ac:dyDescent="0.2">
      <c r="A1176" s="32"/>
      <c r="B1176" s="42" t="s">
        <v>2046</v>
      </c>
      <c r="C1176" s="43" t="s">
        <v>1965</v>
      </c>
      <c r="D1176" s="44" t="s">
        <v>2045</v>
      </c>
      <c r="E1176" s="45">
        <v>1</v>
      </c>
      <c r="F1176" s="46">
        <v>8.9</v>
      </c>
      <c r="G1176" s="46">
        <f t="shared" si="18"/>
        <v>8.9</v>
      </c>
      <c r="H1176" s="47" t="s">
        <v>24</v>
      </c>
      <c r="I1176" s="47" t="s">
        <v>58</v>
      </c>
      <c r="J1176" s="32"/>
    </row>
    <row r="1177" spans="1:10" x14ac:dyDescent="0.2">
      <c r="A1177" s="32"/>
      <c r="B1177" s="36" t="s">
        <v>2047</v>
      </c>
      <c r="C1177" s="37" t="s">
        <v>1965</v>
      </c>
      <c r="D1177" s="38" t="s">
        <v>2048</v>
      </c>
      <c r="E1177" s="39">
        <v>1</v>
      </c>
      <c r="F1177" s="40">
        <v>9.99</v>
      </c>
      <c r="G1177" s="40">
        <f t="shared" si="18"/>
        <v>9.99</v>
      </c>
      <c r="H1177" s="41" t="s">
        <v>24</v>
      </c>
      <c r="I1177" s="41" t="s">
        <v>58</v>
      </c>
      <c r="J1177" s="32"/>
    </row>
    <row r="1178" spans="1:10" x14ac:dyDescent="0.2">
      <c r="A1178" s="32"/>
      <c r="B1178" s="42" t="s">
        <v>2049</v>
      </c>
      <c r="C1178" s="43" t="s">
        <v>1965</v>
      </c>
      <c r="D1178" s="44" t="s">
        <v>2045</v>
      </c>
      <c r="E1178" s="45">
        <v>1</v>
      </c>
      <c r="F1178" s="46">
        <v>8.9</v>
      </c>
      <c r="G1178" s="46">
        <f t="shared" si="18"/>
        <v>8.9</v>
      </c>
      <c r="H1178" s="47" t="s">
        <v>24</v>
      </c>
      <c r="I1178" s="47" t="s">
        <v>58</v>
      </c>
      <c r="J1178" s="32"/>
    </row>
    <row r="1179" spans="1:10" x14ac:dyDescent="0.2">
      <c r="A1179" s="32"/>
      <c r="B1179" s="36" t="s">
        <v>2050</v>
      </c>
      <c r="C1179" s="37" t="s">
        <v>1965</v>
      </c>
      <c r="D1179" s="38" t="s">
        <v>2051</v>
      </c>
      <c r="E1179" s="39">
        <v>1</v>
      </c>
      <c r="F1179" s="40">
        <v>15.99</v>
      </c>
      <c r="G1179" s="40">
        <f t="shared" si="18"/>
        <v>15.99</v>
      </c>
      <c r="H1179" s="41" t="s">
        <v>24</v>
      </c>
      <c r="I1179" s="41" t="s">
        <v>58</v>
      </c>
      <c r="J1179" s="32"/>
    </row>
    <row r="1180" spans="1:10" x14ac:dyDescent="0.2">
      <c r="A1180" s="32"/>
      <c r="B1180" s="42" t="s">
        <v>2052</v>
      </c>
      <c r="C1180" s="43" t="s">
        <v>1965</v>
      </c>
      <c r="D1180" s="44" t="s">
        <v>2053</v>
      </c>
      <c r="E1180" s="45">
        <v>1</v>
      </c>
      <c r="F1180" s="46">
        <v>4.8899999999999997</v>
      </c>
      <c r="G1180" s="46">
        <f t="shared" si="18"/>
        <v>4.8899999999999997</v>
      </c>
      <c r="H1180" s="47" t="s">
        <v>24</v>
      </c>
      <c r="I1180" s="47" t="s">
        <v>58</v>
      </c>
      <c r="J1180" s="32"/>
    </row>
    <row r="1181" spans="1:10" x14ac:dyDescent="0.2">
      <c r="A1181" s="32"/>
      <c r="B1181" s="36" t="s">
        <v>2054</v>
      </c>
      <c r="C1181" s="37" t="s">
        <v>1965</v>
      </c>
      <c r="D1181" s="38" t="s">
        <v>2055</v>
      </c>
      <c r="E1181" s="39">
        <v>1</v>
      </c>
      <c r="F1181" s="40">
        <v>4.29</v>
      </c>
      <c r="G1181" s="40">
        <f t="shared" si="18"/>
        <v>4.29</v>
      </c>
      <c r="H1181" s="41" t="s">
        <v>24</v>
      </c>
      <c r="I1181" s="41" t="s">
        <v>58</v>
      </c>
      <c r="J1181" s="32"/>
    </row>
    <row r="1182" spans="1:10" x14ac:dyDescent="0.2">
      <c r="A1182" s="32"/>
      <c r="B1182" s="42" t="s">
        <v>2056</v>
      </c>
      <c r="C1182" s="43" t="s">
        <v>1965</v>
      </c>
      <c r="D1182" s="44" t="s">
        <v>2055</v>
      </c>
      <c r="E1182" s="45">
        <v>1</v>
      </c>
      <c r="F1182" s="46">
        <v>4.29</v>
      </c>
      <c r="G1182" s="46">
        <f t="shared" si="18"/>
        <v>4.29</v>
      </c>
      <c r="H1182" s="47" t="s">
        <v>24</v>
      </c>
      <c r="I1182" s="47" t="s">
        <v>58</v>
      </c>
      <c r="J1182" s="32"/>
    </row>
    <row r="1183" spans="1:10" x14ac:dyDescent="0.2">
      <c r="A1183" s="32"/>
      <c r="B1183" s="36" t="s">
        <v>2057</v>
      </c>
      <c r="C1183" s="37" t="s">
        <v>1965</v>
      </c>
      <c r="D1183" s="38" t="s">
        <v>2058</v>
      </c>
      <c r="E1183" s="39">
        <v>1</v>
      </c>
      <c r="F1183" s="40">
        <v>7.99</v>
      </c>
      <c r="G1183" s="40">
        <f t="shared" si="18"/>
        <v>7.99</v>
      </c>
      <c r="H1183" s="41" t="s">
        <v>24</v>
      </c>
      <c r="I1183" s="41" t="s">
        <v>58</v>
      </c>
      <c r="J1183" s="32"/>
    </row>
    <row r="1184" spans="1:10" x14ac:dyDescent="0.2">
      <c r="A1184" s="32"/>
      <c r="B1184" s="42" t="s">
        <v>2059</v>
      </c>
      <c r="C1184" s="43" t="s">
        <v>1965</v>
      </c>
      <c r="D1184" s="44" t="s">
        <v>2060</v>
      </c>
      <c r="E1184" s="45">
        <v>1</v>
      </c>
      <c r="F1184" s="46">
        <v>17.989999999999998</v>
      </c>
      <c r="G1184" s="46">
        <f t="shared" si="18"/>
        <v>17.989999999999998</v>
      </c>
      <c r="H1184" s="47" t="s">
        <v>24</v>
      </c>
      <c r="I1184" s="47" t="s">
        <v>58</v>
      </c>
      <c r="J1184" s="32"/>
    </row>
    <row r="1185" spans="1:10" x14ac:dyDescent="0.2">
      <c r="A1185" s="32"/>
      <c r="B1185" s="36" t="s">
        <v>2061</v>
      </c>
      <c r="C1185" s="37" t="s">
        <v>1965</v>
      </c>
      <c r="D1185" s="38" t="s">
        <v>2062</v>
      </c>
      <c r="E1185" s="39">
        <v>1</v>
      </c>
      <c r="F1185" s="40">
        <v>16.989999999999998</v>
      </c>
      <c r="G1185" s="40">
        <f t="shared" si="18"/>
        <v>16.989999999999998</v>
      </c>
      <c r="H1185" s="41" t="s">
        <v>24</v>
      </c>
      <c r="I1185" s="41" t="s">
        <v>58</v>
      </c>
      <c r="J1185" s="32"/>
    </row>
    <row r="1186" spans="1:10" x14ac:dyDescent="0.2">
      <c r="A1186" s="32"/>
      <c r="B1186" s="42" t="s">
        <v>2063</v>
      </c>
      <c r="C1186" s="43" t="s">
        <v>1965</v>
      </c>
      <c r="D1186" s="44" t="s">
        <v>2064</v>
      </c>
      <c r="E1186" s="45">
        <v>1</v>
      </c>
      <c r="F1186" s="46">
        <v>8.99</v>
      </c>
      <c r="G1186" s="46">
        <f t="shared" si="18"/>
        <v>8.99</v>
      </c>
      <c r="H1186" s="47" t="s">
        <v>24</v>
      </c>
      <c r="I1186" s="47" t="s">
        <v>58</v>
      </c>
      <c r="J1186" s="32"/>
    </row>
    <row r="1187" spans="1:10" x14ac:dyDescent="0.2">
      <c r="A1187" s="32"/>
      <c r="B1187" s="36" t="s">
        <v>2065</v>
      </c>
      <c r="C1187" s="37" t="s">
        <v>1965</v>
      </c>
      <c r="D1187" s="38" t="s">
        <v>2066</v>
      </c>
      <c r="E1187" s="39">
        <v>1</v>
      </c>
      <c r="F1187" s="40">
        <v>14.99</v>
      </c>
      <c r="G1187" s="40">
        <f t="shared" si="18"/>
        <v>14.99</v>
      </c>
      <c r="H1187" s="41" t="s">
        <v>24</v>
      </c>
      <c r="I1187" s="41" t="s">
        <v>58</v>
      </c>
      <c r="J1187" s="32"/>
    </row>
    <row r="1188" spans="1:10" x14ac:dyDescent="0.2">
      <c r="A1188" s="32"/>
      <c r="B1188" s="42" t="s">
        <v>2067</v>
      </c>
      <c r="C1188" s="43" t="s">
        <v>1965</v>
      </c>
      <c r="D1188" s="44" t="s">
        <v>2068</v>
      </c>
      <c r="E1188" s="45">
        <v>1</v>
      </c>
      <c r="F1188" s="46">
        <v>52.9</v>
      </c>
      <c r="G1188" s="46">
        <f t="shared" si="18"/>
        <v>52.9</v>
      </c>
      <c r="H1188" s="47" t="s">
        <v>24</v>
      </c>
      <c r="I1188" s="47" t="s">
        <v>58</v>
      </c>
      <c r="J1188" s="32"/>
    </row>
    <row r="1189" spans="1:10" x14ac:dyDescent="0.2">
      <c r="A1189" s="32"/>
      <c r="B1189" s="36" t="s">
        <v>2069</v>
      </c>
      <c r="C1189" s="37" t="s">
        <v>1965</v>
      </c>
      <c r="D1189" s="38" t="s">
        <v>2070</v>
      </c>
      <c r="E1189" s="39">
        <v>1</v>
      </c>
      <c r="F1189" s="40">
        <v>69.900000000000006</v>
      </c>
      <c r="G1189" s="40">
        <f t="shared" si="18"/>
        <v>69.900000000000006</v>
      </c>
      <c r="H1189" s="41" t="s">
        <v>24</v>
      </c>
      <c r="I1189" s="41" t="s">
        <v>58</v>
      </c>
      <c r="J1189" s="32"/>
    </row>
    <row r="1190" spans="1:10" x14ac:dyDescent="0.2">
      <c r="A1190" s="32"/>
      <c r="B1190" s="42" t="s">
        <v>2071</v>
      </c>
      <c r="C1190" s="43" t="s">
        <v>1965</v>
      </c>
      <c r="D1190" s="44" t="s">
        <v>2072</v>
      </c>
      <c r="E1190" s="45">
        <v>1</v>
      </c>
      <c r="F1190" s="46">
        <v>22.99</v>
      </c>
      <c r="G1190" s="46">
        <f t="shared" si="18"/>
        <v>22.99</v>
      </c>
      <c r="H1190" s="47" t="s">
        <v>24</v>
      </c>
      <c r="I1190" s="47" t="s">
        <v>58</v>
      </c>
      <c r="J1190" s="32"/>
    </row>
    <row r="1191" spans="1:10" x14ac:dyDescent="0.2">
      <c r="A1191" s="32"/>
      <c r="B1191" s="36" t="s">
        <v>2073</v>
      </c>
      <c r="C1191" s="37" t="s">
        <v>1965</v>
      </c>
      <c r="D1191" s="38" t="s">
        <v>2074</v>
      </c>
      <c r="E1191" s="39">
        <v>1</v>
      </c>
      <c r="F1191" s="40">
        <v>5.99</v>
      </c>
      <c r="G1191" s="40">
        <f t="shared" si="18"/>
        <v>5.99</v>
      </c>
      <c r="H1191" s="41" t="s">
        <v>24</v>
      </c>
      <c r="I1191" s="41" t="s">
        <v>58</v>
      </c>
      <c r="J1191" s="32"/>
    </row>
    <row r="1192" spans="1:10" x14ac:dyDescent="0.2">
      <c r="A1192" s="32"/>
      <c r="B1192" s="42" t="s">
        <v>2075</v>
      </c>
      <c r="C1192" s="43" t="s">
        <v>1965</v>
      </c>
      <c r="D1192" s="44" t="s">
        <v>2076</v>
      </c>
      <c r="E1192" s="45">
        <v>1</v>
      </c>
      <c r="F1192" s="46">
        <v>6.49</v>
      </c>
      <c r="G1192" s="46">
        <f t="shared" si="18"/>
        <v>6.49</v>
      </c>
      <c r="H1192" s="47" t="s">
        <v>24</v>
      </c>
      <c r="I1192" s="47" t="s">
        <v>58</v>
      </c>
      <c r="J1192" s="32"/>
    </row>
    <row r="1193" spans="1:10" x14ac:dyDescent="0.2">
      <c r="A1193" s="32"/>
      <c r="B1193" s="36" t="s">
        <v>2077</v>
      </c>
      <c r="C1193" s="37" t="s">
        <v>1965</v>
      </c>
      <c r="D1193" s="38" t="s">
        <v>2076</v>
      </c>
      <c r="E1193" s="39">
        <v>1</v>
      </c>
      <c r="F1193" s="40">
        <v>6.49</v>
      </c>
      <c r="G1193" s="40">
        <f t="shared" si="18"/>
        <v>6.49</v>
      </c>
      <c r="H1193" s="41" t="s">
        <v>24</v>
      </c>
      <c r="I1193" s="41" t="s">
        <v>58</v>
      </c>
      <c r="J1193" s="32"/>
    </row>
    <row r="1194" spans="1:10" x14ac:dyDescent="0.2">
      <c r="A1194" s="32"/>
      <c r="B1194" s="42" t="s">
        <v>2078</v>
      </c>
      <c r="C1194" s="43" t="s">
        <v>1965</v>
      </c>
      <c r="D1194" s="44" t="s">
        <v>2079</v>
      </c>
      <c r="E1194" s="45">
        <v>1</v>
      </c>
      <c r="F1194" s="46">
        <v>5.99</v>
      </c>
      <c r="G1194" s="46">
        <f t="shared" si="18"/>
        <v>5.99</v>
      </c>
      <c r="H1194" s="47" t="s">
        <v>24</v>
      </c>
      <c r="I1194" s="47" t="s">
        <v>58</v>
      </c>
      <c r="J1194" s="32"/>
    </row>
    <row r="1195" spans="1:10" x14ac:dyDescent="0.2">
      <c r="A1195" s="32"/>
      <c r="B1195" s="36" t="s">
        <v>2080</v>
      </c>
      <c r="C1195" s="37" t="s">
        <v>1965</v>
      </c>
      <c r="D1195" s="38" t="s">
        <v>2081</v>
      </c>
      <c r="E1195" s="39">
        <v>1</v>
      </c>
      <c r="F1195" s="40">
        <v>5.49</v>
      </c>
      <c r="G1195" s="40">
        <f t="shared" si="18"/>
        <v>5.49</v>
      </c>
      <c r="H1195" s="41" t="s">
        <v>24</v>
      </c>
      <c r="I1195" s="41" t="s">
        <v>58</v>
      </c>
      <c r="J1195" s="32"/>
    </row>
    <row r="1196" spans="1:10" x14ac:dyDescent="0.2">
      <c r="A1196" s="32"/>
      <c r="B1196" s="42" t="s">
        <v>2082</v>
      </c>
      <c r="C1196" s="43" t="s">
        <v>1965</v>
      </c>
      <c r="D1196" s="44" t="s">
        <v>2083</v>
      </c>
      <c r="E1196" s="45">
        <v>1</v>
      </c>
      <c r="F1196" s="46">
        <v>6.99</v>
      </c>
      <c r="G1196" s="46">
        <f t="shared" si="18"/>
        <v>6.99</v>
      </c>
      <c r="H1196" s="47" t="s">
        <v>24</v>
      </c>
      <c r="I1196" s="47" t="s">
        <v>58</v>
      </c>
      <c r="J1196" s="32"/>
    </row>
    <row r="1197" spans="1:10" x14ac:dyDescent="0.2">
      <c r="A1197" s="32"/>
      <c r="B1197" s="36" t="s">
        <v>2084</v>
      </c>
      <c r="C1197" s="37" t="s">
        <v>1965</v>
      </c>
      <c r="D1197" s="38" t="s">
        <v>2083</v>
      </c>
      <c r="E1197" s="39">
        <v>1</v>
      </c>
      <c r="F1197" s="40">
        <v>6.99</v>
      </c>
      <c r="G1197" s="40">
        <f t="shared" si="18"/>
        <v>6.99</v>
      </c>
      <c r="H1197" s="41" t="s">
        <v>24</v>
      </c>
      <c r="I1197" s="41" t="s">
        <v>58</v>
      </c>
      <c r="J1197" s="32"/>
    </row>
    <row r="1198" spans="1:10" x14ac:dyDescent="0.2">
      <c r="A1198" s="32"/>
      <c r="B1198" s="42" t="s">
        <v>2085</v>
      </c>
      <c r="C1198" s="43" t="s">
        <v>1965</v>
      </c>
      <c r="D1198" s="44" t="s">
        <v>2086</v>
      </c>
      <c r="E1198" s="45">
        <v>1</v>
      </c>
      <c r="F1198" s="46">
        <v>19.989999999999998</v>
      </c>
      <c r="G1198" s="46">
        <f t="shared" si="18"/>
        <v>19.989999999999998</v>
      </c>
      <c r="H1198" s="47" t="s">
        <v>24</v>
      </c>
      <c r="I1198" s="47" t="s">
        <v>58</v>
      </c>
      <c r="J1198" s="32"/>
    </row>
    <row r="1199" spans="1:10" x14ac:dyDescent="0.2">
      <c r="A1199" s="32"/>
      <c r="B1199" s="36" t="s">
        <v>2087</v>
      </c>
      <c r="C1199" s="37" t="s">
        <v>1965</v>
      </c>
      <c r="D1199" s="38" t="s">
        <v>2079</v>
      </c>
      <c r="E1199" s="39">
        <v>1</v>
      </c>
      <c r="F1199" s="40">
        <v>5.99</v>
      </c>
      <c r="G1199" s="40">
        <f t="shared" si="18"/>
        <v>5.99</v>
      </c>
      <c r="H1199" s="41" t="s">
        <v>24</v>
      </c>
      <c r="I1199" s="41" t="s">
        <v>58</v>
      </c>
      <c r="J1199" s="32"/>
    </row>
    <row r="1200" spans="1:10" x14ac:dyDescent="0.2">
      <c r="A1200" s="32"/>
      <c r="B1200" s="42" t="s">
        <v>2088</v>
      </c>
      <c r="C1200" s="43" t="s">
        <v>1965</v>
      </c>
      <c r="D1200" s="44" t="s">
        <v>2089</v>
      </c>
      <c r="E1200" s="45">
        <v>1</v>
      </c>
      <c r="F1200" s="46">
        <v>15.9</v>
      </c>
      <c r="G1200" s="46">
        <f t="shared" si="18"/>
        <v>15.9</v>
      </c>
      <c r="H1200" s="47" t="s">
        <v>24</v>
      </c>
      <c r="I1200" s="47" t="s">
        <v>58</v>
      </c>
      <c r="J1200" s="32"/>
    </row>
    <row r="1201" spans="1:10" x14ac:dyDescent="0.2">
      <c r="A1201" s="32"/>
      <c r="B1201" s="36" t="s">
        <v>2090</v>
      </c>
      <c r="C1201" s="37" t="s">
        <v>1965</v>
      </c>
      <c r="D1201" s="38" t="s">
        <v>2091</v>
      </c>
      <c r="E1201" s="39">
        <v>1</v>
      </c>
      <c r="F1201" s="40">
        <v>5.99</v>
      </c>
      <c r="G1201" s="40">
        <f t="shared" si="18"/>
        <v>5.99</v>
      </c>
      <c r="H1201" s="41" t="s">
        <v>25</v>
      </c>
      <c r="I1201" s="41" t="s">
        <v>58</v>
      </c>
      <c r="J1201" s="32"/>
    </row>
    <row r="1202" spans="1:10" x14ac:dyDescent="0.2">
      <c r="A1202" s="32"/>
      <c r="B1202" s="42" t="s">
        <v>2092</v>
      </c>
      <c r="C1202" s="43" t="s">
        <v>1965</v>
      </c>
      <c r="D1202" s="44" t="s">
        <v>2093</v>
      </c>
      <c r="E1202" s="45">
        <v>1</v>
      </c>
      <c r="F1202" s="46">
        <v>4.99</v>
      </c>
      <c r="G1202" s="46">
        <f t="shared" si="18"/>
        <v>4.99</v>
      </c>
      <c r="H1202" s="47" t="s">
        <v>25</v>
      </c>
      <c r="I1202" s="47" t="s">
        <v>58</v>
      </c>
      <c r="J1202" s="32"/>
    </row>
    <row r="1203" spans="1:10" x14ac:dyDescent="0.2">
      <c r="A1203" s="32"/>
      <c r="B1203" s="36" t="s">
        <v>2094</v>
      </c>
      <c r="C1203" s="37" t="s">
        <v>1965</v>
      </c>
      <c r="D1203" s="38" t="s">
        <v>2093</v>
      </c>
      <c r="E1203" s="39">
        <v>1</v>
      </c>
      <c r="F1203" s="40">
        <v>4.99</v>
      </c>
      <c r="G1203" s="40">
        <f t="shared" si="18"/>
        <v>4.99</v>
      </c>
      <c r="H1203" s="41" t="s">
        <v>25</v>
      </c>
      <c r="I1203" s="41" t="s">
        <v>58</v>
      </c>
      <c r="J1203" s="32"/>
    </row>
    <row r="1204" spans="1:10" x14ac:dyDescent="0.2">
      <c r="A1204" s="32"/>
      <c r="B1204" s="42" t="s">
        <v>2095</v>
      </c>
      <c r="C1204" s="43" t="s">
        <v>1965</v>
      </c>
      <c r="D1204" s="44" t="s">
        <v>2096</v>
      </c>
      <c r="E1204" s="45">
        <v>1</v>
      </c>
      <c r="F1204" s="46">
        <v>5.99</v>
      </c>
      <c r="G1204" s="46">
        <f t="shared" si="18"/>
        <v>5.99</v>
      </c>
      <c r="H1204" s="47" t="s">
        <v>25</v>
      </c>
      <c r="I1204" s="47" t="s">
        <v>58</v>
      </c>
      <c r="J1204" s="32"/>
    </row>
    <row r="1205" spans="1:10" x14ac:dyDescent="0.2">
      <c r="A1205" s="32"/>
      <c r="B1205" s="36" t="s">
        <v>2097</v>
      </c>
      <c r="C1205" s="37" t="s">
        <v>1965</v>
      </c>
      <c r="D1205" s="38" t="s">
        <v>2098</v>
      </c>
      <c r="E1205" s="39">
        <v>1</v>
      </c>
      <c r="F1205" s="40">
        <v>11.99</v>
      </c>
      <c r="G1205" s="40">
        <f t="shared" si="18"/>
        <v>11.99</v>
      </c>
      <c r="H1205" s="41" t="s">
        <v>25</v>
      </c>
      <c r="I1205" s="41" t="s">
        <v>58</v>
      </c>
      <c r="J1205" s="32"/>
    </row>
    <row r="1206" spans="1:10" x14ac:dyDescent="0.2">
      <c r="A1206" s="32"/>
      <c r="B1206" s="42" t="s">
        <v>2099</v>
      </c>
      <c r="C1206" s="43" t="s">
        <v>1965</v>
      </c>
      <c r="D1206" s="44" t="s">
        <v>2100</v>
      </c>
      <c r="E1206" s="45">
        <v>1</v>
      </c>
      <c r="F1206" s="46">
        <v>2.99</v>
      </c>
      <c r="G1206" s="46">
        <f t="shared" si="18"/>
        <v>2.99</v>
      </c>
      <c r="H1206" s="47" t="s">
        <v>24</v>
      </c>
      <c r="I1206" s="47" t="s">
        <v>58</v>
      </c>
      <c r="J1206" s="32"/>
    </row>
    <row r="1207" spans="1:10" x14ac:dyDescent="0.2">
      <c r="A1207" s="32"/>
      <c r="B1207" s="36" t="s">
        <v>2101</v>
      </c>
      <c r="C1207" s="37" t="s">
        <v>1965</v>
      </c>
      <c r="D1207" s="38" t="s">
        <v>1603</v>
      </c>
      <c r="E1207" s="39">
        <v>1</v>
      </c>
      <c r="F1207" s="40">
        <v>2.99</v>
      </c>
      <c r="G1207" s="40">
        <f t="shared" si="18"/>
        <v>2.99</v>
      </c>
      <c r="H1207" s="41" t="s">
        <v>24</v>
      </c>
      <c r="I1207" s="41" t="s">
        <v>58</v>
      </c>
      <c r="J1207" s="32"/>
    </row>
    <row r="1208" spans="1:10" x14ac:dyDescent="0.2">
      <c r="A1208" s="32"/>
      <c r="B1208" s="42" t="s">
        <v>2102</v>
      </c>
      <c r="C1208" s="43" t="s">
        <v>1965</v>
      </c>
      <c r="D1208" s="44" t="s">
        <v>2103</v>
      </c>
      <c r="E1208" s="45">
        <v>1</v>
      </c>
      <c r="F1208" s="46">
        <v>0.99</v>
      </c>
      <c r="G1208" s="46">
        <f t="shared" si="18"/>
        <v>0.99</v>
      </c>
      <c r="H1208" s="47" t="s">
        <v>24</v>
      </c>
      <c r="I1208" s="47" t="s">
        <v>58</v>
      </c>
      <c r="J1208" s="32"/>
    </row>
    <row r="1209" spans="1:10" x14ac:dyDescent="0.2">
      <c r="A1209" s="32"/>
      <c r="B1209" s="36" t="s">
        <v>2104</v>
      </c>
      <c r="C1209" s="37" t="s">
        <v>2105</v>
      </c>
      <c r="D1209" s="38" t="s">
        <v>2106</v>
      </c>
      <c r="E1209" s="39">
        <v>1</v>
      </c>
      <c r="F1209" s="40">
        <v>21.99</v>
      </c>
      <c r="G1209" s="40">
        <f t="shared" si="18"/>
        <v>21.99</v>
      </c>
      <c r="H1209" s="41" t="s">
        <v>24</v>
      </c>
      <c r="I1209" s="41" t="s">
        <v>58</v>
      </c>
      <c r="J1209" s="32"/>
    </row>
    <row r="1210" spans="1:10" x14ac:dyDescent="0.2">
      <c r="A1210" s="32"/>
      <c r="B1210" s="42" t="s">
        <v>2107</v>
      </c>
      <c r="C1210" s="43" t="s">
        <v>2105</v>
      </c>
      <c r="D1210" s="44" t="s">
        <v>2108</v>
      </c>
      <c r="E1210" s="45">
        <v>1</v>
      </c>
      <c r="F1210" s="46">
        <v>21.99</v>
      </c>
      <c r="G1210" s="46">
        <f t="shared" si="18"/>
        <v>21.99</v>
      </c>
      <c r="H1210" s="47" t="s">
        <v>24</v>
      </c>
      <c r="I1210" s="47" t="s">
        <v>58</v>
      </c>
      <c r="J1210" s="32"/>
    </row>
    <row r="1211" spans="1:10" x14ac:dyDescent="0.2">
      <c r="A1211" s="32"/>
      <c r="B1211" s="36" t="s">
        <v>2109</v>
      </c>
      <c r="C1211" s="37" t="s">
        <v>2105</v>
      </c>
      <c r="D1211" s="38" t="s">
        <v>2079</v>
      </c>
      <c r="E1211" s="39">
        <v>1</v>
      </c>
      <c r="F1211" s="40">
        <v>5.99</v>
      </c>
      <c r="G1211" s="40">
        <f t="shared" si="18"/>
        <v>5.99</v>
      </c>
      <c r="H1211" s="41" t="s">
        <v>24</v>
      </c>
      <c r="I1211" s="41" t="s">
        <v>58</v>
      </c>
      <c r="J1211" s="32"/>
    </row>
    <row r="1212" spans="1:10" x14ac:dyDescent="0.2">
      <c r="A1212" s="32"/>
      <c r="B1212" s="42" t="s">
        <v>2110</v>
      </c>
      <c r="C1212" s="43" t="s">
        <v>2105</v>
      </c>
      <c r="D1212" s="44" t="s">
        <v>2079</v>
      </c>
      <c r="E1212" s="45">
        <v>1</v>
      </c>
      <c r="F1212" s="46">
        <v>5.99</v>
      </c>
      <c r="G1212" s="46">
        <f t="shared" si="18"/>
        <v>5.99</v>
      </c>
      <c r="H1212" s="47" t="s">
        <v>24</v>
      </c>
      <c r="I1212" s="47" t="s">
        <v>58</v>
      </c>
      <c r="J1212" s="32"/>
    </row>
    <row r="1213" spans="1:10" x14ac:dyDescent="0.2">
      <c r="A1213" s="32"/>
      <c r="B1213" s="36" t="s">
        <v>2111</v>
      </c>
      <c r="C1213" s="37" t="s">
        <v>2105</v>
      </c>
      <c r="D1213" s="38" t="s">
        <v>2007</v>
      </c>
      <c r="E1213" s="39">
        <v>1</v>
      </c>
      <c r="F1213" s="40">
        <v>10.99</v>
      </c>
      <c r="G1213" s="40">
        <f t="shared" si="18"/>
        <v>10.99</v>
      </c>
      <c r="H1213" s="41" t="s">
        <v>24</v>
      </c>
      <c r="I1213" s="41" t="s">
        <v>58</v>
      </c>
      <c r="J1213" s="32"/>
    </row>
    <row r="1214" spans="1:10" x14ac:dyDescent="0.2">
      <c r="A1214" s="32"/>
      <c r="B1214" s="42" t="s">
        <v>2112</v>
      </c>
      <c r="C1214" s="43" t="s">
        <v>2105</v>
      </c>
      <c r="D1214" s="44" t="s">
        <v>2048</v>
      </c>
      <c r="E1214" s="45">
        <v>1</v>
      </c>
      <c r="F1214" s="46">
        <v>7.99</v>
      </c>
      <c r="G1214" s="46">
        <f t="shared" si="18"/>
        <v>7.99</v>
      </c>
      <c r="H1214" s="47" t="s">
        <v>24</v>
      </c>
      <c r="I1214" s="47" t="s">
        <v>58</v>
      </c>
      <c r="J1214" s="32"/>
    </row>
    <row r="1215" spans="1:10" x14ac:dyDescent="0.2">
      <c r="A1215" s="32"/>
      <c r="B1215" s="36" t="s">
        <v>2113</v>
      </c>
      <c r="C1215" s="37" t="s">
        <v>2105</v>
      </c>
      <c r="D1215" s="38" t="s">
        <v>2114</v>
      </c>
      <c r="E1215" s="39">
        <v>1</v>
      </c>
      <c r="F1215" s="40">
        <v>4.99</v>
      </c>
      <c r="G1215" s="40">
        <f t="shared" si="18"/>
        <v>4.99</v>
      </c>
      <c r="H1215" s="41" t="s">
        <v>24</v>
      </c>
      <c r="I1215" s="41" t="s">
        <v>58</v>
      </c>
      <c r="J1215" s="32"/>
    </row>
    <row r="1216" spans="1:10" x14ac:dyDescent="0.2">
      <c r="A1216" s="32"/>
      <c r="B1216" s="42" t="s">
        <v>2115</v>
      </c>
      <c r="C1216" s="43" t="s">
        <v>2105</v>
      </c>
      <c r="D1216" s="44" t="s">
        <v>2116</v>
      </c>
      <c r="E1216" s="45">
        <v>1</v>
      </c>
      <c r="F1216" s="46">
        <v>38.9</v>
      </c>
      <c r="G1216" s="46">
        <f t="shared" si="18"/>
        <v>38.9</v>
      </c>
      <c r="H1216" s="47" t="s">
        <v>24</v>
      </c>
      <c r="I1216" s="47" t="s">
        <v>58</v>
      </c>
      <c r="J1216" s="32"/>
    </row>
    <row r="1217" spans="1:10" x14ac:dyDescent="0.2">
      <c r="A1217" s="32"/>
      <c r="B1217" s="36" t="s">
        <v>2117</v>
      </c>
      <c r="C1217" s="37" t="s">
        <v>2105</v>
      </c>
      <c r="D1217" s="38" t="s">
        <v>2000</v>
      </c>
      <c r="E1217" s="39">
        <v>1</v>
      </c>
      <c r="F1217" s="40">
        <v>44.9</v>
      </c>
      <c r="G1217" s="40">
        <f t="shared" si="18"/>
        <v>44.9</v>
      </c>
      <c r="H1217" s="41" t="s">
        <v>24</v>
      </c>
      <c r="I1217" s="41" t="s">
        <v>58</v>
      </c>
      <c r="J1217" s="32"/>
    </row>
    <row r="1218" spans="1:10" x14ac:dyDescent="0.2">
      <c r="A1218" s="32"/>
      <c r="B1218" s="42" t="s">
        <v>2118</v>
      </c>
      <c r="C1218" s="43" t="s">
        <v>2105</v>
      </c>
      <c r="D1218" s="44" t="s">
        <v>2119</v>
      </c>
      <c r="E1218" s="45">
        <v>1</v>
      </c>
      <c r="F1218" s="46">
        <v>5.99</v>
      </c>
      <c r="G1218" s="46">
        <f t="shared" si="18"/>
        <v>5.99</v>
      </c>
      <c r="H1218" s="47" t="s">
        <v>24</v>
      </c>
      <c r="I1218" s="47" t="s">
        <v>58</v>
      </c>
      <c r="J1218" s="32"/>
    </row>
    <row r="1219" spans="1:10" x14ac:dyDescent="0.2">
      <c r="A1219" s="32"/>
      <c r="B1219" s="36" t="s">
        <v>2120</v>
      </c>
      <c r="C1219" s="37" t="s">
        <v>2105</v>
      </c>
      <c r="D1219" s="38" t="s">
        <v>2000</v>
      </c>
      <c r="E1219" s="39">
        <v>1</v>
      </c>
      <c r="F1219" s="40">
        <v>44.9</v>
      </c>
      <c r="G1219" s="40">
        <f t="shared" si="18"/>
        <v>44.9</v>
      </c>
      <c r="H1219" s="41" t="s">
        <v>24</v>
      </c>
      <c r="I1219" s="41" t="s">
        <v>58</v>
      </c>
      <c r="J1219" s="32"/>
    </row>
    <row r="1220" spans="1:10" x14ac:dyDescent="0.2">
      <c r="A1220" s="32"/>
      <c r="B1220" s="42" t="s">
        <v>2121</v>
      </c>
      <c r="C1220" s="43" t="s">
        <v>2105</v>
      </c>
      <c r="D1220" s="44" t="s">
        <v>2122</v>
      </c>
      <c r="E1220" s="45">
        <v>1</v>
      </c>
      <c r="F1220" s="46">
        <v>35.9</v>
      </c>
      <c r="G1220" s="46">
        <f t="shared" si="18"/>
        <v>35.9</v>
      </c>
      <c r="H1220" s="47" t="s">
        <v>24</v>
      </c>
      <c r="I1220" s="47" t="s">
        <v>58</v>
      </c>
      <c r="J1220" s="32"/>
    </row>
    <row r="1221" spans="1:10" x14ac:dyDescent="0.2">
      <c r="A1221" s="32"/>
      <c r="B1221" s="36" t="s">
        <v>2123</v>
      </c>
      <c r="C1221" s="37" t="s">
        <v>2105</v>
      </c>
      <c r="D1221" s="38" t="s">
        <v>2124</v>
      </c>
      <c r="E1221" s="39">
        <v>1</v>
      </c>
      <c r="F1221" s="40">
        <v>14.99</v>
      </c>
      <c r="G1221" s="40">
        <f t="shared" ref="G1221:G1284" si="19">E1221*F1221</f>
        <v>14.99</v>
      </c>
      <c r="H1221" s="41" t="s">
        <v>24</v>
      </c>
      <c r="I1221" s="41" t="s">
        <v>58</v>
      </c>
      <c r="J1221" s="32"/>
    </row>
    <row r="1222" spans="1:10" x14ac:dyDescent="0.2">
      <c r="A1222" s="32"/>
      <c r="B1222" s="42" t="s">
        <v>2125</v>
      </c>
      <c r="C1222" s="43" t="s">
        <v>2105</v>
      </c>
      <c r="D1222" s="44" t="s">
        <v>2126</v>
      </c>
      <c r="E1222" s="45">
        <v>1</v>
      </c>
      <c r="F1222" s="46">
        <v>5.99</v>
      </c>
      <c r="G1222" s="46">
        <f t="shared" si="19"/>
        <v>5.99</v>
      </c>
      <c r="H1222" s="47" t="s">
        <v>24</v>
      </c>
      <c r="I1222" s="47" t="s">
        <v>58</v>
      </c>
      <c r="J1222" s="32"/>
    </row>
    <row r="1223" spans="1:10" x14ac:dyDescent="0.2">
      <c r="A1223" s="32"/>
      <c r="B1223" s="36" t="s">
        <v>2127</v>
      </c>
      <c r="C1223" s="37" t="s">
        <v>2105</v>
      </c>
      <c r="D1223" s="38" t="s">
        <v>2128</v>
      </c>
      <c r="E1223" s="39">
        <v>1</v>
      </c>
      <c r="F1223" s="40">
        <v>9.99</v>
      </c>
      <c r="G1223" s="40">
        <f t="shared" si="19"/>
        <v>9.99</v>
      </c>
      <c r="H1223" s="41" t="s">
        <v>24</v>
      </c>
      <c r="I1223" s="41" t="s">
        <v>58</v>
      </c>
      <c r="J1223" s="32"/>
    </row>
    <row r="1224" spans="1:10" x14ac:dyDescent="0.2">
      <c r="A1224" s="32"/>
      <c r="B1224" s="42" t="s">
        <v>2129</v>
      </c>
      <c r="C1224" s="43" t="s">
        <v>2105</v>
      </c>
      <c r="D1224" s="44" t="s">
        <v>2019</v>
      </c>
      <c r="E1224" s="45">
        <v>1</v>
      </c>
      <c r="F1224" s="46">
        <v>3.99</v>
      </c>
      <c r="G1224" s="46">
        <f t="shared" si="19"/>
        <v>3.99</v>
      </c>
      <c r="H1224" s="47" t="s">
        <v>24</v>
      </c>
      <c r="I1224" s="47" t="s">
        <v>58</v>
      </c>
      <c r="J1224" s="32"/>
    </row>
    <row r="1225" spans="1:10" x14ac:dyDescent="0.2">
      <c r="A1225" s="32"/>
      <c r="B1225" s="36" t="s">
        <v>2130</v>
      </c>
      <c r="C1225" s="37" t="s">
        <v>2105</v>
      </c>
      <c r="D1225" s="38" t="s">
        <v>2131</v>
      </c>
      <c r="E1225" s="39">
        <v>1</v>
      </c>
      <c r="F1225" s="40">
        <v>3.99</v>
      </c>
      <c r="G1225" s="40">
        <f t="shared" si="19"/>
        <v>3.99</v>
      </c>
      <c r="H1225" s="41" t="s">
        <v>24</v>
      </c>
      <c r="I1225" s="41" t="s">
        <v>58</v>
      </c>
      <c r="J1225" s="32"/>
    </row>
    <row r="1226" spans="1:10" x14ac:dyDescent="0.2">
      <c r="A1226" s="32"/>
      <c r="B1226" s="42" t="s">
        <v>2132</v>
      </c>
      <c r="C1226" s="43" t="s">
        <v>2105</v>
      </c>
      <c r="D1226" s="44" t="s">
        <v>2133</v>
      </c>
      <c r="E1226" s="45">
        <v>1</v>
      </c>
      <c r="F1226" s="46">
        <v>11.59</v>
      </c>
      <c r="G1226" s="46">
        <f t="shared" si="19"/>
        <v>11.59</v>
      </c>
      <c r="H1226" s="47" t="s">
        <v>24</v>
      </c>
      <c r="I1226" s="47" t="s">
        <v>58</v>
      </c>
      <c r="J1226" s="32"/>
    </row>
    <row r="1227" spans="1:10" x14ac:dyDescent="0.2">
      <c r="A1227" s="32"/>
      <c r="B1227" s="36" t="s">
        <v>2134</v>
      </c>
      <c r="C1227" s="37" t="s">
        <v>2105</v>
      </c>
      <c r="D1227" s="38" t="s">
        <v>2135</v>
      </c>
      <c r="E1227" s="39">
        <v>1</v>
      </c>
      <c r="F1227" s="40">
        <v>4.99</v>
      </c>
      <c r="G1227" s="40">
        <f t="shared" si="19"/>
        <v>4.99</v>
      </c>
      <c r="H1227" s="41" t="s">
        <v>24</v>
      </c>
      <c r="I1227" s="41" t="s">
        <v>58</v>
      </c>
      <c r="J1227" s="32"/>
    </row>
    <row r="1228" spans="1:10" x14ac:dyDescent="0.2">
      <c r="A1228" s="32"/>
      <c r="B1228" s="42" t="s">
        <v>2136</v>
      </c>
      <c r="C1228" s="43" t="s">
        <v>2105</v>
      </c>
      <c r="D1228" s="44" t="s">
        <v>2137</v>
      </c>
      <c r="E1228" s="45">
        <v>1</v>
      </c>
      <c r="F1228" s="46">
        <v>9.99</v>
      </c>
      <c r="G1228" s="46">
        <f t="shared" si="19"/>
        <v>9.99</v>
      </c>
      <c r="H1228" s="47" t="s">
        <v>24</v>
      </c>
      <c r="I1228" s="47" t="s">
        <v>58</v>
      </c>
      <c r="J1228" s="32"/>
    </row>
    <row r="1229" spans="1:10" x14ac:dyDescent="0.2">
      <c r="A1229" s="32"/>
      <c r="B1229" s="36" t="s">
        <v>2138</v>
      </c>
      <c r="C1229" s="37" t="s">
        <v>2105</v>
      </c>
      <c r="D1229" s="38" t="s">
        <v>2139</v>
      </c>
      <c r="E1229" s="39">
        <v>1</v>
      </c>
      <c r="F1229" s="40">
        <v>3.69</v>
      </c>
      <c r="G1229" s="40">
        <f t="shared" si="19"/>
        <v>3.69</v>
      </c>
      <c r="H1229" s="41" t="s">
        <v>24</v>
      </c>
      <c r="I1229" s="41" t="s">
        <v>58</v>
      </c>
      <c r="J1229" s="32"/>
    </row>
    <row r="1230" spans="1:10" x14ac:dyDescent="0.2">
      <c r="A1230" s="32"/>
      <c r="B1230" s="42" t="s">
        <v>2140</v>
      </c>
      <c r="C1230" s="43" t="s">
        <v>2105</v>
      </c>
      <c r="D1230" s="44" t="s">
        <v>2141</v>
      </c>
      <c r="E1230" s="45">
        <v>1</v>
      </c>
      <c r="F1230" s="46">
        <v>6.99</v>
      </c>
      <c r="G1230" s="46">
        <f t="shared" si="19"/>
        <v>6.99</v>
      </c>
      <c r="H1230" s="47" t="s">
        <v>24</v>
      </c>
      <c r="I1230" s="47" t="s">
        <v>58</v>
      </c>
      <c r="J1230" s="32"/>
    </row>
    <row r="1231" spans="1:10" x14ac:dyDescent="0.2">
      <c r="A1231" s="32"/>
      <c r="B1231" s="36" t="s">
        <v>2142</v>
      </c>
      <c r="C1231" s="37" t="s">
        <v>2105</v>
      </c>
      <c r="D1231" s="38" t="s">
        <v>2143</v>
      </c>
      <c r="E1231" s="39">
        <v>1</v>
      </c>
      <c r="F1231" s="40">
        <v>11.99</v>
      </c>
      <c r="G1231" s="40">
        <f t="shared" si="19"/>
        <v>11.99</v>
      </c>
      <c r="H1231" s="41" t="s">
        <v>24</v>
      </c>
      <c r="I1231" s="41" t="s">
        <v>58</v>
      </c>
      <c r="J1231" s="32"/>
    </row>
    <row r="1232" spans="1:10" x14ac:dyDescent="0.2">
      <c r="A1232" s="32"/>
      <c r="B1232" s="42" t="s">
        <v>2144</v>
      </c>
      <c r="C1232" s="43" t="s">
        <v>2105</v>
      </c>
      <c r="D1232" s="44" t="s">
        <v>2064</v>
      </c>
      <c r="E1232" s="45">
        <v>1</v>
      </c>
      <c r="F1232" s="46">
        <v>8.99</v>
      </c>
      <c r="G1232" s="46">
        <f t="shared" si="19"/>
        <v>8.99</v>
      </c>
      <c r="H1232" s="47" t="s">
        <v>24</v>
      </c>
      <c r="I1232" s="47" t="s">
        <v>58</v>
      </c>
      <c r="J1232" s="32"/>
    </row>
    <row r="1233" spans="1:10" x14ac:dyDescent="0.2">
      <c r="A1233" s="32"/>
      <c r="B1233" s="36" t="s">
        <v>2145</v>
      </c>
      <c r="C1233" s="37" t="s">
        <v>2105</v>
      </c>
      <c r="D1233" s="38" t="s">
        <v>2146</v>
      </c>
      <c r="E1233" s="39">
        <v>1</v>
      </c>
      <c r="F1233" s="40">
        <v>25.9</v>
      </c>
      <c r="G1233" s="40">
        <f t="shared" si="19"/>
        <v>25.9</v>
      </c>
      <c r="H1233" s="41" t="s">
        <v>24</v>
      </c>
      <c r="I1233" s="41" t="s">
        <v>58</v>
      </c>
      <c r="J1233" s="32"/>
    </row>
    <row r="1234" spans="1:10" x14ac:dyDescent="0.2">
      <c r="A1234" s="32"/>
      <c r="B1234" s="42" t="s">
        <v>2147</v>
      </c>
      <c r="C1234" s="43" t="s">
        <v>2105</v>
      </c>
      <c r="D1234" s="44" t="s">
        <v>2148</v>
      </c>
      <c r="E1234" s="45">
        <v>1</v>
      </c>
      <c r="F1234" s="46">
        <v>1.79</v>
      </c>
      <c r="G1234" s="46">
        <f t="shared" si="19"/>
        <v>1.79</v>
      </c>
      <c r="H1234" s="47" t="s">
        <v>24</v>
      </c>
      <c r="I1234" s="47" t="s">
        <v>58</v>
      </c>
      <c r="J1234" s="32"/>
    </row>
    <row r="1235" spans="1:10" x14ac:dyDescent="0.2">
      <c r="A1235" s="32"/>
      <c r="B1235" s="36" t="s">
        <v>2149</v>
      </c>
      <c r="C1235" s="37" t="s">
        <v>2105</v>
      </c>
      <c r="D1235" s="38" t="s">
        <v>2068</v>
      </c>
      <c r="E1235" s="39">
        <v>1</v>
      </c>
      <c r="F1235" s="40">
        <v>52.9</v>
      </c>
      <c r="G1235" s="40">
        <f t="shared" si="19"/>
        <v>52.9</v>
      </c>
      <c r="H1235" s="41" t="s">
        <v>24</v>
      </c>
      <c r="I1235" s="41" t="s">
        <v>58</v>
      </c>
      <c r="J1235" s="32"/>
    </row>
    <row r="1236" spans="1:10" x14ac:dyDescent="0.2">
      <c r="A1236" s="32"/>
      <c r="B1236" s="42" t="s">
        <v>2150</v>
      </c>
      <c r="C1236" s="43" t="s">
        <v>2105</v>
      </c>
      <c r="D1236" s="44" t="s">
        <v>2148</v>
      </c>
      <c r="E1236" s="45">
        <v>1</v>
      </c>
      <c r="F1236" s="46">
        <v>1.79</v>
      </c>
      <c r="G1236" s="46">
        <f t="shared" si="19"/>
        <v>1.79</v>
      </c>
      <c r="H1236" s="47" t="s">
        <v>24</v>
      </c>
      <c r="I1236" s="47" t="s">
        <v>58</v>
      </c>
      <c r="J1236" s="32"/>
    </row>
    <row r="1237" spans="1:10" x14ac:dyDescent="0.2">
      <c r="A1237" s="32"/>
      <c r="B1237" s="36" t="s">
        <v>2151</v>
      </c>
      <c r="C1237" s="37" t="s">
        <v>2105</v>
      </c>
      <c r="D1237" s="38" t="s">
        <v>2148</v>
      </c>
      <c r="E1237" s="39">
        <v>1</v>
      </c>
      <c r="F1237" s="40">
        <v>1.79</v>
      </c>
      <c r="G1237" s="40">
        <f t="shared" si="19"/>
        <v>1.79</v>
      </c>
      <c r="H1237" s="41" t="s">
        <v>24</v>
      </c>
      <c r="I1237" s="41" t="s">
        <v>58</v>
      </c>
      <c r="J1237" s="32"/>
    </row>
    <row r="1238" spans="1:10" x14ac:dyDescent="0.2">
      <c r="A1238" s="32"/>
      <c r="B1238" s="42" t="s">
        <v>2152</v>
      </c>
      <c r="C1238" s="43" t="s">
        <v>2105</v>
      </c>
      <c r="D1238" s="44" t="s">
        <v>2153</v>
      </c>
      <c r="E1238" s="45">
        <v>1</v>
      </c>
      <c r="F1238" s="46">
        <v>19.989999999999998</v>
      </c>
      <c r="G1238" s="46">
        <f t="shared" si="19"/>
        <v>19.989999999999998</v>
      </c>
      <c r="H1238" s="47" t="s">
        <v>24</v>
      </c>
      <c r="I1238" s="47" t="s">
        <v>58</v>
      </c>
      <c r="J1238" s="32"/>
    </row>
    <row r="1239" spans="1:10" x14ac:dyDescent="0.2">
      <c r="A1239" s="32"/>
      <c r="B1239" s="36" t="s">
        <v>2154</v>
      </c>
      <c r="C1239" s="37" t="s">
        <v>2105</v>
      </c>
      <c r="D1239" s="38" t="s">
        <v>2155</v>
      </c>
      <c r="E1239" s="39">
        <v>1</v>
      </c>
      <c r="F1239" s="40">
        <v>165.9</v>
      </c>
      <c r="G1239" s="40">
        <f t="shared" si="19"/>
        <v>165.9</v>
      </c>
      <c r="H1239" s="41" t="s">
        <v>24</v>
      </c>
      <c r="I1239" s="41" t="s">
        <v>58</v>
      </c>
      <c r="J1239" s="32"/>
    </row>
    <row r="1240" spans="1:10" x14ac:dyDescent="0.2">
      <c r="A1240" s="32"/>
      <c r="B1240" s="42" t="s">
        <v>2156</v>
      </c>
      <c r="C1240" s="43" t="s">
        <v>2105</v>
      </c>
      <c r="D1240" s="44" t="s">
        <v>2157</v>
      </c>
      <c r="E1240" s="45">
        <v>1</v>
      </c>
      <c r="F1240" s="46">
        <v>13.49</v>
      </c>
      <c r="G1240" s="46">
        <f t="shared" si="19"/>
        <v>13.49</v>
      </c>
      <c r="H1240" s="47" t="s">
        <v>24</v>
      </c>
      <c r="I1240" s="47" t="s">
        <v>58</v>
      </c>
      <c r="J1240" s="32"/>
    </row>
    <row r="1241" spans="1:10" x14ac:dyDescent="0.2">
      <c r="A1241" s="32"/>
      <c r="B1241" s="36" t="s">
        <v>2158</v>
      </c>
      <c r="C1241" s="37" t="s">
        <v>2105</v>
      </c>
      <c r="D1241" s="38" t="s">
        <v>2159</v>
      </c>
      <c r="E1241" s="39">
        <v>1</v>
      </c>
      <c r="F1241" s="40">
        <v>19.899999999999999</v>
      </c>
      <c r="G1241" s="40">
        <f t="shared" si="19"/>
        <v>19.899999999999999</v>
      </c>
      <c r="H1241" s="41" t="s">
        <v>24</v>
      </c>
      <c r="I1241" s="41" t="s">
        <v>58</v>
      </c>
      <c r="J1241" s="32"/>
    </row>
    <row r="1242" spans="1:10" x14ac:dyDescent="0.2">
      <c r="A1242" s="32"/>
      <c r="B1242" s="42" t="s">
        <v>2160</v>
      </c>
      <c r="C1242" s="43" t="s">
        <v>2105</v>
      </c>
      <c r="D1242" s="44" t="s">
        <v>2161</v>
      </c>
      <c r="E1242" s="45">
        <v>1</v>
      </c>
      <c r="F1242" s="46">
        <v>24.99</v>
      </c>
      <c r="G1242" s="46">
        <f t="shared" si="19"/>
        <v>24.99</v>
      </c>
      <c r="H1242" s="47" t="s">
        <v>24</v>
      </c>
      <c r="I1242" s="47" t="s">
        <v>58</v>
      </c>
      <c r="J1242" s="32"/>
    </row>
    <row r="1243" spans="1:10" x14ac:dyDescent="0.2">
      <c r="A1243" s="32"/>
      <c r="B1243" s="36" t="s">
        <v>2162</v>
      </c>
      <c r="C1243" s="37" t="s">
        <v>2105</v>
      </c>
      <c r="D1243" s="38" t="s">
        <v>2163</v>
      </c>
      <c r="E1243" s="39">
        <v>1</v>
      </c>
      <c r="F1243" s="40">
        <v>5.99</v>
      </c>
      <c r="G1243" s="40">
        <f t="shared" si="19"/>
        <v>5.99</v>
      </c>
      <c r="H1243" s="41" t="s">
        <v>24</v>
      </c>
      <c r="I1243" s="41" t="s">
        <v>58</v>
      </c>
      <c r="J1243" s="32"/>
    </row>
    <row r="1244" spans="1:10" x14ac:dyDescent="0.2">
      <c r="A1244" s="32"/>
      <c r="B1244" s="42" t="s">
        <v>2164</v>
      </c>
      <c r="C1244" s="43" t="s">
        <v>2105</v>
      </c>
      <c r="D1244" s="44" t="s">
        <v>2163</v>
      </c>
      <c r="E1244" s="45">
        <v>1</v>
      </c>
      <c r="F1244" s="46">
        <v>5.99</v>
      </c>
      <c r="G1244" s="46">
        <f t="shared" si="19"/>
        <v>5.99</v>
      </c>
      <c r="H1244" s="47" t="s">
        <v>24</v>
      </c>
      <c r="I1244" s="47" t="s">
        <v>58</v>
      </c>
      <c r="J1244" s="32"/>
    </row>
    <row r="1245" spans="1:10" x14ac:dyDescent="0.2">
      <c r="A1245" s="32"/>
      <c r="B1245" s="36" t="s">
        <v>2165</v>
      </c>
      <c r="C1245" s="37" t="s">
        <v>2166</v>
      </c>
      <c r="D1245" s="38" t="s">
        <v>2167</v>
      </c>
      <c r="E1245" s="39">
        <v>1</v>
      </c>
      <c r="F1245" s="40">
        <v>12.99</v>
      </c>
      <c r="G1245" s="40">
        <f t="shared" si="19"/>
        <v>12.99</v>
      </c>
      <c r="H1245" s="41" t="s">
        <v>24</v>
      </c>
      <c r="I1245" s="41" t="s">
        <v>58</v>
      </c>
      <c r="J1245" s="32"/>
    </row>
    <row r="1246" spans="1:10" x14ac:dyDescent="0.2">
      <c r="A1246" s="32"/>
      <c r="B1246" s="42" t="s">
        <v>2168</v>
      </c>
      <c r="C1246" s="43" t="s">
        <v>2166</v>
      </c>
      <c r="D1246" s="44" t="s">
        <v>2169</v>
      </c>
      <c r="E1246" s="45">
        <v>1</v>
      </c>
      <c r="F1246" s="46">
        <v>3.69</v>
      </c>
      <c r="G1246" s="46">
        <f t="shared" si="19"/>
        <v>3.69</v>
      </c>
      <c r="H1246" s="47" t="s">
        <v>24</v>
      </c>
      <c r="I1246" s="47" t="s">
        <v>58</v>
      </c>
      <c r="J1246" s="32"/>
    </row>
    <row r="1247" spans="1:10" x14ac:dyDescent="0.2">
      <c r="A1247" s="32"/>
      <c r="B1247" s="36" t="s">
        <v>2170</v>
      </c>
      <c r="C1247" s="37" t="s">
        <v>2166</v>
      </c>
      <c r="D1247" s="38" t="s">
        <v>2148</v>
      </c>
      <c r="E1247" s="39">
        <v>1</v>
      </c>
      <c r="F1247" s="40">
        <v>1.79</v>
      </c>
      <c r="G1247" s="40">
        <f t="shared" si="19"/>
        <v>1.79</v>
      </c>
      <c r="H1247" s="41" t="s">
        <v>24</v>
      </c>
      <c r="I1247" s="41" t="s">
        <v>58</v>
      </c>
      <c r="J1247" s="32"/>
    </row>
    <row r="1248" spans="1:10" x14ac:dyDescent="0.2">
      <c r="A1248" s="32"/>
      <c r="B1248" s="42" t="s">
        <v>2171</v>
      </c>
      <c r="C1248" s="43" t="s">
        <v>2166</v>
      </c>
      <c r="D1248" s="44" t="s">
        <v>2172</v>
      </c>
      <c r="E1248" s="45">
        <v>1</v>
      </c>
      <c r="F1248" s="46">
        <v>11.9</v>
      </c>
      <c r="G1248" s="46">
        <f t="shared" si="19"/>
        <v>11.9</v>
      </c>
      <c r="H1248" s="47" t="s">
        <v>24</v>
      </c>
      <c r="I1248" s="47" t="s">
        <v>58</v>
      </c>
      <c r="J1248" s="32"/>
    </row>
    <row r="1249" spans="1:10" x14ac:dyDescent="0.2">
      <c r="A1249" s="32"/>
      <c r="B1249" s="36" t="s">
        <v>2173</v>
      </c>
      <c r="C1249" s="37" t="s">
        <v>2166</v>
      </c>
      <c r="D1249" s="38" t="s">
        <v>2172</v>
      </c>
      <c r="E1249" s="39">
        <v>1</v>
      </c>
      <c r="F1249" s="40">
        <v>11.9</v>
      </c>
      <c r="G1249" s="40">
        <f t="shared" si="19"/>
        <v>11.9</v>
      </c>
      <c r="H1249" s="41" t="s">
        <v>24</v>
      </c>
      <c r="I1249" s="41" t="s">
        <v>58</v>
      </c>
      <c r="J1249" s="32"/>
    </row>
    <row r="1250" spans="1:10" x14ac:dyDescent="0.2">
      <c r="A1250" s="32"/>
      <c r="B1250" s="42" t="s">
        <v>2174</v>
      </c>
      <c r="C1250" s="43" t="s">
        <v>2166</v>
      </c>
      <c r="D1250" s="44" t="s">
        <v>2172</v>
      </c>
      <c r="E1250" s="45">
        <v>1</v>
      </c>
      <c r="F1250" s="46">
        <v>11.9</v>
      </c>
      <c r="G1250" s="46">
        <f t="shared" si="19"/>
        <v>11.9</v>
      </c>
      <c r="H1250" s="47" t="s">
        <v>24</v>
      </c>
      <c r="I1250" s="47" t="s">
        <v>58</v>
      </c>
      <c r="J1250" s="32"/>
    </row>
    <row r="1251" spans="1:10" x14ac:dyDescent="0.2">
      <c r="A1251" s="32"/>
      <c r="B1251" s="36" t="s">
        <v>2175</v>
      </c>
      <c r="C1251" s="37" t="s">
        <v>2166</v>
      </c>
      <c r="D1251" s="38" t="s">
        <v>2172</v>
      </c>
      <c r="E1251" s="39">
        <v>1</v>
      </c>
      <c r="F1251" s="40">
        <v>11.9</v>
      </c>
      <c r="G1251" s="40">
        <f t="shared" si="19"/>
        <v>11.9</v>
      </c>
      <c r="H1251" s="41" t="s">
        <v>24</v>
      </c>
      <c r="I1251" s="41" t="s">
        <v>58</v>
      </c>
      <c r="J1251" s="32"/>
    </row>
    <row r="1252" spans="1:10" x14ac:dyDescent="0.2">
      <c r="A1252" s="32"/>
      <c r="B1252" s="42" t="s">
        <v>2176</v>
      </c>
      <c r="C1252" s="43" t="s">
        <v>2166</v>
      </c>
      <c r="D1252" s="44" t="s">
        <v>2177</v>
      </c>
      <c r="E1252" s="45">
        <v>1</v>
      </c>
      <c r="F1252" s="46">
        <v>38.9</v>
      </c>
      <c r="G1252" s="46">
        <f t="shared" si="19"/>
        <v>38.9</v>
      </c>
      <c r="H1252" s="47" t="s">
        <v>24</v>
      </c>
      <c r="I1252" s="47" t="s">
        <v>58</v>
      </c>
      <c r="J1252" s="32"/>
    </row>
    <row r="1253" spans="1:10" x14ac:dyDescent="0.2">
      <c r="A1253" s="32"/>
      <c r="B1253" s="36" t="s">
        <v>2178</v>
      </c>
      <c r="C1253" s="37" t="s">
        <v>2166</v>
      </c>
      <c r="D1253" s="38" t="s">
        <v>2167</v>
      </c>
      <c r="E1253" s="39">
        <v>1</v>
      </c>
      <c r="F1253" s="40">
        <v>12.99</v>
      </c>
      <c r="G1253" s="40">
        <f t="shared" si="19"/>
        <v>12.99</v>
      </c>
      <c r="H1253" s="41" t="s">
        <v>24</v>
      </c>
      <c r="I1253" s="41" t="s">
        <v>58</v>
      </c>
      <c r="J1253" s="32"/>
    </row>
    <row r="1254" spans="1:10" x14ac:dyDescent="0.2">
      <c r="A1254" s="32"/>
      <c r="B1254" s="42" t="s">
        <v>2179</v>
      </c>
      <c r="C1254" s="43" t="s">
        <v>2166</v>
      </c>
      <c r="D1254" s="44" t="s">
        <v>2180</v>
      </c>
      <c r="E1254" s="45">
        <v>1</v>
      </c>
      <c r="F1254" s="46">
        <v>3.49</v>
      </c>
      <c r="G1254" s="46">
        <f t="shared" si="19"/>
        <v>3.49</v>
      </c>
      <c r="H1254" s="47" t="s">
        <v>24</v>
      </c>
      <c r="I1254" s="47" t="s">
        <v>58</v>
      </c>
      <c r="J1254" s="32"/>
    </row>
    <row r="1255" spans="1:10" x14ac:dyDescent="0.2">
      <c r="A1255" s="32"/>
      <c r="B1255" s="36" t="s">
        <v>2181</v>
      </c>
      <c r="C1255" s="37" t="s">
        <v>2166</v>
      </c>
      <c r="D1255" s="38" t="s">
        <v>2180</v>
      </c>
      <c r="E1255" s="39">
        <v>1</v>
      </c>
      <c r="F1255" s="40">
        <v>3.49</v>
      </c>
      <c r="G1255" s="40">
        <f t="shared" si="19"/>
        <v>3.49</v>
      </c>
      <c r="H1255" s="41" t="s">
        <v>24</v>
      </c>
      <c r="I1255" s="41" t="s">
        <v>58</v>
      </c>
      <c r="J1255" s="32"/>
    </row>
    <row r="1256" spans="1:10" x14ac:dyDescent="0.2">
      <c r="A1256" s="32"/>
      <c r="B1256" s="42" t="s">
        <v>2182</v>
      </c>
      <c r="C1256" s="43" t="s">
        <v>2166</v>
      </c>
      <c r="D1256" s="44" t="s">
        <v>2183</v>
      </c>
      <c r="E1256" s="45">
        <v>1</v>
      </c>
      <c r="F1256" s="46">
        <v>2.4900000000000002</v>
      </c>
      <c r="G1256" s="46">
        <f t="shared" si="19"/>
        <v>2.4900000000000002</v>
      </c>
      <c r="H1256" s="47" t="s">
        <v>24</v>
      </c>
      <c r="I1256" s="47" t="s">
        <v>58</v>
      </c>
      <c r="J1256" s="32"/>
    </row>
    <row r="1257" spans="1:10" x14ac:dyDescent="0.2">
      <c r="A1257" s="32"/>
      <c r="B1257" s="36" t="s">
        <v>2184</v>
      </c>
      <c r="C1257" s="37" t="s">
        <v>2166</v>
      </c>
      <c r="D1257" s="38" t="s">
        <v>2183</v>
      </c>
      <c r="E1257" s="39">
        <v>1</v>
      </c>
      <c r="F1257" s="40">
        <v>2.4900000000000002</v>
      </c>
      <c r="G1257" s="40">
        <f t="shared" si="19"/>
        <v>2.4900000000000002</v>
      </c>
      <c r="H1257" s="41" t="s">
        <v>24</v>
      </c>
      <c r="I1257" s="41" t="s">
        <v>58</v>
      </c>
      <c r="J1257" s="32"/>
    </row>
    <row r="1258" spans="1:10" x14ac:dyDescent="0.2">
      <c r="A1258" s="32"/>
      <c r="B1258" s="42" t="s">
        <v>2185</v>
      </c>
      <c r="C1258" s="43" t="s">
        <v>2166</v>
      </c>
      <c r="D1258" s="44" t="s">
        <v>2186</v>
      </c>
      <c r="E1258" s="45">
        <v>1</v>
      </c>
      <c r="F1258" s="46">
        <v>9.89</v>
      </c>
      <c r="G1258" s="46">
        <f t="shared" si="19"/>
        <v>9.89</v>
      </c>
      <c r="H1258" s="47" t="s">
        <v>24</v>
      </c>
      <c r="I1258" s="47" t="s">
        <v>58</v>
      </c>
      <c r="J1258" s="32"/>
    </row>
    <row r="1259" spans="1:10" x14ac:dyDescent="0.2">
      <c r="A1259" s="32"/>
      <c r="B1259" s="36" t="s">
        <v>2187</v>
      </c>
      <c r="C1259" s="37" t="s">
        <v>2166</v>
      </c>
      <c r="D1259" s="38" t="s">
        <v>2188</v>
      </c>
      <c r="E1259" s="39">
        <v>1</v>
      </c>
      <c r="F1259" s="40">
        <v>24.9</v>
      </c>
      <c r="G1259" s="40">
        <f t="shared" si="19"/>
        <v>24.9</v>
      </c>
      <c r="H1259" s="41" t="s">
        <v>24</v>
      </c>
      <c r="I1259" s="41" t="s">
        <v>58</v>
      </c>
      <c r="J1259" s="32"/>
    </row>
    <row r="1260" spans="1:10" x14ac:dyDescent="0.2">
      <c r="A1260" s="32"/>
      <c r="B1260" s="42" t="s">
        <v>2189</v>
      </c>
      <c r="C1260" s="43" t="s">
        <v>2166</v>
      </c>
      <c r="D1260" s="44" t="s">
        <v>2190</v>
      </c>
      <c r="E1260" s="45">
        <v>1</v>
      </c>
      <c r="F1260" s="46">
        <v>8.99</v>
      </c>
      <c r="G1260" s="46">
        <f t="shared" si="19"/>
        <v>8.99</v>
      </c>
      <c r="H1260" s="47" t="s">
        <v>24</v>
      </c>
      <c r="I1260" s="47" t="s">
        <v>58</v>
      </c>
      <c r="J1260" s="32"/>
    </row>
    <row r="1261" spans="1:10" x14ac:dyDescent="0.2">
      <c r="A1261" s="32"/>
      <c r="B1261" s="36" t="s">
        <v>2191</v>
      </c>
      <c r="C1261" s="37" t="s">
        <v>2166</v>
      </c>
      <c r="D1261" s="38" t="s">
        <v>2192</v>
      </c>
      <c r="E1261" s="39">
        <v>1</v>
      </c>
      <c r="F1261" s="40">
        <v>34.99</v>
      </c>
      <c r="G1261" s="40">
        <f t="shared" si="19"/>
        <v>34.99</v>
      </c>
      <c r="H1261" s="41" t="s">
        <v>24</v>
      </c>
      <c r="I1261" s="41" t="s">
        <v>58</v>
      </c>
      <c r="J1261" s="32"/>
    </row>
    <row r="1262" spans="1:10" x14ac:dyDescent="0.2">
      <c r="A1262" s="32"/>
      <c r="B1262" s="42" t="s">
        <v>2193</v>
      </c>
      <c r="C1262" s="43" t="s">
        <v>2166</v>
      </c>
      <c r="D1262" s="44" t="s">
        <v>2194</v>
      </c>
      <c r="E1262" s="45">
        <v>1</v>
      </c>
      <c r="F1262" s="46">
        <v>41.9</v>
      </c>
      <c r="G1262" s="46">
        <f t="shared" si="19"/>
        <v>41.9</v>
      </c>
      <c r="H1262" s="47" t="s">
        <v>24</v>
      </c>
      <c r="I1262" s="47" t="s">
        <v>58</v>
      </c>
      <c r="J1262" s="32"/>
    </row>
    <row r="1263" spans="1:10" x14ac:dyDescent="0.2">
      <c r="A1263" s="32"/>
      <c r="B1263" s="36" t="s">
        <v>2195</v>
      </c>
      <c r="C1263" s="37" t="s">
        <v>2166</v>
      </c>
      <c r="D1263" s="38" t="s">
        <v>2196</v>
      </c>
      <c r="E1263" s="39">
        <v>1</v>
      </c>
      <c r="F1263" s="40">
        <v>54.9</v>
      </c>
      <c r="G1263" s="40">
        <f t="shared" si="19"/>
        <v>54.9</v>
      </c>
      <c r="H1263" s="41" t="s">
        <v>24</v>
      </c>
      <c r="I1263" s="41" t="s">
        <v>58</v>
      </c>
      <c r="J1263" s="32"/>
    </row>
    <row r="1264" spans="1:10" x14ac:dyDescent="0.2">
      <c r="A1264" s="32"/>
      <c r="B1264" s="42" t="s">
        <v>2197</v>
      </c>
      <c r="C1264" s="43" t="s">
        <v>2166</v>
      </c>
      <c r="D1264" s="44" t="s">
        <v>2198</v>
      </c>
      <c r="E1264" s="45">
        <v>1</v>
      </c>
      <c r="F1264" s="46">
        <v>10.99</v>
      </c>
      <c r="G1264" s="46">
        <f t="shared" si="19"/>
        <v>10.99</v>
      </c>
      <c r="H1264" s="47" t="s">
        <v>24</v>
      </c>
      <c r="I1264" s="47" t="s">
        <v>58</v>
      </c>
      <c r="J1264" s="32"/>
    </row>
    <row r="1265" spans="1:10" x14ac:dyDescent="0.2">
      <c r="A1265" s="32"/>
      <c r="B1265" s="36" t="s">
        <v>2199</v>
      </c>
      <c r="C1265" s="37" t="s">
        <v>2166</v>
      </c>
      <c r="D1265" s="38" t="s">
        <v>2019</v>
      </c>
      <c r="E1265" s="39">
        <v>1</v>
      </c>
      <c r="F1265" s="40">
        <v>3.99</v>
      </c>
      <c r="G1265" s="40">
        <f t="shared" si="19"/>
        <v>3.99</v>
      </c>
      <c r="H1265" s="41" t="s">
        <v>24</v>
      </c>
      <c r="I1265" s="41" t="s">
        <v>58</v>
      </c>
      <c r="J1265" s="32"/>
    </row>
    <row r="1266" spans="1:10" x14ac:dyDescent="0.2">
      <c r="A1266" s="32"/>
      <c r="B1266" s="42" t="s">
        <v>2200</v>
      </c>
      <c r="C1266" s="43" t="s">
        <v>2166</v>
      </c>
      <c r="D1266" s="44" t="s">
        <v>2131</v>
      </c>
      <c r="E1266" s="45">
        <v>1</v>
      </c>
      <c r="F1266" s="46">
        <v>3.29</v>
      </c>
      <c r="G1266" s="46">
        <f t="shared" si="19"/>
        <v>3.29</v>
      </c>
      <c r="H1266" s="47" t="s">
        <v>24</v>
      </c>
      <c r="I1266" s="47" t="s">
        <v>58</v>
      </c>
      <c r="J1266" s="32"/>
    </row>
    <row r="1267" spans="1:10" x14ac:dyDescent="0.2">
      <c r="A1267" s="32"/>
      <c r="B1267" s="36" t="s">
        <v>2201</v>
      </c>
      <c r="C1267" s="37" t="s">
        <v>2166</v>
      </c>
      <c r="D1267" s="38" t="s">
        <v>367</v>
      </c>
      <c r="E1267" s="39">
        <v>1</v>
      </c>
      <c r="F1267" s="40">
        <v>4.99</v>
      </c>
      <c r="G1267" s="40">
        <f t="shared" si="19"/>
        <v>4.99</v>
      </c>
      <c r="H1267" s="41" t="s">
        <v>24</v>
      </c>
      <c r="I1267" s="41" t="s">
        <v>58</v>
      </c>
      <c r="J1267" s="32"/>
    </row>
    <row r="1268" spans="1:10" x14ac:dyDescent="0.2">
      <c r="A1268" s="32"/>
      <c r="B1268" s="42" t="s">
        <v>2202</v>
      </c>
      <c r="C1268" s="43" t="s">
        <v>2166</v>
      </c>
      <c r="D1268" s="44" t="s">
        <v>2007</v>
      </c>
      <c r="E1268" s="45">
        <v>1</v>
      </c>
      <c r="F1268" s="46">
        <v>14.69</v>
      </c>
      <c r="G1268" s="46">
        <f t="shared" si="19"/>
        <v>14.69</v>
      </c>
      <c r="H1268" s="47" t="s">
        <v>24</v>
      </c>
      <c r="I1268" s="47" t="s">
        <v>58</v>
      </c>
      <c r="J1268" s="32"/>
    </row>
    <row r="1269" spans="1:10" x14ac:dyDescent="0.2">
      <c r="A1269" s="32"/>
      <c r="B1269" s="36" t="s">
        <v>2203</v>
      </c>
      <c r="C1269" s="37" t="s">
        <v>2166</v>
      </c>
      <c r="D1269" s="38" t="s">
        <v>2204</v>
      </c>
      <c r="E1269" s="39">
        <v>1</v>
      </c>
      <c r="F1269" s="40">
        <v>13.49</v>
      </c>
      <c r="G1269" s="40">
        <f t="shared" si="19"/>
        <v>13.49</v>
      </c>
      <c r="H1269" s="41" t="s">
        <v>24</v>
      </c>
      <c r="I1269" s="41" t="s">
        <v>58</v>
      </c>
      <c r="J1269" s="32"/>
    </row>
    <row r="1270" spans="1:10" x14ac:dyDescent="0.2">
      <c r="A1270" s="32"/>
      <c r="B1270" s="42" t="s">
        <v>2205</v>
      </c>
      <c r="C1270" s="43" t="s">
        <v>2166</v>
      </c>
      <c r="D1270" s="44" t="s">
        <v>2027</v>
      </c>
      <c r="E1270" s="45">
        <v>1</v>
      </c>
      <c r="F1270" s="46">
        <v>1.49</v>
      </c>
      <c r="G1270" s="46">
        <f t="shared" si="19"/>
        <v>1.49</v>
      </c>
      <c r="H1270" s="47" t="s">
        <v>24</v>
      </c>
      <c r="I1270" s="47" t="s">
        <v>58</v>
      </c>
      <c r="J1270" s="32"/>
    </row>
    <row r="1271" spans="1:10" x14ac:dyDescent="0.2">
      <c r="A1271" s="32"/>
      <c r="B1271" s="36" t="s">
        <v>2206</v>
      </c>
      <c r="C1271" s="37" t="s">
        <v>2166</v>
      </c>
      <c r="D1271" s="38" t="s">
        <v>2207</v>
      </c>
      <c r="E1271" s="39">
        <v>1</v>
      </c>
      <c r="F1271" s="40">
        <v>7.49</v>
      </c>
      <c r="G1271" s="40">
        <f t="shared" si="19"/>
        <v>7.49</v>
      </c>
      <c r="H1271" s="41" t="s">
        <v>24</v>
      </c>
      <c r="I1271" s="41" t="s">
        <v>58</v>
      </c>
      <c r="J1271" s="32"/>
    </row>
    <row r="1272" spans="1:10" x14ac:dyDescent="0.2">
      <c r="A1272" s="32"/>
      <c r="B1272" s="42" t="s">
        <v>2208</v>
      </c>
      <c r="C1272" s="43" t="s">
        <v>2166</v>
      </c>
      <c r="D1272" s="44" t="s">
        <v>2209</v>
      </c>
      <c r="E1272" s="45">
        <v>1</v>
      </c>
      <c r="F1272" s="46">
        <v>6.69</v>
      </c>
      <c r="G1272" s="46">
        <f t="shared" si="19"/>
        <v>6.69</v>
      </c>
      <c r="H1272" s="47" t="s">
        <v>24</v>
      </c>
      <c r="I1272" s="47" t="s">
        <v>58</v>
      </c>
      <c r="J1272" s="32"/>
    </row>
    <row r="1273" spans="1:10" x14ac:dyDescent="0.2">
      <c r="A1273" s="32"/>
      <c r="B1273" s="36" t="s">
        <v>2210</v>
      </c>
      <c r="C1273" s="37" t="s">
        <v>2166</v>
      </c>
      <c r="D1273" s="38" t="s">
        <v>2211</v>
      </c>
      <c r="E1273" s="39">
        <v>1</v>
      </c>
      <c r="F1273" s="40">
        <v>13.99</v>
      </c>
      <c r="G1273" s="40">
        <f t="shared" si="19"/>
        <v>13.99</v>
      </c>
      <c r="H1273" s="41" t="s">
        <v>24</v>
      </c>
      <c r="I1273" s="41" t="s">
        <v>58</v>
      </c>
      <c r="J1273" s="32"/>
    </row>
    <row r="1274" spans="1:10" x14ac:dyDescent="0.2">
      <c r="A1274" s="32"/>
      <c r="B1274" s="42" t="s">
        <v>2212</v>
      </c>
      <c r="C1274" s="43" t="s">
        <v>2166</v>
      </c>
      <c r="D1274" s="44" t="s">
        <v>2213</v>
      </c>
      <c r="E1274" s="45">
        <v>1</v>
      </c>
      <c r="F1274" s="46">
        <v>9.99</v>
      </c>
      <c r="G1274" s="46">
        <f t="shared" si="19"/>
        <v>9.99</v>
      </c>
      <c r="H1274" s="47" t="s">
        <v>24</v>
      </c>
      <c r="I1274" s="47" t="s">
        <v>58</v>
      </c>
      <c r="J1274" s="32"/>
    </row>
    <row r="1275" spans="1:10" x14ac:dyDescent="0.2">
      <c r="A1275" s="32"/>
      <c r="B1275" s="36" t="s">
        <v>2214</v>
      </c>
      <c r="C1275" s="37" t="s">
        <v>2166</v>
      </c>
      <c r="D1275" s="38" t="s">
        <v>2215</v>
      </c>
      <c r="E1275" s="39">
        <v>1</v>
      </c>
      <c r="F1275" s="40">
        <v>19.989999999999998</v>
      </c>
      <c r="G1275" s="40">
        <f t="shared" si="19"/>
        <v>19.989999999999998</v>
      </c>
      <c r="H1275" s="41" t="s">
        <v>24</v>
      </c>
      <c r="I1275" s="41" t="s">
        <v>58</v>
      </c>
      <c r="J1275" s="32"/>
    </row>
    <row r="1276" spans="1:10" x14ac:dyDescent="0.2">
      <c r="A1276" s="32"/>
      <c r="B1276" s="42" t="s">
        <v>2216</v>
      </c>
      <c r="C1276" s="43" t="s">
        <v>2166</v>
      </c>
      <c r="D1276" s="44" t="s">
        <v>2217</v>
      </c>
      <c r="E1276" s="45">
        <v>1</v>
      </c>
      <c r="F1276" s="46">
        <v>4.29</v>
      </c>
      <c r="G1276" s="46">
        <f t="shared" si="19"/>
        <v>4.29</v>
      </c>
      <c r="H1276" s="47" t="s">
        <v>24</v>
      </c>
      <c r="I1276" s="47" t="s">
        <v>58</v>
      </c>
      <c r="J1276" s="32"/>
    </row>
    <row r="1277" spans="1:10" x14ac:dyDescent="0.2">
      <c r="A1277" s="32"/>
      <c r="B1277" s="36" t="s">
        <v>2218</v>
      </c>
      <c r="C1277" s="37" t="s">
        <v>2166</v>
      </c>
      <c r="D1277" s="38" t="s">
        <v>2219</v>
      </c>
      <c r="E1277" s="39">
        <v>1</v>
      </c>
      <c r="F1277" s="40">
        <v>2.99</v>
      </c>
      <c r="G1277" s="40">
        <f t="shared" si="19"/>
        <v>2.99</v>
      </c>
      <c r="H1277" s="41" t="s">
        <v>24</v>
      </c>
      <c r="I1277" s="41" t="s">
        <v>58</v>
      </c>
      <c r="J1277" s="32"/>
    </row>
    <row r="1278" spans="1:10" x14ac:dyDescent="0.2">
      <c r="A1278" s="32"/>
      <c r="B1278" s="42" t="s">
        <v>2220</v>
      </c>
      <c r="C1278" s="43" t="s">
        <v>2166</v>
      </c>
      <c r="D1278" s="44" t="s">
        <v>2219</v>
      </c>
      <c r="E1278" s="45">
        <v>1</v>
      </c>
      <c r="F1278" s="46">
        <v>2.99</v>
      </c>
      <c r="G1278" s="46">
        <f t="shared" si="19"/>
        <v>2.99</v>
      </c>
      <c r="H1278" s="47" t="s">
        <v>24</v>
      </c>
      <c r="I1278" s="47" t="s">
        <v>58</v>
      </c>
      <c r="J1278" s="32"/>
    </row>
    <row r="1279" spans="1:10" x14ac:dyDescent="0.2">
      <c r="A1279" s="32"/>
      <c r="B1279" s="36" t="s">
        <v>2221</v>
      </c>
      <c r="C1279" s="37" t="s">
        <v>2166</v>
      </c>
      <c r="D1279" s="38" t="s">
        <v>2219</v>
      </c>
      <c r="E1279" s="39">
        <v>1</v>
      </c>
      <c r="F1279" s="40">
        <v>2.99</v>
      </c>
      <c r="G1279" s="40">
        <f t="shared" si="19"/>
        <v>2.99</v>
      </c>
      <c r="H1279" s="41" t="s">
        <v>24</v>
      </c>
      <c r="I1279" s="41" t="s">
        <v>58</v>
      </c>
      <c r="J1279" s="32"/>
    </row>
    <row r="1280" spans="1:10" x14ac:dyDescent="0.2">
      <c r="A1280" s="32"/>
      <c r="B1280" s="42" t="s">
        <v>2222</v>
      </c>
      <c r="C1280" s="43" t="s">
        <v>2166</v>
      </c>
      <c r="D1280" s="44" t="s">
        <v>2223</v>
      </c>
      <c r="E1280" s="45">
        <v>1</v>
      </c>
      <c r="F1280" s="46">
        <v>8.99</v>
      </c>
      <c r="G1280" s="46">
        <f t="shared" si="19"/>
        <v>8.99</v>
      </c>
      <c r="H1280" s="47" t="s">
        <v>24</v>
      </c>
      <c r="I1280" s="47" t="s">
        <v>58</v>
      </c>
      <c r="J1280" s="32"/>
    </row>
    <row r="1281" spans="1:10" x14ac:dyDescent="0.2">
      <c r="A1281" s="32"/>
      <c r="B1281" s="36" t="s">
        <v>2224</v>
      </c>
      <c r="C1281" s="37" t="s">
        <v>2166</v>
      </c>
      <c r="D1281" s="38" t="s">
        <v>2223</v>
      </c>
      <c r="E1281" s="39">
        <v>1</v>
      </c>
      <c r="F1281" s="40">
        <v>8.99</v>
      </c>
      <c r="G1281" s="40">
        <f t="shared" si="19"/>
        <v>8.99</v>
      </c>
      <c r="H1281" s="41" t="s">
        <v>24</v>
      </c>
      <c r="I1281" s="41" t="s">
        <v>58</v>
      </c>
      <c r="J1281" s="32"/>
    </row>
    <row r="1282" spans="1:10" x14ac:dyDescent="0.2">
      <c r="A1282" s="32"/>
      <c r="B1282" s="42" t="s">
        <v>2225</v>
      </c>
      <c r="C1282" s="43" t="s">
        <v>2166</v>
      </c>
      <c r="D1282" s="44" t="s">
        <v>2022</v>
      </c>
      <c r="E1282" s="45">
        <v>1</v>
      </c>
      <c r="F1282" s="46">
        <v>14.99</v>
      </c>
      <c r="G1282" s="46">
        <f t="shared" si="19"/>
        <v>14.99</v>
      </c>
      <c r="H1282" s="47" t="s">
        <v>24</v>
      </c>
      <c r="I1282" s="47" t="s">
        <v>58</v>
      </c>
      <c r="J1282" s="32"/>
    </row>
    <row r="1283" spans="1:10" x14ac:dyDescent="0.2">
      <c r="A1283" s="32"/>
      <c r="B1283" s="36" t="s">
        <v>2226</v>
      </c>
      <c r="C1283" s="37" t="s">
        <v>2166</v>
      </c>
      <c r="D1283" s="38" t="s">
        <v>2227</v>
      </c>
      <c r="E1283" s="39">
        <v>1</v>
      </c>
      <c r="F1283" s="40">
        <v>11.99</v>
      </c>
      <c r="G1283" s="40">
        <f t="shared" si="19"/>
        <v>11.99</v>
      </c>
      <c r="H1283" s="41" t="s">
        <v>24</v>
      </c>
      <c r="I1283" s="41" t="s">
        <v>58</v>
      </c>
      <c r="J1283" s="32"/>
    </row>
    <row r="1284" spans="1:10" x14ac:dyDescent="0.2">
      <c r="A1284" s="32"/>
      <c r="B1284" s="42" t="s">
        <v>2228</v>
      </c>
      <c r="C1284" s="43" t="s">
        <v>2166</v>
      </c>
      <c r="D1284" s="44" t="s">
        <v>2148</v>
      </c>
      <c r="E1284" s="45">
        <v>1</v>
      </c>
      <c r="F1284" s="46">
        <v>1.79</v>
      </c>
      <c r="G1284" s="46">
        <f t="shared" si="19"/>
        <v>1.79</v>
      </c>
      <c r="H1284" s="47" t="s">
        <v>24</v>
      </c>
      <c r="I1284" s="47" t="s">
        <v>58</v>
      </c>
      <c r="J1284" s="32"/>
    </row>
    <row r="1285" spans="1:10" x14ac:dyDescent="0.2">
      <c r="A1285" s="32"/>
      <c r="B1285" s="36" t="s">
        <v>2229</v>
      </c>
      <c r="C1285" s="37" t="s">
        <v>2166</v>
      </c>
      <c r="D1285" s="38" t="s">
        <v>2068</v>
      </c>
      <c r="E1285" s="39">
        <v>1</v>
      </c>
      <c r="F1285" s="40">
        <v>52.9</v>
      </c>
      <c r="G1285" s="40">
        <f t="shared" ref="G1285:G1348" si="20">E1285*F1285</f>
        <v>52.9</v>
      </c>
      <c r="H1285" s="41" t="s">
        <v>24</v>
      </c>
      <c r="I1285" s="41" t="s">
        <v>58</v>
      </c>
      <c r="J1285" s="32"/>
    </row>
    <row r="1286" spans="1:10" x14ac:dyDescent="0.2">
      <c r="A1286" s="32"/>
      <c r="B1286" s="42" t="s">
        <v>2230</v>
      </c>
      <c r="C1286" s="43" t="s">
        <v>2166</v>
      </c>
      <c r="D1286" s="44" t="s">
        <v>2231</v>
      </c>
      <c r="E1286" s="45">
        <v>1</v>
      </c>
      <c r="F1286" s="46">
        <v>7.99</v>
      </c>
      <c r="G1286" s="46">
        <f t="shared" si="20"/>
        <v>7.99</v>
      </c>
      <c r="H1286" s="47" t="s">
        <v>24</v>
      </c>
      <c r="I1286" s="47" t="s">
        <v>58</v>
      </c>
      <c r="J1286" s="32"/>
    </row>
    <row r="1287" spans="1:10" x14ac:dyDescent="0.2">
      <c r="A1287" s="32"/>
      <c r="B1287" s="36" t="s">
        <v>2232</v>
      </c>
      <c r="C1287" s="37" t="s">
        <v>2166</v>
      </c>
      <c r="D1287" s="38" t="s">
        <v>2233</v>
      </c>
      <c r="E1287" s="39">
        <v>1</v>
      </c>
      <c r="F1287" s="40">
        <v>47.99</v>
      </c>
      <c r="G1287" s="40">
        <f t="shared" si="20"/>
        <v>47.99</v>
      </c>
      <c r="H1287" s="41" t="s">
        <v>24</v>
      </c>
      <c r="I1287" s="41" t="s">
        <v>58</v>
      </c>
      <c r="J1287" s="32"/>
    </row>
    <row r="1288" spans="1:10" x14ac:dyDescent="0.2">
      <c r="A1288" s="32"/>
      <c r="B1288" s="42" t="s">
        <v>2234</v>
      </c>
      <c r="C1288" s="43" t="s">
        <v>2166</v>
      </c>
      <c r="D1288" s="44" t="s">
        <v>2235</v>
      </c>
      <c r="E1288" s="45">
        <v>1</v>
      </c>
      <c r="F1288" s="46">
        <v>10.99</v>
      </c>
      <c r="G1288" s="46">
        <f t="shared" si="20"/>
        <v>10.99</v>
      </c>
      <c r="H1288" s="47" t="s">
        <v>24</v>
      </c>
      <c r="I1288" s="47" t="s">
        <v>58</v>
      </c>
      <c r="J1288" s="32"/>
    </row>
    <row r="1289" spans="1:10" x14ac:dyDescent="0.2">
      <c r="A1289" s="32"/>
      <c r="B1289" s="36" t="s">
        <v>2236</v>
      </c>
      <c r="C1289" s="37" t="s">
        <v>2166</v>
      </c>
      <c r="D1289" s="38" t="s">
        <v>2237</v>
      </c>
      <c r="E1289" s="39">
        <v>1</v>
      </c>
      <c r="F1289" s="40">
        <v>6.99</v>
      </c>
      <c r="G1289" s="40">
        <f t="shared" si="20"/>
        <v>6.99</v>
      </c>
      <c r="H1289" s="41" t="s">
        <v>24</v>
      </c>
      <c r="I1289" s="41" t="s">
        <v>58</v>
      </c>
      <c r="J1289" s="32"/>
    </row>
    <row r="1290" spans="1:10" x14ac:dyDescent="0.2">
      <c r="A1290" s="32"/>
      <c r="B1290" s="42" t="s">
        <v>2238</v>
      </c>
      <c r="C1290" s="43" t="s">
        <v>2166</v>
      </c>
      <c r="D1290" s="44" t="s">
        <v>2148</v>
      </c>
      <c r="E1290" s="45">
        <v>1</v>
      </c>
      <c r="F1290" s="46">
        <v>1.79</v>
      </c>
      <c r="G1290" s="46">
        <f t="shared" si="20"/>
        <v>1.79</v>
      </c>
      <c r="H1290" s="47" t="s">
        <v>24</v>
      </c>
      <c r="I1290" s="47" t="s">
        <v>58</v>
      </c>
      <c r="J1290" s="32"/>
    </row>
    <row r="1291" spans="1:10" x14ac:dyDescent="0.2">
      <c r="A1291" s="32"/>
      <c r="B1291" s="36" t="s">
        <v>2239</v>
      </c>
      <c r="C1291" s="37" t="s">
        <v>2166</v>
      </c>
      <c r="D1291" s="38" t="s">
        <v>444</v>
      </c>
      <c r="E1291" s="39">
        <v>1</v>
      </c>
      <c r="F1291" s="40">
        <v>2.99</v>
      </c>
      <c r="G1291" s="40">
        <f t="shared" si="20"/>
        <v>2.99</v>
      </c>
      <c r="H1291" s="41" t="s">
        <v>24</v>
      </c>
      <c r="I1291" s="41" t="s">
        <v>58</v>
      </c>
      <c r="J1291" s="32"/>
    </row>
    <row r="1292" spans="1:10" x14ac:dyDescent="0.2">
      <c r="A1292" s="32"/>
      <c r="B1292" s="42" t="s">
        <v>2240</v>
      </c>
      <c r="C1292" s="43" t="s">
        <v>2166</v>
      </c>
      <c r="D1292" s="44" t="s">
        <v>444</v>
      </c>
      <c r="E1292" s="45">
        <v>1</v>
      </c>
      <c r="F1292" s="46">
        <v>2.99</v>
      </c>
      <c r="G1292" s="46">
        <f t="shared" si="20"/>
        <v>2.99</v>
      </c>
      <c r="H1292" s="47" t="s">
        <v>24</v>
      </c>
      <c r="I1292" s="47" t="s">
        <v>58</v>
      </c>
      <c r="J1292" s="32"/>
    </row>
    <row r="1293" spans="1:10" x14ac:dyDescent="0.2">
      <c r="A1293" s="32"/>
      <c r="B1293" s="36" t="s">
        <v>2241</v>
      </c>
      <c r="C1293" s="37" t="s">
        <v>2166</v>
      </c>
      <c r="D1293" s="38" t="s">
        <v>2148</v>
      </c>
      <c r="E1293" s="39">
        <v>1</v>
      </c>
      <c r="F1293" s="40">
        <v>1.79</v>
      </c>
      <c r="G1293" s="40">
        <f t="shared" si="20"/>
        <v>1.79</v>
      </c>
      <c r="H1293" s="41" t="s">
        <v>24</v>
      </c>
      <c r="I1293" s="41" t="s">
        <v>58</v>
      </c>
      <c r="J1293" s="32"/>
    </row>
    <row r="1294" spans="1:10" x14ac:dyDescent="0.2">
      <c r="A1294" s="32"/>
      <c r="B1294" s="42" t="s">
        <v>2242</v>
      </c>
      <c r="C1294" s="43" t="s">
        <v>2166</v>
      </c>
      <c r="D1294" s="44" t="s">
        <v>1990</v>
      </c>
      <c r="E1294" s="45">
        <v>1</v>
      </c>
      <c r="F1294" s="46">
        <v>24.9</v>
      </c>
      <c r="G1294" s="46">
        <f t="shared" si="20"/>
        <v>24.9</v>
      </c>
      <c r="H1294" s="47" t="s">
        <v>24</v>
      </c>
      <c r="I1294" s="47" t="s">
        <v>58</v>
      </c>
      <c r="J1294" s="32"/>
    </row>
    <row r="1295" spans="1:10" x14ac:dyDescent="0.2">
      <c r="A1295" s="32"/>
      <c r="B1295" s="36" t="s">
        <v>2243</v>
      </c>
      <c r="C1295" s="37" t="s">
        <v>2166</v>
      </c>
      <c r="D1295" s="38" t="s">
        <v>2244</v>
      </c>
      <c r="E1295" s="39">
        <v>1</v>
      </c>
      <c r="F1295" s="40">
        <v>5.99</v>
      </c>
      <c r="G1295" s="40">
        <f t="shared" si="20"/>
        <v>5.99</v>
      </c>
      <c r="H1295" s="41" t="s">
        <v>24</v>
      </c>
      <c r="I1295" s="41" t="s">
        <v>58</v>
      </c>
      <c r="J1295" s="32"/>
    </row>
    <row r="1296" spans="1:10" x14ac:dyDescent="0.2">
      <c r="A1296" s="32"/>
      <c r="B1296" s="42" t="s">
        <v>2245</v>
      </c>
      <c r="C1296" s="43" t="s">
        <v>2166</v>
      </c>
      <c r="D1296" s="44" t="s">
        <v>2246</v>
      </c>
      <c r="E1296" s="45">
        <v>1</v>
      </c>
      <c r="F1296" s="46">
        <v>9.39</v>
      </c>
      <c r="G1296" s="46">
        <f t="shared" si="20"/>
        <v>9.39</v>
      </c>
      <c r="H1296" s="47" t="s">
        <v>24</v>
      </c>
      <c r="I1296" s="47" t="s">
        <v>58</v>
      </c>
      <c r="J1296" s="32"/>
    </row>
    <row r="1297" spans="1:10" x14ac:dyDescent="0.2">
      <c r="A1297" s="32"/>
      <c r="B1297" s="36" t="s">
        <v>2247</v>
      </c>
      <c r="C1297" s="37" t="s">
        <v>2166</v>
      </c>
      <c r="D1297" s="38" t="s">
        <v>1970</v>
      </c>
      <c r="E1297" s="39">
        <v>1</v>
      </c>
      <c r="F1297" s="40">
        <v>11.99</v>
      </c>
      <c r="G1297" s="40">
        <f t="shared" si="20"/>
        <v>11.99</v>
      </c>
      <c r="H1297" s="41" t="s">
        <v>24</v>
      </c>
      <c r="I1297" s="41" t="s">
        <v>58</v>
      </c>
      <c r="J1297" s="32"/>
    </row>
    <row r="1298" spans="1:10" x14ac:dyDescent="0.2">
      <c r="A1298" s="32"/>
      <c r="B1298" s="42" t="s">
        <v>2248</v>
      </c>
      <c r="C1298" s="43" t="s">
        <v>2166</v>
      </c>
      <c r="D1298" s="44" t="s">
        <v>1970</v>
      </c>
      <c r="E1298" s="45">
        <v>1</v>
      </c>
      <c r="F1298" s="46">
        <v>11.99</v>
      </c>
      <c r="G1298" s="46">
        <f t="shared" si="20"/>
        <v>11.99</v>
      </c>
      <c r="H1298" s="47" t="s">
        <v>24</v>
      </c>
      <c r="I1298" s="47" t="s">
        <v>58</v>
      </c>
      <c r="J1298" s="32"/>
    </row>
    <row r="1299" spans="1:10" x14ac:dyDescent="0.2">
      <c r="A1299" s="32"/>
      <c r="B1299" s="36" t="s">
        <v>2249</v>
      </c>
      <c r="C1299" s="37" t="s">
        <v>2166</v>
      </c>
      <c r="D1299" s="38" t="s">
        <v>2250</v>
      </c>
      <c r="E1299" s="39">
        <v>1</v>
      </c>
      <c r="F1299" s="40">
        <v>5.49</v>
      </c>
      <c r="G1299" s="40">
        <f t="shared" si="20"/>
        <v>5.49</v>
      </c>
      <c r="H1299" s="41" t="s">
        <v>24</v>
      </c>
      <c r="I1299" s="41" t="s">
        <v>58</v>
      </c>
      <c r="J1299" s="32"/>
    </row>
    <row r="1300" spans="1:10" x14ac:dyDescent="0.2">
      <c r="A1300" s="32"/>
      <c r="B1300" s="42" t="s">
        <v>2251</v>
      </c>
      <c r="C1300" s="43" t="s">
        <v>2166</v>
      </c>
      <c r="D1300" s="44" t="s">
        <v>2252</v>
      </c>
      <c r="E1300" s="45">
        <v>1</v>
      </c>
      <c r="F1300" s="46">
        <v>6.99</v>
      </c>
      <c r="G1300" s="46">
        <f t="shared" si="20"/>
        <v>6.99</v>
      </c>
      <c r="H1300" s="47" t="s">
        <v>24</v>
      </c>
      <c r="I1300" s="47" t="s">
        <v>58</v>
      </c>
      <c r="J1300" s="32"/>
    </row>
    <row r="1301" spans="1:10" x14ac:dyDescent="0.2">
      <c r="A1301" s="32"/>
      <c r="B1301" s="36" t="s">
        <v>2253</v>
      </c>
      <c r="C1301" s="37" t="s">
        <v>2166</v>
      </c>
      <c r="D1301" s="38" t="s">
        <v>2254</v>
      </c>
      <c r="E1301" s="39">
        <v>1</v>
      </c>
      <c r="F1301" s="40">
        <v>12.99</v>
      </c>
      <c r="G1301" s="40">
        <f t="shared" si="20"/>
        <v>12.99</v>
      </c>
      <c r="H1301" s="41" t="s">
        <v>24</v>
      </c>
      <c r="I1301" s="41" t="s">
        <v>58</v>
      </c>
      <c r="J1301" s="32"/>
    </row>
    <row r="1302" spans="1:10" x14ac:dyDescent="0.2">
      <c r="A1302" s="32"/>
      <c r="B1302" s="42" t="s">
        <v>2255</v>
      </c>
      <c r="C1302" s="43" t="s">
        <v>2166</v>
      </c>
      <c r="D1302" s="44" t="s">
        <v>2256</v>
      </c>
      <c r="E1302" s="45">
        <v>1</v>
      </c>
      <c r="F1302" s="46">
        <v>1.99</v>
      </c>
      <c r="G1302" s="46">
        <f t="shared" si="20"/>
        <v>1.99</v>
      </c>
      <c r="H1302" s="47" t="s">
        <v>24</v>
      </c>
      <c r="I1302" s="47" t="s">
        <v>58</v>
      </c>
      <c r="J1302" s="32"/>
    </row>
    <row r="1303" spans="1:10" x14ac:dyDescent="0.2">
      <c r="A1303" s="32"/>
      <c r="B1303" s="36" t="s">
        <v>2257</v>
      </c>
      <c r="C1303" s="37" t="s">
        <v>2166</v>
      </c>
      <c r="D1303" s="38" t="s">
        <v>2258</v>
      </c>
      <c r="E1303" s="39">
        <v>1</v>
      </c>
      <c r="F1303" s="40">
        <v>8.99</v>
      </c>
      <c r="G1303" s="40">
        <f t="shared" si="20"/>
        <v>8.99</v>
      </c>
      <c r="H1303" s="41" t="s">
        <v>24</v>
      </c>
      <c r="I1303" s="41" t="s">
        <v>58</v>
      </c>
      <c r="J1303" s="32"/>
    </row>
    <row r="1304" spans="1:10" x14ac:dyDescent="0.2">
      <c r="A1304" s="32"/>
      <c r="B1304" s="42" t="s">
        <v>2259</v>
      </c>
      <c r="C1304" s="43" t="s">
        <v>2166</v>
      </c>
      <c r="D1304" s="44" t="s">
        <v>2260</v>
      </c>
      <c r="E1304" s="45">
        <v>1</v>
      </c>
      <c r="F1304" s="46">
        <v>11.99</v>
      </c>
      <c r="G1304" s="46">
        <f t="shared" si="20"/>
        <v>11.99</v>
      </c>
      <c r="H1304" s="47" t="s">
        <v>25</v>
      </c>
      <c r="I1304" s="47" t="s">
        <v>58</v>
      </c>
      <c r="J1304" s="32"/>
    </row>
    <row r="1305" spans="1:10" x14ac:dyDescent="0.2">
      <c r="A1305" s="32"/>
      <c r="B1305" s="36" t="s">
        <v>2261</v>
      </c>
      <c r="C1305" s="37" t="s">
        <v>2166</v>
      </c>
      <c r="D1305" s="38" t="s">
        <v>2262</v>
      </c>
      <c r="E1305" s="39">
        <v>1</v>
      </c>
      <c r="F1305" s="40">
        <v>6.49</v>
      </c>
      <c r="G1305" s="40">
        <f t="shared" si="20"/>
        <v>6.49</v>
      </c>
      <c r="H1305" s="41" t="s">
        <v>24</v>
      </c>
      <c r="I1305" s="41" t="s">
        <v>58</v>
      </c>
      <c r="J1305" s="32"/>
    </row>
    <row r="1306" spans="1:10" x14ac:dyDescent="0.2">
      <c r="A1306" s="32"/>
      <c r="B1306" s="42" t="s">
        <v>2263</v>
      </c>
      <c r="C1306" s="43" t="s">
        <v>2166</v>
      </c>
      <c r="D1306" s="44" t="s">
        <v>2264</v>
      </c>
      <c r="E1306" s="45">
        <v>1</v>
      </c>
      <c r="F1306" s="46">
        <v>23.99</v>
      </c>
      <c r="G1306" s="46">
        <f t="shared" si="20"/>
        <v>23.99</v>
      </c>
      <c r="H1306" s="47" t="s">
        <v>24</v>
      </c>
      <c r="I1306" s="47" t="s">
        <v>58</v>
      </c>
      <c r="J1306" s="32"/>
    </row>
    <row r="1307" spans="1:10" x14ac:dyDescent="0.2">
      <c r="A1307" s="32"/>
      <c r="B1307" s="36" t="s">
        <v>2265</v>
      </c>
      <c r="C1307" s="37" t="s">
        <v>2266</v>
      </c>
      <c r="D1307" s="38" t="s">
        <v>2267</v>
      </c>
      <c r="E1307" s="39">
        <v>1</v>
      </c>
      <c r="F1307" s="40">
        <v>89.8</v>
      </c>
      <c r="G1307" s="40">
        <f t="shared" si="20"/>
        <v>89.8</v>
      </c>
      <c r="H1307" s="41" t="s">
        <v>24</v>
      </c>
      <c r="I1307" s="41" t="s">
        <v>58</v>
      </c>
      <c r="J1307" s="32"/>
    </row>
    <row r="1308" spans="1:10" x14ac:dyDescent="0.2">
      <c r="A1308" s="32"/>
      <c r="B1308" s="42" t="s">
        <v>2268</v>
      </c>
      <c r="C1308" s="43" t="s">
        <v>2266</v>
      </c>
      <c r="D1308" s="44" t="s">
        <v>41</v>
      </c>
      <c r="E1308" s="45">
        <v>1</v>
      </c>
      <c r="F1308" s="46">
        <v>12.99</v>
      </c>
      <c r="G1308" s="46">
        <f t="shared" si="20"/>
        <v>12.99</v>
      </c>
      <c r="H1308" s="47" t="s">
        <v>26</v>
      </c>
      <c r="I1308" s="47" t="s">
        <v>58</v>
      </c>
      <c r="J1308" s="32"/>
    </row>
    <row r="1309" spans="1:10" x14ac:dyDescent="0.2">
      <c r="A1309" s="32"/>
      <c r="B1309" s="36" t="s">
        <v>2269</v>
      </c>
      <c r="C1309" s="37" t="s">
        <v>2270</v>
      </c>
      <c r="D1309" s="38" t="s">
        <v>2271</v>
      </c>
      <c r="E1309" s="39">
        <v>1</v>
      </c>
      <c r="F1309" s="40">
        <v>12.9</v>
      </c>
      <c r="G1309" s="40">
        <f t="shared" si="20"/>
        <v>12.9</v>
      </c>
      <c r="H1309" s="41" t="s">
        <v>24</v>
      </c>
      <c r="I1309" s="41" t="s">
        <v>58</v>
      </c>
      <c r="J1309" s="32"/>
    </row>
    <row r="1310" spans="1:10" x14ac:dyDescent="0.2">
      <c r="A1310" s="32"/>
      <c r="B1310" s="42" t="s">
        <v>2272</v>
      </c>
      <c r="C1310" s="43" t="s">
        <v>2273</v>
      </c>
      <c r="D1310" s="44" t="s">
        <v>2274</v>
      </c>
      <c r="E1310" s="45">
        <v>1</v>
      </c>
      <c r="F1310" s="46">
        <v>336.63</v>
      </c>
      <c r="G1310" s="46">
        <f t="shared" si="20"/>
        <v>336.63</v>
      </c>
      <c r="H1310" s="47" t="s">
        <v>24</v>
      </c>
      <c r="I1310" s="47" t="s">
        <v>58</v>
      </c>
      <c r="J1310" s="32"/>
    </row>
    <row r="1311" spans="1:10" x14ac:dyDescent="0.2">
      <c r="A1311" s="32"/>
      <c r="B1311" s="36" t="s">
        <v>2275</v>
      </c>
      <c r="C1311" s="37" t="s">
        <v>2273</v>
      </c>
      <c r="D1311" s="38" t="s">
        <v>2276</v>
      </c>
      <c r="E1311" s="39">
        <v>1</v>
      </c>
      <c r="F1311" s="40">
        <v>210.09</v>
      </c>
      <c r="G1311" s="40">
        <f t="shared" si="20"/>
        <v>210.09</v>
      </c>
      <c r="H1311" s="41" t="s">
        <v>24</v>
      </c>
      <c r="I1311" s="41" t="s">
        <v>58</v>
      </c>
      <c r="J1311" s="32"/>
    </row>
    <row r="1312" spans="1:10" x14ac:dyDescent="0.2">
      <c r="A1312" s="32"/>
      <c r="B1312" s="42" t="s">
        <v>2277</v>
      </c>
      <c r="C1312" s="43" t="s">
        <v>2273</v>
      </c>
      <c r="D1312" s="44" t="s">
        <v>2278</v>
      </c>
      <c r="E1312" s="45">
        <v>1</v>
      </c>
      <c r="F1312" s="46">
        <v>81.58</v>
      </c>
      <c r="G1312" s="46">
        <f t="shared" si="20"/>
        <v>81.58</v>
      </c>
      <c r="H1312" s="47" t="s">
        <v>24</v>
      </c>
      <c r="I1312" s="47" t="s">
        <v>58</v>
      </c>
      <c r="J1312" s="32"/>
    </row>
    <row r="1313" spans="1:10" x14ac:dyDescent="0.2">
      <c r="A1313" s="32"/>
      <c r="B1313" s="36" t="s">
        <v>2279</v>
      </c>
      <c r="C1313" s="37" t="s">
        <v>2273</v>
      </c>
      <c r="D1313" s="38" t="s">
        <v>2280</v>
      </c>
      <c r="E1313" s="39">
        <v>1</v>
      </c>
      <c r="F1313" s="40">
        <v>2.75</v>
      </c>
      <c r="G1313" s="40">
        <f t="shared" si="20"/>
        <v>2.75</v>
      </c>
      <c r="H1313" s="41" t="s">
        <v>24</v>
      </c>
      <c r="I1313" s="41" t="s">
        <v>58</v>
      </c>
      <c r="J1313" s="32"/>
    </row>
    <row r="1314" spans="1:10" x14ac:dyDescent="0.2">
      <c r="A1314" s="32"/>
      <c r="B1314" s="42" t="s">
        <v>2281</v>
      </c>
      <c r="C1314" s="43" t="s">
        <v>2282</v>
      </c>
      <c r="D1314" s="44" t="s">
        <v>2283</v>
      </c>
      <c r="E1314" s="45">
        <v>1</v>
      </c>
      <c r="F1314" s="46">
        <v>18.21</v>
      </c>
      <c r="G1314" s="46">
        <f t="shared" si="20"/>
        <v>18.21</v>
      </c>
      <c r="H1314" s="47" t="s">
        <v>24</v>
      </c>
      <c r="I1314" s="47" t="s">
        <v>71</v>
      </c>
      <c r="J1314" s="32"/>
    </row>
    <row r="1315" spans="1:10" x14ac:dyDescent="0.2">
      <c r="A1315" s="32"/>
      <c r="B1315" s="36" t="s">
        <v>2284</v>
      </c>
      <c r="C1315" s="37" t="s">
        <v>2282</v>
      </c>
      <c r="D1315" s="38" t="s">
        <v>702</v>
      </c>
      <c r="E1315" s="39">
        <v>1</v>
      </c>
      <c r="F1315" s="40">
        <v>54.03</v>
      </c>
      <c r="G1315" s="40">
        <f t="shared" si="20"/>
        <v>54.03</v>
      </c>
      <c r="H1315" s="41" t="s">
        <v>24</v>
      </c>
      <c r="I1315" s="41" t="s">
        <v>58</v>
      </c>
      <c r="J1315" s="32"/>
    </row>
    <row r="1316" spans="1:10" x14ac:dyDescent="0.2">
      <c r="A1316" s="32"/>
      <c r="B1316" s="42" t="s">
        <v>2285</v>
      </c>
      <c r="C1316" s="43" t="s">
        <v>2282</v>
      </c>
      <c r="D1316" s="44" t="s">
        <v>1419</v>
      </c>
      <c r="E1316" s="45">
        <v>1</v>
      </c>
      <c r="F1316" s="46">
        <v>9.69</v>
      </c>
      <c r="G1316" s="46">
        <f t="shared" si="20"/>
        <v>9.69</v>
      </c>
      <c r="H1316" s="47" t="s">
        <v>25</v>
      </c>
      <c r="I1316" s="47" t="s">
        <v>71</v>
      </c>
      <c r="J1316" s="32"/>
    </row>
    <row r="1317" spans="1:10" x14ac:dyDescent="0.2">
      <c r="A1317" s="32"/>
      <c r="B1317" s="36" t="s">
        <v>2286</v>
      </c>
      <c r="C1317" s="37" t="s">
        <v>2282</v>
      </c>
      <c r="D1317" s="38" t="s">
        <v>2287</v>
      </c>
      <c r="E1317" s="39">
        <v>1</v>
      </c>
      <c r="F1317" s="40">
        <v>164.99</v>
      </c>
      <c r="G1317" s="40">
        <f t="shared" si="20"/>
        <v>164.99</v>
      </c>
      <c r="H1317" s="41" t="s">
        <v>24</v>
      </c>
      <c r="I1317" s="41" t="s">
        <v>58</v>
      </c>
      <c r="J1317" s="32"/>
    </row>
    <row r="1318" spans="1:10" x14ac:dyDescent="0.2">
      <c r="A1318" s="32"/>
      <c r="B1318" s="42" t="s">
        <v>2288</v>
      </c>
      <c r="C1318" s="43" t="s">
        <v>2273</v>
      </c>
      <c r="D1318" s="44" t="s">
        <v>2289</v>
      </c>
      <c r="E1318" s="45">
        <v>1</v>
      </c>
      <c r="F1318" s="46">
        <v>48</v>
      </c>
      <c r="G1318" s="46">
        <f t="shared" si="20"/>
        <v>48</v>
      </c>
      <c r="H1318" s="47" t="s">
        <v>24</v>
      </c>
      <c r="I1318" s="47" t="s">
        <v>58</v>
      </c>
      <c r="J1318" s="32"/>
    </row>
    <row r="1319" spans="1:10" x14ac:dyDescent="0.2">
      <c r="A1319" s="32"/>
      <c r="B1319" s="36" t="s">
        <v>2290</v>
      </c>
      <c r="C1319" s="37" t="s">
        <v>2273</v>
      </c>
      <c r="D1319" s="38" t="s">
        <v>2291</v>
      </c>
      <c r="E1319" s="39">
        <v>1</v>
      </c>
      <c r="F1319" s="40">
        <v>48</v>
      </c>
      <c r="G1319" s="40">
        <f t="shared" si="20"/>
        <v>48</v>
      </c>
      <c r="H1319" s="41" t="s">
        <v>24</v>
      </c>
      <c r="I1319" s="41" t="s">
        <v>58</v>
      </c>
      <c r="J1319" s="32"/>
    </row>
    <row r="1320" spans="1:10" x14ac:dyDescent="0.2">
      <c r="A1320" s="32"/>
      <c r="B1320" s="42" t="s">
        <v>2292</v>
      </c>
      <c r="C1320" s="43" t="s">
        <v>2293</v>
      </c>
      <c r="D1320" s="44" t="s">
        <v>1463</v>
      </c>
      <c r="E1320" s="45">
        <v>1</v>
      </c>
      <c r="F1320" s="46">
        <v>5.44</v>
      </c>
      <c r="G1320" s="46">
        <f t="shared" si="20"/>
        <v>5.44</v>
      </c>
      <c r="H1320" s="47" t="s">
        <v>24</v>
      </c>
      <c r="I1320" s="47" t="s">
        <v>58</v>
      </c>
      <c r="J1320" s="32"/>
    </row>
    <row r="1321" spans="1:10" x14ac:dyDescent="0.2">
      <c r="A1321" s="32"/>
      <c r="B1321" s="36" t="s">
        <v>2294</v>
      </c>
      <c r="C1321" s="37" t="s">
        <v>2293</v>
      </c>
      <c r="D1321" s="38" t="s">
        <v>1340</v>
      </c>
      <c r="E1321" s="39">
        <v>1</v>
      </c>
      <c r="F1321" s="40">
        <v>47.99</v>
      </c>
      <c r="G1321" s="40">
        <f t="shared" si="20"/>
        <v>47.99</v>
      </c>
      <c r="H1321" s="41" t="s">
        <v>24</v>
      </c>
      <c r="I1321" s="41" t="s">
        <v>58</v>
      </c>
      <c r="J1321" s="32"/>
    </row>
    <row r="1322" spans="1:10" x14ac:dyDescent="0.2">
      <c r="A1322" s="32"/>
      <c r="B1322" s="42" t="s">
        <v>2295</v>
      </c>
      <c r="C1322" s="43" t="s">
        <v>2293</v>
      </c>
      <c r="D1322" s="44" t="s">
        <v>76</v>
      </c>
      <c r="E1322" s="45">
        <v>1</v>
      </c>
      <c r="F1322" s="46">
        <v>6.99</v>
      </c>
      <c r="G1322" s="46">
        <f t="shared" si="20"/>
        <v>6.99</v>
      </c>
      <c r="H1322" s="47" t="s">
        <v>24</v>
      </c>
      <c r="I1322" s="47" t="s">
        <v>58</v>
      </c>
      <c r="J1322" s="32"/>
    </row>
    <row r="1323" spans="1:10" x14ac:dyDescent="0.2">
      <c r="A1323" s="32"/>
      <c r="B1323" s="36" t="s">
        <v>2296</v>
      </c>
      <c r="C1323" s="37" t="s">
        <v>2293</v>
      </c>
      <c r="D1323" s="38" t="s">
        <v>2297</v>
      </c>
      <c r="E1323" s="39">
        <v>1</v>
      </c>
      <c r="F1323" s="40">
        <v>28.99</v>
      </c>
      <c r="G1323" s="40">
        <f t="shared" si="20"/>
        <v>28.99</v>
      </c>
      <c r="H1323" s="41" t="s">
        <v>28</v>
      </c>
      <c r="I1323" s="41" t="s">
        <v>58</v>
      </c>
      <c r="J1323" s="32"/>
    </row>
    <row r="1324" spans="1:10" x14ac:dyDescent="0.2">
      <c r="A1324" s="32"/>
      <c r="B1324" s="42" t="s">
        <v>2298</v>
      </c>
      <c r="C1324" s="43" t="s">
        <v>2293</v>
      </c>
      <c r="D1324" s="44" t="s">
        <v>1012</v>
      </c>
      <c r="E1324" s="45">
        <v>1</v>
      </c>
      <c r="F1324" s="46">
        <v>5.99</v>
      </c>
      <c r="G1324" s="46">
        <f t="shared" si="20"/>
        <v>5.99</v>
      </c>
      <c r="H1324" s="47" t="s">
        <v>24</v>
      </c>
      <c r="I1324" s="47" t="s">
        <v>58</v>
      </c>
      <c r="J1324" s="32"/>
    </row>
    <row r="1325" spans="1:10" x14ac:dyDescent="0.2">
      <c r="A1325" s="32"/>
      <c r="B1325" s="36" t="s">
        <v>2299</v>
      </c>
      <c r="C1325" s="37" t="s">
        <v>2293</v>
      </c>
      <c r="D1325" s="38" t="s">
        <v>2300</v>
      </c>
      <c r="E1325" s="39">
        <v>1</v>
      </c>
      <c r="F1325" s="40">
        <v>8.39</v>
      </c>
      <c r="G1325" s="40">
        <f t="shared" si="20"/>
        <v>8.39</v>
      </c>
      <c r="H1325" s="41" t="s">
        <v>24</v>
      </c>
      <c r="I1325" s="41" t="s">
        <v>58</v>
      </c>
      <c r="J1325" s="32"/>
    </row>
    <row r="1326" spans="1:10" x14ac:dyDescent="0.2">
      <c r="A1326" s="32"/>
      <c r="B1326" s="42" t="s">
        <v>2301</v>
      </c>
      <c r="C1326" s="43" t="s">
        <v>2293</v>
      </c>
      <c r="D1326" s="44" t="s">
        <v>2302</v>
      </c>
      <c r="E1326" s="45">
        <v>1</v>
      </c>
      <c r="F1326" s="46">
        <v>63.99</v>
      </c>
      <c r="G1326" s="46">
        <f t="shared" si="20"/>
        <v>63.99</v>
      </c>
      <c r="H1326" s="47" t="s">
        <v>24</v>
      </c>
      <c r="I1326" s="47" t="s">
        <v>58</v>
      </c>
      <c r="J1326" s="32"/>
    </row>
    <row r="1327" spans="1:10" x14ac:dyDescent="0.2">
      <c r="A1327" s="32"/>
      <c r="B1327" s="36" t="s">
        <v>2303</v>
      </c>
      <c r="C1327" s="37" t="s">
        <v>2293</v>
      </c>
      <c r="D1327" s="38" t="s">
        <v>2302</v>
      </c>
      <c r="E1327" s="39">
        <v>1</v>
      </c>
      <c r="F1327" s="40">
        <v>63.99</v>
      </c>
      <c r="G1327" s="40">
        <f t="shared" si="20"/>
        <v>63.99</v>
      </c>
      <c r="H1327" s="41" t="s">
        <v>24</v>
      </c>
      <c r="I1327" s="41" t="s">
        <v>58</v>
      </c>
      <c r="J1327" s="32"/>
    </row>
    <row r="1328" spans="1:10" x14ac:dyDescent="0.2">
      <c r="A1328" s="32"/>
      <c r="B1328" s="42" t="s">
        <v>2304</v>
      </c>
      <c r="C1328" s="43" t="s">
        <v>2293</v>
      </c>
      <c r="D1328" s="44" t="s">
        <v>2305</v>
      </c>
      <c r="E1328" s="45">
        <v>1</v>
      </c>
      <c r="F1328" s="46">
        <v>19.59</v>
      </c>
      <c r="G1328" s="46">
        <f t="shared" si="20"/>
        <v>19.59</v>
      </c>
      <c r="H1328" s="47" t="s">
        <v>24</v>
      </c>
      <c r="I1328" s="47" t="s">
        <v>58</v>
      </c>
      <c r="J1328" s="32"/>
    </row>
    <row r="1329" spans="1:10" x14ac:dyDescent="0.2">
      <c r="A1329" s="32"/>
      <c r="B1329" s="36" t="s">
        <v>2306</v>
      </c>
      <c r="C1329" s="37" t="s">
        <v>2293</v>
      </c>
      <c r="D1329" s="38" t="s">
        <v>2307</v>
      </c>
      <c r="E1329" s="39">
        <v>1</v>
      </c>
      <c r="F1329" s="40">
        <v>112.99</v>
      </c>
      <c r="G1329" s="40">
        <f t="shared" si="20"/>
        <v>112.99</v>
      </c>
      <c r="H1329" s="41" t="s">
        <v>24</v>
      </c>
      <c r="I1329" s="41" t="s">
        <v>58</v>
      </c>
      <c r="J1329" s="32"/>
    </row>
    <row r="1330" spans="1:10" x14ac:dyDescent="0.2">
      <c r="A1330" s="32"/>
      <c r="B1330" s="42" t="s">
        <v>2308</v>
      </c>
      <c r="C1330" s="43" t="s">
        <v>2293</v>
      </c>
      <c r="D1330" s="44" t="s">
        <v>2309</v>
      </c>
      <c r="E1330" s="45">
        <v>1</v>
      </c>
      <c r="F1330" s="46">
        <v>21.99</v>
      </c>
      <c r="G1330" s="46">
        <f t="shared" si="20"/>
        <v>21.99</v>
      </c>
      <c r="H1330" s="47" t="s">
        <v>24</v>
      </c>
      <c r="I1330" s="47" t="s">
        <v>58</v>
      </c>
      <c r="J1330" s="32"/>
    </row>
    <row r="1331" spans="1:10" x14ac:dyDescent="0.2">
      <c r="A1331" s="32"/>
      <c r="B1331" s="36" t="s">
        <v>2310</v>
      </c>
      <c r="C1331" s="37" t="s">
        <v>2293</v>
      </c>
      <c r="D1331" s="38" t="s">
        <v>2311</v>
      </c>
      <c r="E1331" s="39">
        <v>1</v>
      </c>
      <c r="F1331" s="40">
        <v>4.29</v>
      </c>
      <c r="G1331" s="40">
        <f t="shared" si="20"/>
        <v>4.29</v>
      </c>
      <c r="H1331" s="41" t="s">
        <v>24</v>
      </c>
      <c r="I1331" s="41" t="s">
        <v>58</v>
      </c>
      <c r="J1331" s="32"/>
    </row>
    <row r="1332" spans="1:10" x14ac:dyDescent="0.2">
      <c r="A1332" s="32"/>
      <c r="B1332" s="42" t="s">
        <v>2312</v>
      </c>
      <c r="C1332" s="43" t="s">
        <v>2293</v>
      </c>
      <c r="D1332" s="44" t="s">
        <v>2313</v>
      </c>
      <c r="E1332" s="45">
        <v>1</v>
      </c>
      <c r="F1332" s="46">
        <v>12.59</v>
      </c>
      <c r="G1332" s="46">
        <f t="shared" si="20"/>
        <v>12.59</v>
      </c>
      <c r="H1332" s="47" t="s">
        <v>24</v>
      </c>
      <c r="I1332" s="47" t="s">
        <v>58</v>
      </c>
      <c r="J1332" s="32"/>
    </row>
    <row r="1333" spans="1:10" x14ac:dyDescent="0.2">
      <c r="A1333" s="32"/>
      <c r="B1333" s="36" t="s">
        <v>2314</v>
      </c>
      <c r="C1333" s="37" t="s">
        <v>2293</v>
      </c>
      <c r="D1333" s="38" t="s">
        <v>2315</v>
      </c>
      <c r="E1333" s="39">
        <v>1</v>
      </c>
      <c r="F1333" s="40">
        <v>5.49</v>
      </c>
      <c r="G1333" s="40">
        <f t="shared" si="20"/>
        <v>5.49</v>
      </c>
      <c r="H1333" s="41" t="s">
        <v>24</v>
      </c>
      <c r="I1333" s="41" t="s">
        <v>58</v>
      </c>
      <c r="J1333" s="32"/>
    </row>
    <row r="1334" spans="1:10" x14ac:dyDescent="0.2">
      <c r="A1334" s="32"/>
      <c r="B1334" s="42" t="s">
        <v>2316</v>
      </c>
      <c r="C1334" s="43" t="s">
        <v>2293</v>
      </c>
      <c r="D1334" s="44" t="s">
        <v>2317</v>
      </c>
      <c r="E1334" s="45">
        <v>1</v>
      </c>
      <c r="F1334" s="46">
        <v>5.59</v>
      </c>
      <c r="G1334" s="46">
        <f t="shared" si="20"/>
        <v>5.59</v>
      </c>
      <c r="H1334" s="47" t="s">
        <v>24</v>
      </c>
      <c r="I1334" s="47" t="s">
        <v>58</v>
      </c>
      <c r="J1334" s="32"/>
    </row>
    <row r="1335" spans="1:10" x14ac:dyDescent="0.2">
      <c r="A1335" s="32"/>
      <c r="B1335" s="36" t="s">
        <v>2318</v>
      </c>
      <c r="C1335" s="37" t="s">
        <v>2293</v>
      </c>
      <c r="D1335" s="38" t="s">
        <v>2319</v>
      </c>
      <c r="E1335" s="39">
        <v>1</v>
      </c>
      <c r="F1335" s="40">
        <v>18.690000000000001</v>
      </c>
      <c r="G1335" s="40">
        <f t="shared" si="20"/>
        <v>18.690000000000001</v>
      </c>
      <c r="H1335" s="41" t="s">
        <v>24</v>
      </c>
      <c r="I1335" s="41" t="s">
        <v>58</v>
      </c>
      <c r="J1335" s="32"/>
    </row>
    <row r="1336" spans="1:10" x14ac:dyDescent="0.2">
      <c r="A1336" s="32"/>
      <c r="B1336" s="42" t="s">
        <v>2320</v>
      </c>
      <c r="C1336" s="43" t="s">
        <v>2293</v>
      </c>
      <c r="D1336" s="44" t="s">
        <v>2321</v>
      </c>
      <c r="E1336" s="45">
        <v>1</v>
      </c>
      <c r="F1336" s="46">
        <v>15.29</v>
      </c>
      <c r="G1336" s="46">
        <f t="shared" si="20"/>
        <v>15.29</v>
      </c>
      <c r="H1336" s="47" t="s">
        <v>24</v>
      </c>
      <c r="I1336" s="47" t="s">
        <v>58</v>
      </c>
      <c r="J1336" s="32"/>
    </row>
    <row r="1337" spans="1:10" x14ac:dyDescent="0.2">
      <c r="A1337" s="32"/>
      <c r="B1337" s="36" t="s">
        <v>2322</v>
      </c>
      <c r="C1337" s="37" t="s">
        <v>2293</v>
      </c>
      <c r="D1337" s="38" t="s">
        <v>2323</v>
      </c>
      <c r="E1337" s="39">
        <v>1</v>
      </c>
      <c r="F1337" s="40">
        <v>7.89</v>
      </c>
      <c r="G1337" s="40">
        <f t="shared" si="20"/>
        <v>7.89</v>
      </c>
      <c r="H1337" s="41" t="s">
        <v>24</v>
      </c>
      <c r="I1337" s="41" t="s">
        <v>58</v>
      </c>
      <c r="J1337" s="32"/>
    </row>
    <row r="1338" spans="1:10" x14ac:dyDescent="0.2">
      <c r="A1338" s="32"/>
      <c r="B1338" s="42" t="s">
        <v>2324</v>
      </c>
      <c r="C1338" s="43" t="s">
        <v>2293</v>
      </c>
      <c r="D1338" s="44" t="s">
        <v>2325</v>
      </c>
      <c r="E1338" s="45">
        <v>1</v>
      </c>
      <c r="F1338" s="46">
        <v>5.49</v>
      </c>
      <c r="G1338" s="46">
        <f t="shared" si="20"/>
        <v>5.49</v>
      </c>
      <c r="H1338" s="47" t="s">
        <v>24</v>
      </c>
      <c r="I1338" s="47" t="s">
        <v>58</v>
      </c>
      <c r="J1338" s="32"/>
    </row>
    <row r="1339" spans="1:10" x14ac:dyDescent="0.2">
      <c r="A1339" s="32"/>
      <c r="B1339" s="36" t="s">
        <v>2326</v>
      </c>
      <c r="C1339" s="37" t="s">
        <v>2293</v>
      </c>
      <c r="D1339" s="38" t="s">
        <v>1347</v>
      </c>
      <c r="E1339" s="39">
        <v>1</v>
      </c>
      <c r="F1339" s="40">
        <v>19.89</v>
      </c>
      <c r="G1339" s="40">
        <f t="shared" si="20"/>
        <v>19.89</v>
      </c>
      <c r="H1339" s="41" t="s">
        <v>24</v>
      </c>
      <c r="I1339" s="41" t="s">
        <v>58</v>
      </c>
      <c r="J1339" s="32"/>
    </row>
    <row r="1340" spans="1:10" x14ac:dyDescent="0.2">
      <c r="A1340" s="32"/>
      <c r="B1340" s="42" t="s">
        <v>2327</v>
      </c>
      <c r="C1340" s="43" t="s">
        <v>2293</v>
      </c>
      <c r="D1340" s="44" t="s">
        <v>1357</v>
      </c>
      <c r="E1340" s="45">
        <v>1</v>
      </c>
      <c r="F1340" s="46">
        <v>48.99</v>
      </c>
      <c r="G1340" s="46">
        <f t="shared" si="20"/>
        <v>48.99</v>
      </c>
      <c r="H1340" s="47" t="s">
        <v>24</v>
      </c>
      <c r="I1340" s="47" t="s">
        <v>58</v>
      </c>
      <c r="J1340" s="32"/>
    </row>
    <row r="1341" spans="1:10" x14ac:dyDescent="0.2">
      <c r="A1341" s="32"/>
      <c r="B1341" s="36" t="s">
        <v>2328</v>
      </c>
      <c r="C1341" s="37" t="s">
        <v>2293</v>
      </c>
      <c r="D1341" s="38" t="s">
        <v>1347</v>
      </c>
      <c r="E1341" s="39">
        <v>1</v>
      </c>
      <c r="F1341" s="40">
        <v>19.89</v>
      </c>
      <c r="G1341" s="40">
        <f t="shared" si="20"/>
        <v>19.89</v>
      </c>
      <c r="H1341" s="41" t="s">
        <v>24</v>
      </c>
      <c r="I1341" s="41" t="s">
        <v>58</v>
      </c>
      <c r="J1341" s="32"/>
    </row>
    <row r="1342" spans="1:10" x14ac:dyDescent="0.2">
      <c r="A1342" s="32"/>
      <c r="B1342" s="42" t="s">
        <v>2329</v>
      </c>
      <c r="C1342" s="43" t="s">
        <v>2293</v>
      </c>
      <c r="D1342" s="44" t="s">
        <v>2330</v>
      </c>
      <c r="E1342" s="45">
        <v>1</v>
      </c>
      <c r="F1342" s="46">
        <v>15.99</v>
      </c>
      <c r="G1342" s="46">
        <f t="shared" si="20"/>
        <v>15.99</v>
      </c>
      <c r="H1342" s="47" t="s">
        <v>24</v>
      </c>
      <c r="I1342" s="47" t="s">
        <v>58</v>
      </c>
      <c r="J1342" s="32"/>
    </row>
    <row r="1343" spans="1:10" x14ac:dyDescent="0.2">
      <c r="A1343" s="32"/>
      <c r="B1343" s="36" t="s">
        <v>2331</v>
      </c>
      <c r="C1343" s="37" t="s">
        <v>2293</v>
      </c>
      <c r="D1343" s="38" t="s">
        <v>1381</v>
      </c>
      <c r="E1343" s="39">
        <v>1</v>
      </c>
      <c r="F1343" s="40">
        <v>15.99</v>
      </c>
      <c r="G1343" s="40">
        <f t="shared" si="20"/>
        <v>15.99</v>
      </c>
      <c r="H1343" s="41" t="s">
        <v>24</v>
      </c>
      <c r="I1343" s="41" t="s">
        <v>58</v>
      </c>
      <c r="J1343" s="32"/>
    </row>
    <row r="1344" spans="1:10" x14ac:dyDescent="0.2">
      <c r="A1344" s="32"/>
      <c r="B1344" s="42" t="s">
        <v>2332</v>
      </c>
      <c r="C1344" s="43" t="s">
        <v>2293</v>
      </c>
      <c r="D1344" s="44" t="s">
        <v>2333</v>
      </c>
      <c r="E1344" s="45">
        <v>1</v>
      </c>
      <c r="F1344" s="46">
        <v>16.989999999999998</v>
      </c>
      <c r="G1344" s="46">
        <f t="shared" si="20"/>
        <v>16.989999999999998</v>
      </c>
      <c r="H1344" s="47" t="s">
        <v>25</v>
      </c>
      <c r="I1344" s="47" t="s">
        <v>58</v>
      </c>
      <c r="J1344" s="32"/>
    </row>
    <row r="1345" spans="1:10" x14ac:dyDescent="0.2">
      <c r="A1345" s="32"/>
      <c r="B1345" s="36" t="s">
        <v>2334</v>
      </c>
      <c r="C1345" s="37" t="s">
        <v>2293</v>
      </c>
      <c r="D1345" s="38" t="s">
        <v>2335</v>
      </c>
      <c r="E1345" s="39">
        <v>1</v>
      </c>
      <c r="F1345" s="40">
        <v>5.29</v>
      </c>
      <c r="G1345" s="40">
        <f t="shared" si="20"/>
        <v>5.29</v>
      </c>
      <c r="H1345" s="41" t="s">
        <v>28</v>
      </c>
      <c r="I1345" s="41" t="s">
        <v>58</v>
      </c>
      <c r="J1345" s="32"/>
    </row>
    <row r="1346" spans="1:10" x14ac:dyDescent="0.2">
      <c r="A1346" s="32"/>
      <c r="B1346" s="42" t="s">
        <v>2336</v>
      </c>
      <c r="C1346" s="43" t="s">
        <v>2293</v>
      </c>
      <c r="D1346" s="44" t="s">
        <v>2337</v>
      </c>
      <c r="E1346" s="45">
        <v>1</v>
      </c>
      <c r="F1346" s="46">
        <v>2.4900000000000002</v>
      </c>
      <c r="G1346" s="46">
        <f t="shared" si="20"/>
        <v>2.4900000000000002</v>
      </c>
      <c r="H1346" s="47" t="s">
        <v>24</v>
      </c>
      <c r="I1346" s="47" t="s">
        <v>58</v>
      </c>
      <c r="J1346" s="32"/>
    </row>
    <row r="1347" spans="1:10" x14ac:dyDescent="0.2">
      <c r="A1347" s="32"/>
      <c r="B1347" s="36" t="s">
        <v>2338</v>
      </c>
      <c r="C1347" s="37" t="s">
        <v>2293</v>
      </c>
      <c r="D1347" s="38" t="s">
        <v>1912</v>
      </c>
      <c r="E1347" s="39">
        <v>1</v>
      </c>
      <c r="F1347" s="40">
        <v>3.19</v>
      </c>
      <c r="G1347" s="40">
        <f t="shared" si="20"/>
        <v>3.19</v>
      </c>
      <c r="H1347" s="41" t="s">
        <v>24</v>
      </c>
      <c r="I1347" s="41" t="s">
        <v>58</v>
      </c>
      <c r="J1347" s="32"/>
    </row>
    <row r="1348" spans="1:10" x14ac:dyDescent="0.2">
      <c r="A1348" s="32"/>
      <c r="B1348" s="42" t="s">
        <v>2339</v>
      </c>
      <c r="C1348" s="43" t="s">
        <v>2293</v>
      </c>
      <c r="D1348" s="44" t="s">
        <v>2340</v>
      </c>
      <c r="E1348" s="45">
        <v>1</v>
      </c>
      <c r="F1348" s="46">
        <v>15.99</v>
      </c>
      <c r="G1348" s="46">
        <f t="shared" si="20"/>
        <v>15.99</v>
      </c>
      <c r="H1348" s="47" t="s">
        <v>25</v>
      </c>
      <c r="I1348" s="47" t="s">
        <v>58</v>
      </c>
      <c r="J1348" s="32"/>
    </row>
    <row r="1349" spans="1:10" x14ac:dyDescent="0.2">
      <c r="A1349" s="32"/>
      <c r="B1349" s="36" t="s">
        <v>2341</v>
      </c>
      <c r="C1349" s="37" t="s">
        <v>2293</v>
      </c>
      <c r="D1349" s="38" t="s">
        <v>1697</v>
      </c>
      <c r="E1349" s="39">
        <v>1</v>
      </c>
      <c r="F1349" s="40">
        <v>15.99</v>
      </c>
      <c r="G1349" s="40">
        <f t="shared" ref="G1349:G1412" si="21">E1349*F1349</f>
        <v>15.99</v>
      </c>
      <c r="H1349" s="41" t="s">
        <v>25</v>
      </c>
      <c r="I1349" s="41" t="s">
        <v>58</v>
      </c>
      <c r="J1349" s="32"/>
    </row>
    <row r="1350" spans="1:10" x14ac:dyDescent="0.2">
      <c r="A1350" s="32"/>
      <c r="B1350" s="42" t="s">
        <v>2342</v>
      </c>
      <c r="C1350" s="43" t="s">
        <v>2293</v>
      </c>
      <c r="D1350" s="44" t="s">
        <v>2343</v>
      </c>
      <c r="E1350" s="45">
        <v>1</v>
      </c>
      <c r="F1350" s="46">
        <v>5.12</v>
      </c>
      <c r="G1350" s="46">
        <f t="shared" si="21"/>
        <v>5.12</v>
      </c>
      <c r="H1350" s="47" t="s">
        <v>24</v>
      </c>
      <c r="I1350" s="47" t="s">
        <v>58</v>
      </c>
      <c r="J1350" s="32"/>
    </row>
    <row r="1351" spans="1:10" x14ac:dyDescent="0.2">
      <c r="A1351" s="32"/>
      <c r="B1351" s="36" t="s">
        <v>2344</v>
      </c>
      <c r="C1351" s="37" t="s">
        <v>2293</v>
      </c>
      <c r="D1351" s="38" t="s">
        <v>1710</v>
      </c>
      <c r="E1351" s="39">
        <v>1</v>
      </c>
      <c r="F1351" s="40">
        <v>12.99</v>
      </c>
      <c r="G1351" s="40">
        <f t="shared" si="21"/>
        <v>12.99</v>
      </c>
      <c r="H1351" s="41" t="s">
        <v>25</v>
      </c>
      <c r="I1351" s="41" t="s">
        <v>58</v>
      </c>
      <c r="J1351" s="32"/>
    </row>
    <row r="1352" spans="1:10" x14ac:dyDescent="0.2">
      <c r="A1352" s="32"/>
      <c r="B1352" s="42" t="s">
        <v>2345</v>
      </c>
      <c r="C1352" s="43" t="s">
        <v>2293</v>
      </c>
      <c r="D1352" s="44" t="s">
        <v>40</v>
      </c>
      <c r="E1352" s="45">
        <v>1</v>
      </c>
      <c r="F1352" s="46">
        <v>12.99</v>
      </c>
      <c r="G1352" s="46">
        <f t="shared" si="21"/>
        <v>12.99</v>
      </c>
      <c r="H1352" s="47" t="s">
        <v>25</v>
      </c>
      <c r="I1352" s="47" t="s">
        <v>58</v>
      </c>
      <c r="J1352" s="32"/>
    </row>
    <row r="1353" spans="1:10" x14ac:dyDescent="0.2">
      <c r="A1353" s="32"/>
      <c r="B1353" s="36" t="s">
        <v>2346</v>
      </c>
      <c r="C1353" s="37" t="s">
        <v>2293</v>
      </c>
      <c r="D1353" s="38" t="s">
        <v>1952</v>
      </c>
      <c r="E1353" s="39">
        <v>1</v>
      </c>
      <c r="F1353" s="40">
        <v>12.99</v>
      </c>
      <c r="G1353" s="40">
        <f t="shared" si="21"/>
        <v>12.99</v>
      </c>
      <c r="H1353" s="41" t="s">
        <v>24</v>
      </c>
      <c r="I1353" s="41" t="s">
        <v>58</v>
      </c>
      <c r="J1353" s="32"/>
    </row>
    <row r="1354" spans="1:10" x14ac:dyDescent="0.2">
      <c r="A1354" s="32"/>
      <c r="B1354" s="42" t="s">
        <v>2347</v>
      </c>
      <c r="C1354" s="43" t="s">
        <v>2293</v>
      </c>
      <c r="D1354" s="44" t="s">
        <v>2333</v>
      </c>
      <c r="E1354" s="45">
        <v>1</v>
      </c>
      <c r="F1354" s="46">
        <v>16.989999999999998</v>
      </c>
      <c r="G1354" s="46">
        <f t="shared" si="21"/>
        <v>16.989999999999998</v>
      </c>
      <c r="H1354" s="47" t="s">
        <v>25</v>
      </c>
      <c r="I1354" s="47" t="s">
        <v>58</v>
      </c>
      <c r="J1354" s="32"/>
    </row>
    <row r="1355" spans="1:10" x14ac:dyDescent="0.2">
      <c r="A1355" s="32"/>
      <c r="B1355" s="36" t="s">
        <v>2348</v>
      </c>
      <c r="C1355" s="37" t="s">
        <v>2349</v>
      </c>
      <c r="D1355" s="38" t="s">
        <v>2350</v>
      </c>
      <c r="E1355" s="39">
        <v>1</v>
      </c>
      <c r="F1355" s="40">
        <v>53.9</v>
      </c>
      <c r="G1355" s="40">
        <f t="shared" si="21"/>
        <v>53.9</v>
      </c>
      <c r="H1355" s="41" t="s">
        <v>24</v>
      </c>
      <c r="I1355" s="41" t="s">
        <v>58</v>
      </c>
      <c r="J1355" s="32"/>
    </row>
    <row r="1356" spans="1:10" x14ac:dyDescent="0.2">
      <c r="A1356" s="32"/>
      <c r="B1356" s="42" t="s">
        <v>2351</v>
      </c>
      <c r="C1356" s="43" t="s">
        <v>2349</v>
      </c>
      <c r="D1356" s="44" t="s">
        <v>1986</v>
      </c>
      <c r="E1356" s="45">
        <v>1</v>
      </c>
      <c r="F1356" s="46">
        <v>21.99</v>
      </c>
      <c r="G1356" s="46">
        <f t="shared" si="21"/>
        <v>21.99</v>
      </c>
      <c r="H1356" s="47" t="s">
        <v>24</v>
      </c>
      <c r="I1356" s="47" t="s">
        <v>58</v>
      </c>
      <c r="J1356" s="32"/>
    </row>
    <row r="1357" spans="1:10" x14ac:dyDescent="0.2">
      <c r="A1357" s="32"/>
      <c r="B1357" s="36" t="s">
        <v>2352</v>
      </c>
      <c r="C1357" s="37" t="s">
        <v>2349</v>
      </c>
      <c r="D1357" s="38" t="s">
        <v>2353</v>
      </c>
      <c r="E1357" s="39">
        <v>1</v>
      </c>
      <c r="F1357" s="40">
        <v>21.9</v>
      </c>
      <c r="G1357" s="40">
        <f t="shared" si="21"/>
        <v>21.9</v>
      </c>
      <c r="H1357" s="41" t="s">
        <v>24</v>
      </c>
      <c r="I1357" s="41" t="s">
        <v>58</v>
      </c>
      <c r="J1357" s="32"/>
    </row>
    <row r="1358" spans="1:10" x14ac:dyDescent="0.2">
      <c r="A1358" s="32"/>
      <c r="B1358" s="42" t="s">
        <v>2354</v>
      </c>
      <c r="C1358" s="43" t="s">
        <v>2349</v>
      </c>
      <c r="D1358" s="44" t="s">
        <v>2355</v>
      </c>
      <c r="E1358" s="45">
        <v>1</v>
      </c>
      <c r="F1358" s="46">
        <v>109.9</v>
      </c>
      <c r="G1358" s="46">
        <f t="shared" si="21"/>
        <v>109.9</v>
      </c>
      <c r="H1358" s="47" t="s">
        <v>24</v>
      </c>
      <c r="I1358" s="47" t="s">
        <v>58</v>
      </c>
      <c r="J1358" s="32"/>
    </row>
    <row r="1359" spans="1:10" x14ac:dyDescent="0.2">
      <c r="A1359" s="32"/>
      <c r="B1359" s="36" t="s">
        <v>2356</v>
      </c>
      <c r="C1359" s="37" t="s">
        <v>2349</v>
      </c>
      <c r="D1359" s="38" t="s">
        <v>2357</v>
      </c>
      <c r="E1359" s="39">
        <v>1</v>
      </c>
      <c r="F1359" s="40">
        <v>109.9</v>
      </c>
      <c r="G1359" s="40">
        <f t="shared" si="21"/>
        <v>109.9</v>
      </c>
      <c r="H1359" s="41" t="s">
        <v>24</v>
      </c>
      <c r="I1359" s="41" t="s">
        <v>58</v>
      </c>
      <c r="J1359" s="32"/>
    </row>
    <row r="1360" spans="1:10" x14ac:dyDescent="0.2">
      <c r="A1360" s="32"/>
      <c r="B1360" s="42" t="s">
        <v>2358</v>
      </c>
      <c r="C1360" s="43" t="s">
        <v>2349</v>
      </c>
      <c r="D1360" s="44" t="s">
        <v>2359</v>
      </c>
      <c r="E1360" s="45">
        <v>1</v>
      </c>
      <c r="F1360" s="46">
        <v>74.900000000000006</v>
      </c>
      <c r="G1360" s="46">
        <f t="shared" si="21"/>
        <v>74.900000000000006</v>
      </c>
      <c r="H1360" s="47" t="s">
        <v>24</v>
      </c>
      <c r="I1360" s="47" t="s">
        <v>58</v>
      </c>
      <c r="J1360" s="32"/>
    </row>
    <row r="1361" spans="1:10" x14ac:dyDescent="0.2">
      <c r="A1361" s="32"/>
      <c r="B1361" s="36" t="s">
        <v>2360</v>
      </c>
      <c r="C1361" s="37" t="s">
        <v>2349</v>
      </c>
      <c r="D1361" s="38" t="s">
        <v>2361</v>
      </c>
      <c r="E1361" s="39">
        <v>1</v>
      </c>
      <c r="F1361" s="40">
        <v>7.99</v>
      </c>
      <c r="G1361" s="40">
        <f t="shared" si="21"/>
        <v>7.99</v>
      </c>
      <c r="H1361" s="41" t="s">
        <v>24</v>
      </c>
      <c r="I1361" s="41" t="s">
        <v>58</v>
      </c>
      <c r="J1361" s="32"/>
    </row>
    <row r="1362" spans="1:10" x14ac:dyDescent="0.2">
      <c r="A1362" s="32"/>
      <c r="B1362" s="42" t="s">
        <v>2362</v>
      </c>
      <c r="C1362" s="43" t="s">
        <v>2349</v>
      </c>
      <c r="D1362" s="44" t="s">
        <v>1996</v>
      </c>
      <c r="E1362" s="45">
        <v>1</v>
      </c>
      <c r="F1362" s="46">
        <v>99.9</v>
      </c>
      <c r="G1362" s="46">
        <f t="shared" si="21"/>
        <v>99.9</v>
      </c>
      <c r="H1362" s="47" t="s">
        <v>24</v>
      </c>
      <c r="I1362" s="47" t="s">
        <v>58</v>
      </c>
      <c r="J1362" s="32"/>
    </row>
    <row r="1363" spans="1:10" x14ac:dyDescent="0.2">
      <c r="A1363" s="32"/>
      <c r="B1363" s="36" t="s">
        <v>2363</v>
      </c>
      <c r="C1363" s="37" t="s">
        <v>2349</v>
      </c>
      <c r="D1363" s="38" t="s">
        <v>2025</v>
      </c>
      <c r="E1363" s="39">
        <v>1</v>
      </c>
      <c r="F1363" s="40">
        <v>99.9</v>
      </c>
      <c r="G1363" s="40">
        <f t="shared" si="21"/>
        <v>99.9</v>
      </c>
      <c r="H1363" s="41" t="s">
        <v>24</v>
      </c>
      <c r="I1363" s="41" t="s">
        <v>58</v>
      </c>
      <c r="J1363" s="32"/>
    </row>
    <row r="1364" spans="1:10" x14ac:dyDescent="0.2">
      <c r="A1364" s="32"/>
      <c r="B1364" s="42" t="s">
        <v>2364</v>
      </c>
      <c r="C1364" s="43" t="s">
        <v>2349</v>
      </c>
      <c r="D1364" s="44" t="s">
        <v>2365</v>
      </c>
      <c r="E1364" s="45">
        <v>1</v>
      </c>
      <c r="F1364" s="46">
        <v>7.99</v>
      </c>
      <c r="G1364" s="46">
        <f t="shared" si="21"/>
        <v>7.99</v>
      </c>
      <c r="H1364" s="47" t="s">
        <v>24</v>
      </c>
      <c r="I1364" s="47" t="s">
        <v>58</v>
      </c>
      <c r="J1364" s="32"/>
    </row>
    <row r="1365" spans="1:10" x14ac:dyDescent="0.2">
      <c r="A1365" s="32"/>
      <c r="B1365" s="36" t="s">
        <v>2366</v>
      </c>
      <c r="C1365" s="37" t="s">
        <v>2349</v>
      </c>
      <c r="D1365" s="38" t="s">
        <v>1992</v>
      </c>
      <c r="E1365" s="39">
        <v>1</v>
      </c>
      <c r="F1365" s="40">
        <v>5.49</v>
      </c>
      <c r="G1365" s="40">
        <f t="shared" si="21"/>
        <v>5.49</v>
      </c>
      <c r="H1365" s="41" t="s">
        <v>24</v>
      </c>
      <c r="I1365" s="41" t="s">
        <v>58</v>
      </c>
      <c r="J1365" s="32"/>
    </row>
    <row r="1366" spans="1:10" x14ac:dyDescent="0.2">
      <c r="A1366" s="32"/>
      <c r="B1366" s="42" t="s">
        <v>2367</v>
      </c>
      <c r="C1366" s="43" t="s">
        <v>2349</v>
      </c>
      <c r="D1366" s="44" t="s">
        <v>2045</v>
      </c>
      <c r="E1366" s="45">
        <v>1</v>
      </c>
      <c r="F1366" s="46">
        <v>13.99</v>
      </c>
      <c r="G1366" s="46">
        <f t="shared" si="21"/>
        <v>13.99</v>
      </c>
      <c r="H1366" s="47" t="s">
        <v>24</v>
      </c>
      <c r="I1366" s="47" t="s">
        <v>58</v>
      </c>
      <c r="J1366" s="32"/>
    </row>
    <row r="1367" spans="1:10" x14ac:dyDescent="0.2">
      <c r="A1367" s="32"/>
      <c r="B1367" s="36" t="s">
        <v>2368</v>
      </c>
      <c r="C1367" s="37" t="s">
        <v>2349</v>
      </c>
      <c r="D1367" s="38" t="s">
        <v>2369</v>
      </c>
      <c r="E1367" s="39">
        <v>1</v>
      </c>
      <c r="F1367" s="40">
        <v>21.99</v>
      </c>
      <c r="G1367" s="40">
        <f t="shared" si="21"/>
        <v>21.99</v>
      </c>
      <c r="H1367" s="41" t="s">
        <v>24</v>
      </c>
      <c r="I1367" s="41" t="s">
        <v>58</v>
      </c>
      <c r="J1367" s="32"/>
    </row>
    <row r="1368" spans="1:10" x14ac:dyDescent="0.2">
      <c r="A1368" s="32"/>
      <c r="B1368" s="42" t="s">
        <v>2370</v>
      </c>
      <c r="C1368" s="43" t="s">
        <v>2349</v>
      </c>
      <c r="D1368" s="44" t="s">
        <v>2106</v>
      </c>
      <c r="E1368" s="45">
        <v>1</v>
      </c>
      <c r="F1368" s="46">
        <v>21.99</v>
      </c>
      <c r="G1368" s="46">
        <f t="shared" si="21"/>
        <v>21.99</v>
      </c>
      <c r="H1368" s="47" t="s">
        <v>24</v>
      </c>
      <c r="I1368" s="47" t="s">
        <v>58</v>
      </c>
      <c r="J1368" s="32"/>
    </row>
    <row r="1369" spans="1:10" x14ac:dyDescent="0.2">
      <c r="A1369" s="32"/>
      <c r="B1369" s="36" t="s">
        <v>2371</v>
      </c>
      <c r="C1369" s="37" t="s">
        <v>2349</v>
      </c>
      <c r="D1369" s="38" t="s">
        <v>2372</v>
      </c>
      <c r="E1369" s="39">
        <v>1</v>
      </c>
      <c r="F1369" s="40">
        <v>47.28</v>
      </c>
      <c r="G1369" s="40">
        <f t="shared" si="21"/>
        <v>47.28</v>
      </c>
      <c r="H1369" s="41" t="s">
        <v>24</v>
      </c>
      <c r="I1369" s="41" t="s">
        <v>58</v>
      </c>
      <c r="J1369" s="32"/>
    </row>
    <row r="1370" spans="1:10" x14ac:dyDescent="0.2">
      <c r="A1370" s="32"/>
      <c r="B1370" s="42" t="s">
        <v>2373</v>
      </c>
      <c r="C1370" s="43" t="s">
        <v>2349</v>
      </c>
      <c r="D1370" s="44" t="s">
        <v>1994</v>
      </c>
      <c r="E1370" s="45">
        <v>1</v>
      </c>
      <c r="F1370" s="46">
        <v>7.29</v>
      </c>
      <c r="G1370" s="46">
        <f t="shared" si="21"/>
        <v>7.29</v>
      </c>
      <c r="H1370" s="47" t="s">
        <v>24</v>
      </c>
      <c r="I1370" s="47" t="s">
        <v>58</v>
      </c>
      <c r="J1370" s="32"/>
    </row>
    <row r="1371" spans="1:10" x14ac:dyDescent="0.2">
      <c r="A1371" s="32"/>
      <c r="B1371" s="36" t="s">
        <v>2374</v>
      </c>
      <c r="C1371" s="37" t="s">
        <v>2349</v>
      </c>
      <c r="D1371" s="38" t="s">
        <v>2029</v>
      </c>
      <c r="E1371" s="39">
        <v>1</v>
      </c>
      <c r="F1371" s="40">
        <v>9.59</v>
      </c>
      <c r="G1371" s="40">
        <f t="shared" si="21"/>
        <v>9.59</v>
      </c>
      <c r="H1371" s="41" t="s">
        <v>24</v>
      </c>
      <c r="I1371" s="41" t="s">
        <v>58</v>
      </c>
      <c r="J1371" s="32"/>
    </row>
    <row r="1372" spans="1:10" x14ac:dyDescent="0.2">
      <c r="A1372" s="32"/>
      <c r="B1372" s="42" t="s">
        <v>2375</v>
      </c>
      <c r="C1372" s="43" t="s">
        <v>2349</v>
      </c>
      <c r="D1372" s="44" t="s">
        <v>2376</v>
      </c>
      <c r="E1372" s="45">
        <v>1</v>
      </c>
      <c r="F1372" s="46">
        <v>87.3</v>
      </c>
      <c r="G1372" s="46">
        <f t="shared" si="21"/>
        <v>87.3</v>
      </c>
      <c r="H1372" s="47" t="s">
        <v>24</v>
      </c>
      <c r="I1372" s="47" t="s">
        <v>58</v>
      </c>
      <c r="J1372" s="32"/>
    </row>
    <row r="1373" spans="1:10" x14ac:dyDescent="0.2">
      <c r="A1373" s="32"/>
      <c r="B1373" s="36" t="s">
        <v>2377</v>
      </c>
      <c r="C1373" s="37" t="s">
        <v>2349</v>
      </c>
      <c r="D1373" s="38" t="s">
        <v>2378</v>
      </c>
      <c r="E1373" s="39">
        <v>1</v>
      </c>
      <c r="F1373" s="40">
        <v>14.99</v>
      </c>
      <c r="G1373" s="40">
        <f t="shared" si="21"/>
        <v>14.99</v>
      </c>
      <c r="H1373" s="41" t="s">
        <v>24</v>
      </c>
      <c r="I1373" s="41" t="s">
        <v>58</v>
      </c>
      <c r="J1373" s="32"/>
    </row>
    <row r="1374" spans="1:10" x14ac:dyDescent="0.2">
      <c r="A1374" s="32"/>
      <c r="B1374" s="42" t="s">
        <v>2379</v>
      </c>
      <c r="C1374" s="43" t="s">
        <v>2349</v>
      </c>
      <c r="D1374" s="44" t="s">
        <v>2380</v>
      </c>
      <c r="E1374" s="45">
        <v>1</v>
      </c>
      <c r="F1374" s="46">
        <v>7.59</v>
      </c>
      <c r="G1374" s="46">
        <f t="shared" si="21"/>
        <v>7.59</v>
      </c>
      <c r="H1374" s="47" t="s">
        <v>24</v>
      </c>
      <c r="I1374" s="47" t="s">
        <v>58</v>
      </c>
      <c r="J1374" s="32"/>
    </row>
    <row r="1375" spans="1:10" x14ac:dyDescent="0.2">
      <c r="A1375" s="32"/>
      <c r="B1375" s="36" t="s">
        <v>2381</v>
      </c>
      <c r="C1375" s="37" t="s">
        <v>2349</v>
      </c>
      <c r="D1375" s="38" t="s">
        <v>2382</v>
      </c>
      <c r="E1375" s="39">
        <v>1</v>
      </c>
      <c r="F1375" s="40">
        <v>14.99</v>
      </c>
      <c r="G1375" s="40">
        <f t="shared" si="21"/>
        <v>14.99</v>
      </c>
      <c r="H1375" s="41" t="s">
        <v>24</v>
      </c>
      <c r="I1375" s="41" t="s">
        <v>58</v>
      </c>
      <c r="J1375" s="32"/>
    </row>
    <row r="1376" spans="1:10" x14ac:dyDescent="0.2">
      <c r="A1376" s="32"/>
      <c r="B1376" s="42" t="s">
        <v>2383</v>
      </c>
      <c r="C1376" s="43" t="s">
        <v>2349</v>
      </c>
      <c r="D1376" s="44" t="s">
        <v>2384</v>
      </c>
      <c r="E1376" s="45">
        <v>1</v>
      </c>
      <c r="F1376" s="46">
        <v>9.99</v>
      </c>
      <c r="G1376" s="46">
        <f t="shared" si="21"/>
        <v>9.99</v>
      </c>
      <c r="H1376" s="47" t="s">
        <v>24</v>
      </c>
      <c r="I1376" s="47" t="s">
        <v>58</v>
      </c>
      <c r="J1376" s="32"/>
    </row>
    <row r="1377" spans="1:10" x14ac:dyDescent="0.2">
      <c r="A1377" s="32"/>
      <c r="B1377" s="36" t="s">
        <v>2385</v>
      </c>
      <c r="C1377" s="37" t="s">
        <v>2349</v>
      </c>
      <c r="D1377" s="38" t="s">
        <v>2386</v>
      </c>
      <c r="E1377" s="39">
        <v>1</v>
      </c>
      <c r="F1377" s="40">
        <v>12.99</v>
      </c>
      <c r="G1377" s="40">
        <f t="shared" si="21"/>
        <v>12.99</v>
      </c>
      <c r="H1377" s="41" t="s">
        <v>24</v>
      </c>
      <c r="I1377" s="41" t="s">
        <v>58</v>
      </c>
      <c r="J1377" s="32"/>
    </row>
    <row r="1378" spans="1:10" x14ac:dyDescent="0.2">
      <c r="A1378" s="32"/>
      <c r="B1378" s="42" t="s">
        <v>2387</v>
      </c>
      <c r="C1378" s="43" t="s">
        <v>2349</v>
      </c>
      <c r="D1378" s="44" t="s">
        <v>2388</v>
      </c>
      <c r="E1378" s="45">
        <v>1</v>
      </c>
      <c r="F1378" s="46">
        <v>2.69</v>
      </c>
      <c r="G1378" s="46">
        <f t="shared" si="21"/>
        <v>2.69</v>
      </c>
      <c r="H1378" s="47" t="s">
        <v>24</v>
      </c>
      <c r="I1378" s="47" t="s">
        <v>58</v>
      </c>
      <c r="J1378" s="32"/>
    </row>
    <row r="1379" spans="1:10" x14ac:dyDescent="0.2">
      <c r="A1379" s="32"/>
      <c r="B1379" s="36" t="s">
        <v>2389</v>
      </c>
      <c r="C1379" s="37" t="s">
        <v>2349</v>
      </c>
      <c r="D1379" s="38" t="s">
        <v>2390</v>
      </c>
      <c r="E1379" s="39">
        <v>1</v>
      </c>
      <c r="F1379" s="40">
        <v>9.99</v>
      </c>
      <c r="G1379" s="40">
        <f t="shared" si="21"/>
        <v>9.99</v>
      </c>
      <c r="H1379" s="41" t="s">
        <v>24</v>
      </c>
      <c r="I1379" s="41" t="s">
        <v>58</v>
      </c>
      <c r="J1379" s="32"/>
    </row>
    <row r="1380" spans="1:10" x14ac:dyDescent="0.2">
      <c r="A1380" s="32"/>
      <c r="B1380" s="42" t="s">
        <v>2391</v>
      </c>
      <c r="C1380" s="43" t="s">
        <v>2349</v>
      </c>
      <c r="D1380" s="44" t="s">
        <v>2392</v>
      </c>
      <c r="E1380" s="45">
        <v>1</v>
      </c>
      <c r="F1380" s="46">
        <v>21.99</v>
      </c>
      <c r="G1380" s="46">
        <f t="shared" si="21"/>
        <v>21.99</v>
      </c>
      <c r="H1380" s="47" t="s">
        <v>24</v>
      </c>
      <c r="I1380" s="47" t="s">
        <v>58</v>
      </c>
      <c r="J1380" s="32"/>
    </row>
    <row r="1381" spans="1:10" x14ac:dyDescent="0.2">
      <c r="A1381" s="32"/>
      <c r="B1381" s="36" t="s">
        <v>2393</v>
      </c>
      <c r="C1381" s="37" t="s">
        <v>2349</v>
      </c>
      <c r="D1381" s="38" t="s">
        <v>2126</v>
      </c>
      <c r="E1381" s="39">
        <v>1</v>
      </c>
      <c r="F1381" s="40">
        <v>4.6900000000000004</v>
      </c>
      <c r="G1381" s="40">
        <f t="shared" si="21"/>
        <v>4.6900000000000004</v>
      </c>
      <c r="H1381" s="41" t="s">
        <v>24</v>
      </c>
      <c r="I1381" s="41" t="s">
        <v>58</v>
      </c>
      <c r="J1381" s="32"/>
    </row>
    <row r="1382" spans="1:10" x14ac:dyDescent="0.2">
      <c r="A1382" s="32"/>
      <c r="B1382" s="42" t="s">
        <v>2394</v>
      </c>
      <c r="C1382" s="43" t="s">
        <v>2349</v>
      </c>
      <c r="D1382" s="44" t="s">
        <v>2031</v>
      </c>
      <c r="E1382" s="45">
        <v>1</v>
      </c>
      <c r="F1382" s="46">
        <v>12.59</v>
      </c>
      <c r="G1382" s="46">
        <f t="shared" si="21"/>
        <v>12.59</v>
      </c>
      <c r="H1382" s="47" t="s">
        <v>24</v>
      </c>
      <c r="I1382" s="47" t="s">
        <v>58</v>
      </c>
      <c r="J1382" s="32"/>
    </row>
    <row r="1383" spans="1:10" x14ac:dyDescent="0.2">
      <c r="A1383" s="32"/>
      <c r="B1383" s="36" t="s">
        <v>2395</v>
      </c>
      <c r="C1383" s="37" t="s">
        <v>2349</v>
      </c>
      <c r="D1383" s="38" t="s">
        <v>2396</v>
      </c>
      <c r="E1383" s="39">
        <v>1</v>
      </c>
      <c r="F1383" s="40">
        <v>1.67</v>
      </c>
      <c r="G1383" s="40">
        <f t="shared" si="21"/>
        <v>1.67</v>
      </c>
      <c r="H1383" s="41" t="s">
        <v>24</v>
      </c>
      <c r="I1383" s="41" t="s">
        <v>58</v>
      </c>
      <c r="J1383" s="32"/>
    </row>
    <row r="1384" spans="1:10" x14ac:dyDescent="0.2">
      <c r="A1384" s="32"/>
      <c r="B1384" s="42" t="s">
        <v>2397</v>
      </c>
      <c r="C1384" s="43" t="s">
        <v>2349</v>
      </c>
      <c r="D1384" s="44" t="s">
        <v>2398</v>
      </c>
      <c r="E1384" s="45">
        <v>1</v>
      </c>
      <c r="F1384" s="46">
        <v>4.99</v>
      </c>
      <c r="G1384" s="46">
        <f t="shared" si="21"/>
        <v>4.99</v>
      </c>
      <c r="H1384" s="47" t="s">
        <v>24</v>
      </c>
      <c r="I1384" s="47" t="s">
        <v>58</v>
      </c>
      <c r="J1384" s="32"/>
    </row>
    <row r="1385" spans="1:10" x14ac:dyDescent="0.2">
      <c r="A1385" s="32"/>
      <c r="B1385" s="36" t="s">
        <v>2399</v>
      </c>
      <c r="C1385" s="37" t="s">
        <v>2349</v>
      </c>
      <c r="D1385" s="38" t="s">
        <v>2139</v>
      </c>
      <c r="E1385" s="39">
        <v>1</v>
      </c>
      <c r="F1385" s="40">
        <v>4.99</v>
      </c>
      <c r="G1385" s="40">
        <f t="shared" si="21"/>
        <v>4.99</v>
      </c>
      <c r="H1385" s="41" t="s">
        <v>24</v>
      </c>
      <c r="I1385" s="41" t="s">
        <v>58</v>
      </c>
      <c r="J1385" s="32"/>
    </row>
    <row r="1386" spans="1:10" x14ac:dyDescent="0.2">
      <c r="A1386" s="32"/>
      <c r="B1386" s="42" t="s">
        <v>2400</v>
      </c>
      <c r="C1386" s="43" t="s">
        <v>2349</v>
      </c>
      <c r="D1386" s="44" t="s">
        <v>2401</v>
      </c>
      <c r="E1386" s="45">
        <v>1</v>
      </c>
      <c r="F1386" s="46">
        <v>14.99</v>
      </c>
      <c r="G1386" s="46">
        <f t="shared" si="21"/>
        <v>14.99</v>
      </c>
      <c r="H1386" s="47" t="s">
        <v>24</v>
      </c>
      <c r="I1386" s="47" t="s">
        <v>58</v>
      </c>
      <c r="J1386" s="32"/>
    </row>
    <row r="1387" spans="1:10" x14ac:dyDescent="0.2">
      <c r="A1387" s="32"/>
      <c r="B1387" s="36" t="s">
        <v>2402</v>
      </c>
      <c r="C1387" s="37" t="s">
        <v>2349</v>
      </c>
      <c r="D1387" s="38" t="s">
        <v>2403</v>
      </c>
      <c r="E1387" s="39">
        <v>1</v>
      </c>
      <c r="F1387" s="40">
        <v>6.49</v>
      </c>
      <c r="G1387" s="40">
        <f t="shared" si="21"/>
        <v>6.49</v>
      </c>
      <c r="H1387" s="41" t="s">
        <v>24</v>
      </c>
      <c r="I1387" s="41" t="s">
        <v>58</v>
      </c>
      <c r="J1387" s="32"/>
    </row>
    <row r="1388" spans="1:10" x14ac:dyDescent="0.2">
      <c r="A1388" s="32"/>
      <c r="B1388" s="42" t="s">
        <v>2404</v>
      </c>
      <c r="C1388" s="43" t="s">
        <v>2349</v>
      </c>
      <c r="D1388" s="44" t="s">
        <v>2405</v>
      </c>
      <c r="E1388" s="45">
        <v>1</v>
      </c>
      <c r="F1388" s="46">
        <v>4.59</v>
      </c>
      <c r="G1388" s="46">
        <f t="shared" si="21"/>
        <v>4.59</v>
      </c>
      <c r="H1388" s="47" t="s">
        <v>24</v>
      </c>
      <c r="I1388" s="47" t="s">
        <v>58</v>
      </c>
      <c r="J1388" s="32"/>
    </row>
    <row r="1389" spans="1:10" x14ac:dyDescent="0.2">
      <c r="A1389" s="32"/>
      <c r="B1389" s="36" t="s">
        <v>2406</v>
      </c>
      <c r="C1389" s="37" t="s">
        <v>2349</v>
      </c>
      <c r="D1389" s="38" t="s">
        <v>2407</v>
      </c>
      <c r="E1389" s="39">
        <v>1</v>
      </c>
      <c r="F1389" s="40">
        <v>13.99</v>
      </c>
      <c r="G1389" s="40">
        <f t="shared" si="21"/>
        <v>13.99</v>
      </c>
      <c r="H1389" s="41" t="s">
        <v>24</v>
      </c>
      <c r="I1389" s="41" t="s">
        <v>58</v>
      </c>
      <c r="J1389" s="32"/>
    </row>
    <row r="1390" spans="1:10" x14ac:dyDescent="0.2">
      <c r="A1390" s="32"/>
      <c r="B1390" s="42" t="s">
        <v>2408</v>
      </c>
      <c r="C1390" s="43" t="s">
        <v>2349</v>
      </c>
      <c r="D1390" s="44" t="s">
        <v>2124</v>
      </c>
      <c r="E1390" s="45">
        <v>1</v>
      </c>
      <c r="F1390" s="46">
        <v>15.9</v>
      </c>
      <c r="G1390" s="46">
        <f t="shared" si="21"/>
        <v>15.9</v>
      </c>
      <c r="H1390" s="47" t="s">
        <v>24</v>
      </c>
      <c r="I1390" s="47" t="s">
        <v>58</v>
      </c>
      <c r="J1390" s="32"/>
    </row>
    <row r="1391" spans="1:10" x14ac:dyDescent="0.2">
      <c r="A1391" s="32"/>
      <c r="B1391" s="36" t="s">
        <v>2409</v>
      </c>
      <c r="C1391" s="37" t="s">
        <v>2349</v>
      </c>
      <c r="D1391" s="38" t="s">
        <v>2093</v>
      </c>
      <c r="E1391" s="39">
        <v>1</v>
      </c>
      <c r="F1391" s="40">
        <v>4.99</v>
      </c>
      <c r="G1391" s="40">
        <f t="shared" si="21"/>
        <v>4.99</v>
      </c>
      <c r="H1391" s="41" t="s">
        <v>25</v>
      </c>
      <c r="I1391" s="41" t="s">
        <v>58</v>
      </c>
      <c r="J1391" s="32"/>
    </row>
    <row r="1392" spans="1:10" x14ac:dyDescent="0.2">
      <c r="A1392" s="32"/>
      <c r="B1392" s="42" t="s">
        <v>2410</v>
      </c>
      <c r="C1392" s="43" t="s">
        <v>2349</v>
      </c>
      <c r="D1392" s="44" t="s">
        <v>2411</v>
      </c>
      <c r="E1392" s="45">
        <v>1</v>
      </c>
      <c r="F1392" s="46">
        <v>14.99</v>
      </c>
      <c r="G1392" s="46">
        <f t="shared" si="21"/>
        <v>14.99</v>
      </c>
      <c r="H1392" s="47" t="s">
        <v>25</v>
      </c>
      <c r="I1392" s="47" t="s">
        <v>58</v>
      </c>
      <c r="J1392" s="32"/>
    </row>
    <row r="1393" spans="1:10" x14ac:dyDescent="0.2">
      <c r="A1393" s="32"/>
      <c r="B1393" s="36" t="s">
        <v>2412</v>
      </c>
      <c r="C1393" s="37" t="s">
        <v>2349</v>
      </c>
      <c r="D1393" s="38" t="s">
        <v>2413</v>
      </c>
      <c r="E1393" s="39">
        <v>1</v>
      </c>
      <c r="F1393" s="40">
        <v>11.99</v>
      </c>
      <c r="G1393" s="40">
        <f t="shared" si="21"/>
        <v>11.99</v>
      </c>
      <c r="H1393" s="41" t="s">
        <v>25</v>
      </c>
      <c r="I1393" s="41" t="s">
        <v>58</v>
      </c>
      <c r="J1393" s="32"/>
    </row>
    <row r="1394" spans="1:10" x14ac:dyDescent="0.2">
      <c r="A1394" s="32"/>
      <c r="B1394" s="42" t="s">
        <v>2414</v>
      </c>
      <c r="C1394" s="43" t="s">
        <v>2349</v>
      </c>
      <c r="D1394" s="44" t="s">
        <v>2415</v>
      </c>
      <c r="E1394" s="45">
        <v>1</v>
      </c>
      <c r="F1394" s="46">
        <v>12.99</v>
      </c>
      <c r="G1394" s="46">
        <f t="shared" si="21"/>
        <v>12.99</v>
      </c>
      <c r="H1394" s="47" t="s">
        <v>24</v>
      </c>
      <c r="I1394" s="47" t="s">
        <v>58</v>
      </c>
      <c r="J1394" s="32"/>
    </row>
    <row r="1395" spans="1:10" x14ac:dyDescent="0.2">
      <c r="A1395" s="32"/>
      <c r="B1395" s="36" t="s">
        <v>2416</v>
      </c>
      <c r="C1395" s="37" t="s">
        <v>2349</v>
      </c>
      <c r="D1395" s="38" t="s">
        <v>2417</v>
      </c>
      <c r="E1395" s="39">
        <v>1</v>
      </c>
      <c r="F1395" s="40">
        <v>12.99</v>
      </c>
      <c r="G1395" s="40">
        <f t="shared" si="21"/>
        <v>12.99</v>
      </c>
      <c r="H1395" s="41" t="s">
        <v>24</v>
      </c>
      <c r="I1395" s="41" t="s">
        <v>58</v>
      </c>
      <c r="J1395" s="32"/>
    </row>
    <row r="1396" spans="1:10" x14ac:dyDescent="0.2">
      <c r="A1396" s="32"/>
      <c r="B1396" s="42" t="s">
        <v>2418</v>
      </c>
      <c r="C1396" s="43" t="s">
        <v>2349</v>
      </c>
      <c r="D1396" s="44" t="s">
        <v>2419</v>
      </c>
      <c r="E1396" s="45">
        <v>1</v>
      </c>
      <c r="F1396" s="46">
        <v>15.9</v>
      </c>
      <c r="G1396" s="46">
        <f t="shared" si="21"/>
        <v>15.9</v>
      </c>
      <c r="H1396" s="47" t="s">
        <v>24</v>
      </c>
      <c r="I1396" s="47" t="s">
        <v>58</v>
      </c>
      <c r="J1396" s="32"/>
    </row>
    <row r="1397" spans="1:10" x14ac:dyDescent="0.2">
      <c r="A1397" s="32"/>
      <c r="B1397" s="36" t="s">
        <v>2420</v>
      </c>
      <c r="C1397" s="37" t="s">
        <v>2349</v>
      </c>
      <c r="D1397" s="38" t="s">
        <v>2421</v>
      </c>
      <c r="E1397" s="39">
        <v>1</v>
      </c>
      <c r="F1397" s="40">
        <v>1.89</v>
      </c>
      <c r="G1397" s="40">
        <f t="shared" si="21"/>
        <v>1.89</v>
      </c>
      <c r="H1397" s="41" t="s">
        <v>24</v>
      </c>
      <c r="I1397" s="41" t="s">
        <v>58</v>
      </c>
      <c r="J1397" s="32"/>
    </row>
    <row r="1398" spans="1:10" x14ac:dyDescent="0.2">
      <c r="A1398" s="32"/>
      <c r="B1398" s="42" t="s">
        <v>2422</v>
      </c>
      <c r="C1398" s="43" t="s">
        <v>2349</v>
      </c>
      <c r="D1398" s="44" t="s">
        <v>2068</v>
      </c>
      <c r="E1398" s="45">
        <v>1</v>
      </c>
      <c r="F1398" s="46">
        <v>52.9</v>
      </c>
      <c r="G1398" s="46">
        <f t="shared" si="21"/>
        <v>52.9</v>
      </c>
      <c r="H1398" s="47" t="s">
        <v>24</v>
      </c>
      <c r="I1398" s="47" t="s">
        <v>58</v>
      </c>
      <c r="J1398" s="32"/>
    </row>
    <row r="1399" spans="1:10" x14ac:dyDescent="0.2">
      <c r="A1399" s="32"/>
      <c r="B1399" s="36" t="s">
        <v>2423</v>
      </c>
      <c r="C1399" s="37" t="s">
        <v>2349</v>
      </c>
      <c r="D1399" s="38" t="s">
        <v>2070</v>
      </c>
      <c r="E1399" s="39">
        <v>1</v>
      </c>
      <c r="F1399" s="40">
        <v>74.900000000000006</v>
      </c>
      <c r="G1399" s="40">
        <f t="shared" si="21"/>
        <v>74.900000000000006</v>
      </c>
      <c r="H1399" s="41" t="s">
        <v>24</v>
      </c>
      <c r="I1399" s="41" t="s">
        <v>58</v>
      </c>
      <c r="J1399" s="32"/>
    </row>
    <row r="1400" spans="1:10" x14ac:dyDescent="0.2">
      <c r="A1400" s="32"/>
      <c r="B1400" s="42" t="s">
        <v>2424</v>
      </c>
      <c r="C1400" s="43" t="s">
        <v>2349</v>
      </c>
      <c r="D1400" s="44" t="s">
        <v>2425</v>
      </c>
      <c r="E1400" s="45">
        <v>1</v>
      </c>
      <c r="F1400" s="46">
        <v>59.9</v>
      </c>
      <c r="G1400" s="46">
        <f t="shared" si="21"/>
        <v>59.9</v>
      </c>
      <c r="H1400" s="47" t="s">
        <v>24</v>
      </c>
      <c r="I1400" s="47" t="s">
        <v>58</v>
      </c>
      <c r="J1400" s="32"/>
    </row>
    <row r="1401" spans="1:10" x14ac:dyDescent="0.2">
      <c r="A1401" s="32"/>
      <c r="B1401" s="36" t="s">
        <v>2426</v>
      </c>
      <c r="C1401" s="37" t="s">
        <v>2349</v>
      </c>
      <c r="D1401" s="38" t="s">
        <v>2427</v>
      </c>
      <c r="E1401" s="39">
        <v>1</v>
      </c>
      <c r="F1401" s="40">
        <v>16.489999999999998</v>
      </c>
      <c r="G1401" s="40">
        <f t="shared" si="21"/>
        <v>16.489999999999998</v>
      </c>
      <c r="H1401" s="41" t="s">
        <v>24</v>
      </c>
      <c r="I1401" s="41" t="s">
        <v>58</v>
      </c>
      <c r="J1401" s="32"/>
    </row>
    <row r="1402" spans="1:10" x14ac:dyDescent="0.2">
      <c r="A1402" s="32"/>
      <c r="B1402" s="42" t="s">
        <v>2428</v>
      </c>
      <c r="C1402" s="43" t="s">
        <v>2349</v>
      </c>
      <c r="D1402" s="44" t="s">
        <v>2161</v>
      </c>
      <c r="E1402" s="45">
        <v>1</v>
      </c>
      <c r="F1402" s="46">
        <v>24.99</v>
      </c>
      <c r="G1402" s="46">
        <f t="shared" si="21"/>
        <v>24.99</v>
      </c>
      <c r="H1402" s="47" t="s">
        <v>24</v>
      </c>
      <c r="I1402" s="47" t="s">
        <v>58</v>
      </c>
      <c r="J1402" s="32"/>
    </row>
    <row r="1403" spans="1:10" x14ac:dyDescent="0.2">
      <c r="A1403" s="32"/>
      <c r="B1403" s="36" t="s">
        <v>2429</v>
      </c>
      <c r="C1403" s="37" t="s">
        <v>2349</v>
      </c>
      <c r="D1403" s="38" t="s">
        <v>2430</v>
      </c>
      <c r="E1403" s="39">
        <v>1</v>
      </c>
      <c r="F1403" s="40">
        <v>14.69</v>
      </c>
      <c r="G1403" s="40">
        <f t="shared" si="21"/>
        <v>14.69</v>
      </c>
      <c r="H1403" s="41" t="s">
        <v>24</v>
      </c>
      <c r="I1403" s="41" t="s">
        <v>58</v>
      </c>
      <c r="J1403" s="32"/>
    </row>
    <row r="1404" spans="1:10" x14ac:dyDescent="0.2">
      <c r="A1404" s="32"/>
      <c r="B1404" s="42" t="s">
        <v>2431</v>
      </c>
      <c r="C1404" s="43" t="s">
        <v>2432</v>
      </c>
      <c r="D1404" s="44" t="s">
        <v>2433</v>
      </c>
      <c r="E1404" s="45">
        <v>1</v>
      </c>
      <c r="F1404" s="46">
        <v>111</v>
      </c>
      <c r="G1404" s="46">
        <f t="shared" si="21"/>
        <v>111</v>
      </c>
      <c r="H1404" s="47" t="s">
        <v>24</v>
      </c>
      <c r="I1404" s="47" t="s">
        <v>58</v>
      </c>
      <c r="J1404" s="32"/>
    </row>
    <row r="1405" spans="1:10" x14ac:dyDescent="0.2">
      <c r="A1405" s="32"/>
      <c r="B1405" s="36" t="s">
        <v>2434</v>
      </c>
      <c r="C1405" s="37" t="s">
        <v>2435</v>
      </c>
      <c r="D1405" s="38" t="s">
        <v>2267</v>
      </c>
      <c r="E1405" s="39">
        <v>1</v>
      </c>
      <c r="F1405" s="40">
        <v>75.900000000000006</v>
      </c>
      <c r="G1405" s="40">
        <f t="shared" si="21"/>
        <v>75.900000000000006</v>
      </c>
      <c r="H1405" s="41" t="s">
        <v>24</v>
      </c>
      <c r="I1405" s="41" t="s">
        <v>58</v>
      </c>
      <c r="J1405" s="32"/>
    </row>
    <row r="1406" spans="1:10" x14ac:dyDescent="0.2">
      <c r="A1406" s="32"/>
      <c r="B1406" s="42" t="s">
        <v>2436</v>
      </c>
      <c r="C1406" s="43" t="s">
        <v>2435</v>
      </c>
      <c r="D1406" s="44" t="s">
        <v>41</v>
      </c>
      <c r="E1406" s="45">
        <v>1</v>
      </c>
      <c r="F1406" s="46">
        <v>12.99</v>
      </c>
      <c r="G1406" s="46">
        <f t="shared" si="21"/>
        <v>12.99</v>
      </c>
      <c r="H1406" s="47" t="s">
        <v>26</v>
      </c>
      <c r="I1406" s="47" t="s">
        <v>58</v>
      </c>
      <c r="J1406" s="32"/>
    </row>
    <row r="1407" spans="1:10" x14ac:dyDescent="0.2">
      <c r="A1407" s="32"/>
      <c r="B1407" s="36" t="s">
        <v>2437</v>
      </c>
      <c r="C1407" s="37" t="s">
        <v>2438</v>
      </c>
      <c r="D1407" s="38" t="s">
        <v>2439</v>
      </c>
      <c r="E1407" s="39">
        <v>1</v>
      </c>
      <c r="F1407" s="40">
        <v>64.900000000000006</v>
      </c>
      <c r="G1407" s="40">
        <f t="shared" si="21"/>
        <v>64.900000000000006</v>
      </c>
      <c r="H1407" s="41" t="s">
        <v>27</v>
      </c>
      <c r="I1407" s="41" t="s">
        <v>1086</v>
      </c>
      <c r="J1407" s="32"/>
    </row>
    <row r="1408" spans="1:10" x14ac:dyDescent="0.2">
      <c r="A1408" s="32"/>
      <c r="B1408" s="42" t="s">
        <v>2440</v>
      </c>
      <c r="C1408" s="43" t="s">
        <v>2438</v>
      </c>
      <c r="D1408" s="44" t="s">
        <v>2441</v>
      </c>
      <c r="E1408" s="45">
        <v>1</v>
      </c>
      <c r="F1408" s="46">
        <v>9.99</v>
      </c>
      <c r="G1408" s="46">
        <f t="shared" si="21"/>
        <v>9.99</v>
      </c>
      <c r="H1408" s="47" t="s">
        <v>27</v>
      </c>
      <c r="I1408" s="47" t="s">
        <v>58</v>
      </c>
      <c r="J1408" s="32"/>
    </row>
    <row r="1409" spans="1:10" x14ac:dyDescent="0.2">
      <c r="A1409" s="32"/>
      <c r="B1409" s="36" t="s">
        <v>2442</v>
      </c>
      <c r="C1409" s="37" t="s">
        <v>2438</v>
      </c>
      <c r="D1409" s="38" t="s">
        <v>2443</v>
      </c>
      <c r="E1409" s="39">
        <v>1</v>
      </c>
      <c r="F1409" s="40">
        <v>124.9</v>
      </c>
      <c r="G1409" s="40">
        <f t="shared" si="21"/>
        <v>124.9</v>
      </c>
      <c r="H1409" s="41" t="s">
        <v>27</v>
      </c>
      <c r="I1409" s="41" t="s">
        <v>58</v>
      </c>
      <c r="J1409" s="32"/>
    </row>
    <row r="1410" spans="1:10" x14ac:dyDescent="0.2">
      <c r="A1410" s="32"/>
      <c r="B1410" s="42" t="s">
        <v>2444</v>
      </c>
      <c r="C1410" s="43" t="s">
        <v>2445</v>
      </c>
      <c r="D1410" s="44" t="s">
        <v>2446</v>
      </c>
      <c r="E1410" s="45">
        <v>1</v>
      </c>
      <c r="F1410" s="46">
        <v>17.79</v>
      </c>
      <c r="G1410" s="46">
        <f t="shared" si="21"/>
        <v>17.79</v>
      </c>
      <c r="H1410" s="47" t="s">
        <v>24</v>
      </c>
      <c r="I1410" s="47" t="s">
        <v>58</v>
      </c>
      <c r="J1410" s="32"/>
    </row>
    <row r="1411" spans="1:10" x14ac:dyDescent="0.2">
      <c r="A1411" s="32"/>
      <c r="B1411" s="36" t="s">
        <v>2447</v>
      </c>
      <c r="C1411" s="37" t="s">
        <v>2445</v>
      </c>
      <c r="D1411" s="38" t="s">
        <v>2448</v>
      </c>
      <c r="E1411" s="39">
        <v>1</v>
      </c>
      <c r="F1411" s="40">
        <v>3.99</v>
      </c>
      <c r="G1411" s="40">
        <f t="shared" si="21"/>
        <v>3.99</v>
      </c>
      <c r="H1411" s="41" t="s">
        <v>24</v>
      </c>
      <c r="I1411" s="41" t="s">
        <v>58</v>
      </c>
      <c r="J1411" s="32"/>
    </row>
    <row r="1412" spans="1:10" x14ac:dyDescent="0.2">
      <c r="A1412" s="32"/>
      <c r="B1412" s="42" t="s">
        <v>2449</v>
      </c>
      <c r="C1412" s="43" t="s">
        <v>2445</v>
      </c>
      <c r="D1412" s="44" t="s">
        <v>2287</v>
      </c>
      <c r="E1412" s="45">
        <v>1</v>
      </c>
      <c r="F1412" s="46">
        <v>164.99</v>
      </c>
      <c r="G1412" s="46">
        <f t="shared" si="21"/>
        <v>164.99</v>
      </c>
      <c r="H1412" s="47" t="s">
        <v>24</v>
      </c>
      <c r="I1412" s="47" t="s">
        <v>58</v>
      </c>
      <c r="J1412" s="32"/>
    </row>
    <row r="1413" spans="1:10" x14ac:dyDescent="0.2">
      <c r="A1413" s="32"/>
      <c r="B1413" s="36" t="s">
        <v>2450</v>
      </c>
      <c r="C1413" s="37" t="s">
        <v>2445</v>
      </c>
      <c r="D1413" s="38" t="s">
        <v>2451</v>
      </c>
      <c r="E1413" s="39">
        <v>1</v>
      </c>
      <c r="F1413" s="40">
        <v>87.99</v>
      </c>
      <c r="G1413" s="40">
        <f t="shared" ref="G1413:G1476" si="22">E1413*F1413</f>
        <v>87.99</v>
      </c>
      <c r="H1413" s="41" t="s">
        <v>24</v>
      </c>
      <c r="I1413" s="41" t="s">
        <v>58</v>
      </c>
      <c r="J1413" s="32"/>
    </row>
    <row r="1414" spans="1:10" x14ac:dyDescent="0.2">
      <c r="A1414" s="32"/>
      <c r="B1414" s="42" t="s">
        <v>2452</v>
      </c>
      <c r="C1414" s="43" t="s">
        <v>2445</v>
      </c>
      <c r="D1414" s="44" t="s">
        <v>2453</v>
      </c>
      <c r="E1414" s="45">
        <v>1</v>
      </c>
      <c r="F1414" s="46">
        <v>27.49</v>
      </c>
      <c r="G1414" s="46">
        <f t="shared" si="22"/>
        <v>27.49</v>
      </c>
      <c r="H1414" s="47" t="s">
        <v>24</v>
      </c>
      <c r="I1414" s="47" t="s">
        <v>58</v>
      </c>
      <c r="J1414" s="32"/>
    </row>
    <row r="1415" spans="1:10" x14ac:dyDescent="0.2">
      <c r="A1415" s="32"/>
      <c r="B1415" s="36" t="s">
        <v>2454</v>
      </c>
      <c r="C1415" s="37" t="s">
        <v>2445</v>
      </c>
      <c r="D1415" s="38" t="s">
        <v>2455</v>
      </c>
      <c r="E1415" s="39">
        <v>1</v>
      </c>
      <c r="F1415" s="40">
        <v>9.99</v>
      </c>
      <c r="G1415" s="40">
        <f t="shared" si="22"/>
        <v>9.99</v>
      </c>
      <c r="H1415" s="41" t="s">
        <v>24</v>
      </c>
      <c r="I1415" s="41" t="s">
        <v>58</v>
      </c>
      <c r="J1415" s="32"/>
    </row>
    <row r="1416" spans="1:10" x14ac:dyDescent="0.2">
      <c r="A1416" s="32"/>
      <c r="B1416" s="42" t="s">
        <v>2456</v>
      </c>
      <c r="C1416" s="43" t="s">
        <v>2457</v>
      </c>
      <c r="D1416" s="44" t="s">
        <v>906</v>
      </c>
      <c r="E1416" s="45">
        <v>1</v>
      </c>
      <c r="F1416" s="46">
        <v>7</v>
      </c>
      <c r="G1416" s="46">
        <f t="shared" si="22"/>
        <v>7</v>
      </c>
      <c r="H1416" s="47" t="s">
        <v>24</v>
      </c>
      <c r="I1416" s="47" t="s">
        <v>58</v>
      </c>
      <c r="J1416" s="32"/>
    </row>
    <row r="1417" spans="1:10" x14ac:dyDescent="0.2">
      <c r="A1417" s="32"/>
      <c r="B1417" s="36" t="s">
        <v>2458</v>
      </c>
      <c r="C1417" s="37" t="s">
        <v>2457</v>
      </c>
      <c r="D1417" s="38" t="s">
        <v>2459</v>
      </c>
      <c r="E1417" s="39">
        <v>1</v>
      </c>
      <c r="F1417" s="40">
        <v>51</v>
      </c>
      <c r="G1417" s="40">
        <f t="shared" si="22"/>
        <v>51</v>
      </c>
      <c r="H1417" s="41" t="s">
        <v>24</v>
      </c>
      <c r="I1417" s="41" t="s">
        <v>338</v>
      </c>
      <c r="J1417" s="32"/>
    </row>
    <row r="1418" spans="1:10" x14ac:dyDescent="0.2">
      <c r="A1418" s="32"/>
      <c r="B1418" s="42" t="s">
        <v>2460</v>
      </c>
      <c r="C1418" s="43" t="s">
        <v>2457</v>
      </c>
      <c r="D1418" s="44" t="s">
        <v>1753</v>
      </c>
      <c r="E1418" s="45">
        <v>1</v>
      </c>
      <c r="F1418" s="46">
        <v>54</v>
      </c>
      <c r="G1418" s="46">
        <f t="shared" si="22"/>
        <v>54</v>
      </c>
      <c r="H1418" s="47" t="s">
        <v>24</v>
      </c>
      <c r="I1418" s="47" t="s">
        <v>338</v>
      </c>
      <c r="J1418" s="32"/>
    </row>
    <row r="1419" spans="1:10" x14ac:dyDescent="0.2">
      <c r="A1419" s="32"/>
      <c r="B1419" s="36" t="s">
        <v>2461</v>
      </c>
      <c r="C1419" s="37" t="s">
        <v>2457</v>
      </c>
      <c r="D1419" s="38" t="s">
        <v>41</v>
      </c>
      <c r="E1419" s="39">
        <v>1</v>
      </c>
      <c r="F1419" s="40">
        <v>15</v>
      </c>
      <c r="G1419" s="40">
        <f t="shared" si="22"/>
        <v>15</v>
      </c>
      <c r="H1419" s="41" t="s">
        <v>26</v>
      </c>
      <c r="I1419" s="41" t="s">
        <v>58</v>
      </c>
      <c r="J1419" s="32"/>
    </row>
    <row r="1420" spans="1:10" x14ac:dyDescent="0.2">
      <c r="A1420" s="32"/>
      <c r="B1420" s="42" t="s">
        <v>2462</v>
      </c>
      <c r="C1420" s="43" t="s">
        <v>2463</v>
      </c>
      <c r="D1420" s="44" t="s">
        <v>906</v>
      </c>
      <c r="E1420" s="45">
        <v>1</v>
      </c>
      <c r="F1420" s="46">
        <v>7</v>
      </c>
      <c r="G1420" s="46">
        <f t="shared" si="22"/>
        <v>7</v>
      </c>
      <c r="H1420" s="47" t="s">
        <v>24</v>
      </c>
      <c r="I1420" s="47" t="s">
        <v>58</v>
      </c>
      <c r="J1420" s="32"/>
    </row>
    <row r="1421" spans="1:10" x14ac:dyDescent="0.2">
      <c r="A1421" s="32"/>
      <c r="B1421" s="36" t="s">
        <v>2464</v>
      </c>
      <c r="C1421" s="37" t="s">
        <v>2463</v>
      </c>
      <c r="D1421" s="38" t="s">
        <v>2459</v>
      </c>
      <c r="E1421" s="39">
        <v>1</v>
      </c>
      <c r="F1421" s="40">
        <v>51</v>
      </c>
      <c r="G1421" s="40">
        <f t="shared" si="22"/>
        <v>51</v>
      </c>
      <c r="H1421" s="41" t="s">
        <v>24</v>
      </c>
      <c r="I1421" s="41" t="s">
        <v>338</v>
      </c>
      <c r="J1421" s="32"/>
    </row>
    <row r="1422" spans="1:10" x14ac:dyDescent="0.2">
      <c r="A1422" s="32"/>
      <c r="B1422" s="42" t="s">
        <v>2465</v>
      </c>
      <c r="C1422" s="43" t="s">
        <v>2463</v>
      </c>
      <c r="D1422" s="44" t="s">
        <v>1753</v>
      </c>
      <c r="E1422" s="45">
        <v>1</v>
      </c>
      <c r="F1422" s="46">
        <v>54</v>
      </c>
      <c r="G1422" s="46">
        <f t="shared" si="22"/>
        <v>54</v>
      </c>
      <c r="H1422" s="47" t="s">
        <v>24</v>
      </c>
      <c r="I1422" s="47" t="s">
        <v>338</v>
      </c>
      <c r="J1422" s="32"/>
    </row>
    <row r="1423" spans="1:10" x14ac:dyDescent="0.2">
      <c r="A1423" s="32"/>
      <c r="B1423" s="36" t="s">
        <v>2466</v>
      </c>
      <c r="C1423" s="37" t="s">
        <v>2463</v>
      </c>
      <c r="D1423" s="38" t="s">
        <v>41</v>
      </c>
      <c r="E1423" s="39">
        <v>1</v>
      </c>
      <c r="F1423" s="40">
        <v>15</v>
      </c>
      <c r="G1423" s="40">
        <f t="shared" si="22"/>
        <v>15</v>
      </c>
      <c r="H1423" s="41" t="s">
        <v>26</v>
      </c>
      <c r="I1423" s="41" t="s">
        <v>58</v>
      </c>
      <c r="J1423" s="32"/>
    </row>
    <row r="1424" spans="1:10" x14ac:dyDescent="0.2">
      <c r="A1424" s="32"/>
      <c r="B1424" s="42" t="s">
        <v>2467</v>
      </c>
      <c r="C1424" s="43" t="s">
        <v>2468</v>
      </c>
      <c r="D1424" s="44" t="s">
        <v>1381</v>
      </c>
      <c r="E1424" s="45">
        <v>1</v>
      </c>
      <c r="F1424" s="46">
        <v>15.99</v>
      </c>
      <c r="G1424" s="46">
        <f t="shared" si="22"/>
        <v>15.99</v>
      </c>
      <c r="H1424" s="47" t="s">
        <v>24</v>
      </c>
      <c r="I1424" s="47" t="s">
        <v>58</v>
      </c>
      <c r="J1424" s="32"/>
    </row>
    <row r="1425" spans="1:10" x14ac:dyDescent="0.2">
      <c r="A1425" s="32"/>
      <c r="B1425" s="36" t="s">
        <v>2469</v>
      </c>
      <c r="C1425" s="37" t="s">
        <v>2468</v>
      </c>
      <c r="D1425" s="38" t="s">
        <v>1463</v>
      </c>
      <c r="E1425" s="39">
        <v>1</v>
      </c>
      <c r="F1425" s="40">
        <v>5.44</v>
      </c>
      <c r="G1425" s="40">
        <f t="shared" si="22"/>
        <v>5.44</v>
      </c>
      <c r="H1425" s="41" t="s">
        <v>24</v>
      </c>
      <c r="I1425" s="41" t="s">
        <v>58</v>
      </c>
      <c r="J1425" s="32"/>
    </row>
    <row r="1426" spans="1:10" x14ac:dyDescent="0.2">
      <c r="A1426" s="32"/>
      <c r="B1426" s="42" t="s">
        <v>2470</v>
      </c>
      <c r="C1426" s="43" t="s">
        <v>2468</v>
      </c>
      <c r="D1426" s="44" t="s">
        <v>735</v>
      </c>
      <c r="E1426" s="45">
        <v>1</v>
      </c>
      <c r="F1426" s="46">
        <v>5.99</v>
      </c>
      <c r="G1426" s="46">
        <f t="shared" si="22"/>
        <v>5.99</v>
      </c>
      <c r="H1426" s="47" t="s">
        <v>24</v>
      </c>
      <c r="I1426" s="47" t="s">
        <v>58</v>
      </c>
      <c r="J1426" s="32"/>
    </row>
    <row r="1427" spans="1:10" x14ac:dyDescent="0.2">
      <c r="A1427" s="32"/>
      <c r="B1427" s="36" t="s">
        <v>2471</v>
      </c>
      <c r="C1427" s="37" t="s">
        <v>2468</v>
      </c>
      <c r="D1427" s="38" t="s">
        <v>81</v>
      </c>
      <c r="E1427" s="39">
        <v>1</v>
      </c>
      <c r="F1427" s="40">
        <v>9.49</v>
      </c>
      <c r="G1427" s="40">
        <f t="shared" si="22"/>
        <v>9.49</v>
      </c>
      <c r="H1427" s="41" t="s">
        <v>24</v>
      </c>
      <c r="I1427" s="41" t="s">
        <v>58</v>
      </c>
      <c r="J1427" s="32"/>
    </row>
    <row r="1428" spans="1:10" x14ac:dyDescent="0.2">
      <c r="A1428" s="32"/>
      <c r="B1428" s="42" t="s">
        <v>2472</v>
      </c>
      <c r="C1428" s="43" t="s">
        <v>2468</v>
      </c>
      <c r="D1428" s="44" t="s">
        <v>2473</v>
      </c>
      <c r="E1428" s="45">
        <v>1</v>
      </c>
      <c r="F1428" s="46">
        <v>16.59</v>
      </c>
      <c r="G1428" s="46">
        <f t="shared" si="22"/>
        <v>16.59</v>
      </c>
      <c r="H1428" s="47" t="s">
        <v>24</v>
      </c>
      <c r="I1428" s="47" t="s">
        <v>58</v>
      </c>
      <c r="J1428" s="32"/>
    </row>
    <row r="1429" spans="1:10" x14ac:dyDescent="0.2">
      <c r="A1429" s="32"/>
      <c r="B1429" s="36" t="s">
        <v>2474</v>
      </c>
      <c r="C1429" s="37" t="s">
        <v>2468</v>
      </c>
      <c r="D1429" s="38" t="s">
        <v>2475</v>
      </c>
      <c r="E1429" s="39">
        <v>1</v>
      </c>
      <c r="F1429" s="40">
        <v>9.99</v>
      </c>
      <c r="G1429" s="40">
        <f t="shared" si="22"/>
        <v>9.99</v>
      </c>
      <c r="H1429" s="41" t="s">
        <v>24</v>
      </c>
      <c r="I1429" s="41" t="s">
        <v>58</v>
      </c>
      <c r="J1429" s="32"/>
    </row>
    <row r="1430" spans="1:10" x14ac:dyDescent="0.2">
      <c r="A1430" s="32"/>
      <c r="B1430" s="42" t="s">
        <v>2476</v>
      </c>
      <c r="C1430" s="43" t="s">
        <v>2468</v>
      </c>
      <c r="D1430" s="44" t="s">
        <v>2477</v>
      </c>
      <c r="E1430" s="45">
        <v>1</v>
      </c>
      <c r="F1430" s="46">
        <v>7.49</v>
      </c>
      <c r="G1430" s="46">
        <f t="shared" si="22"/>
        <v>7.49</v>
      </c>
      <c r="H1430" s="47" t="s">
        <v>24</v>
      </c>
      <c r="I1430" s="47" t="s">
        <v>58</v>
      </c>
      <c r="J1430" s="32"/>
    </row>
    <row r="1431" spans="1:10" x14ac:dyDescent="0.2">
      <c r="A1431" s="32"/>
      <c r="B1431" s="36" t="s">
        <v>2478</v>
      </c>
      <c r="C1431" s="37" t="s">
        <v>2468</v>
      </c>
      <c r="D1431" s="38" t="s">
        <v>1842</v>
      </c>
      <c r="E1431" s="39">
        <v>1</v>
      </c>
      <c r="F1431" s="40">
        <v>14.69</v>
      </c>
      <c r="G1431" s="40">
        <f t="shared" si="22"/>
        <v>14.69</v>
      </c>
      <c r="H1431" s="41" t="s">
        <v>24</v>
      </c>
      <c r="I1431" s="41" t="s">
        <v>58</v>
      </c>
      <c r="J1431" s="32"/>
    </row>
    <row r="1432" spans="1:10" x14ac:dyDescent="0.2">
      <c r="A1432" s="32"/>
      <c r="B1432" s="42" t="s">
        <v>2479</v>
      </c>
      <c r="C1432" s="43" t="s">
        <v>2468</v>
      </c>
      <c r="D1432" s="44" t="s">
        <v>1871</v>
      </c>
      <c r="E1432" s="45">
        <v>1</v>
      </c>
      <c r="F1432" s="46">
        <v>6.49</v>
      </c>
      <c r="G1432" s="46">
        <f t="shared" si="22"/>
        <v>6.49</v>
      </c>
      <c r="H1432" s="47" t="s">
        <v>24</v>
      </c>
      <c r="I1432" s="47" t="s">
        <v>58</v>
      </c>
      <c r="J1432" s="32"/>
    </row>
    <row r="1433" spans="1:10" x14ac:dyDescent="0.2">
      <c r="A1433" s="32"/>
      <c r="B1433" s="36" t="s">
        <v>2480</v>
      </c>
      <c r="C1433" s="37" t="s">
        <v>2468</v>
      </c>
      <c r="D1433" s="38" t="s">
        <v>2481</v>
      </c>
      <c r="E1433" s="39">
        <v>1</v>
      </c>
      <c r="F1433" s="40">
        <v>3.99</v>
      </c>
      <c r="G1433" s="40">
        <f t="shared" si="22"/>
        <v>3.99</v>
      </c>
      <c r="H1433" s="41" t="s">
        <v>24</v>
      </c>
      <c r="I1433" s="41" t="s">
        <v>58</v>
      </c>
      <c r="J1433" s="32"/>
    </row>
    <row r="1434" spans="1:10" x14ac:dyDescent="0.2">
      <c r="A1434" s="32"/>
      <c r="B1434" s="42" t="s">
        <v>2482</v>
      </c>
      <c r="C1434" s="43" t="s">
        <v>2468</v>
      </c>
      <c r="D1434" s="44" t="s">
        <v>2483</v>
      </c>
      <c r="E1434" s="45">
        <v>1</v>
      </c>
      <c r="F1434" s="46">
        <v>5.39</v>
      </c>
      <c r="G1434" s="46">
        <f t="shared" si="22"/>
        <v>5.39</v>
      </c>
      <c r="H1434" s="47" t="s">
        <v>24</v>
      </c>
      <c r="I1434" s="47" t="s">
        <v>58</v>
      </c>
      <c r="J1434" s="32"/>
    </row>
    <row r="1435" spans="1:10" x14ac:dyDescent="0.2">
      <c r="A1435" s="32"/>
      <c r="B1435" s="36" t="s">
        <v>2484</v>
      </c>
      <c r="C1435" s="37" t="s">
        <v>2468</v>
      </c>
      <c r="D1435" s="38" t="s">
        <v>2481</v>
      </c>
      <c r="E1435" s="39">
        <v>1</v>
      </c>
      <c r="F1435" s="40">
        <v>3.99</v>
      </c>
      <c r="G1435" s="40">
        <f t="shared" si="22"/>
        <v>3.99</v>
      </c>
      <c r="H1435" s="41" t="s">
        <v>24</v>
      </c>
      <c r="I1435" s="41" t="s">
        <v>58</v>
      </c>
      <c r="J1435" s="32"/>
    </row>
    <row r="1436" spans="1:10" x14ac:dyDescent="0.2">
      <c r="A1436" s="32"/>
      <c r="B1436" s="42" t="s">
        <v>2485</v>
      </c>
      <c r="C1436" s="43" t="s">
        <v>2468</v>
      </c>
      <c r="D1436" s="44" t="s">
        <v>2486</v>
      </c>
      <c r="E1436" s="45">
        <v>1</v>
      </c>
      <c r="F1436" s="46">
        <v>8.49</v>
      </c>
      <c r="G1436" s="46">
        <f t="shared" si="22"/>
        <v>8.49</v>
      </c>
      <c r="H1436" s="47" t="s">
        <v>24</v>
      </c>
      <c r="I1436" s="47" t="s">
        <v>58</v>
      </c>
      <c r="J1436" s="32"/>
    </row>
    <row r="1437" spans="1:10" x14ac:dyDescent="0.2">
      <c r="A1437" s="32"/>
      <c r="B1437" s="36" t="s">
        <v>2487</v>
      </c>
      <c r="C1437" s="37" t="s">
        <v>2468</v>
      </c>
      <c r="D1437" s="38" t="s">
        <v>2488</v>
      </c>
      <c r="E1437" s="39">
        <v>1</v>
      </c>
      <c r="F1437" s="40">
        <v>8.39</v>
      </c>
      <c r="G1437" s="40">
        <f t="shared" si="22"/>
        <v>8.39</v>
      </c>
      <c r="H1437" s="41" t="s">
        <v>24</v>
      </c>
      <c r="I1437" s="41" t="s">
        <v>58</v>
      </c>
      <c r="J1437" s="32"/>
    </row>
    <row r="1438" spans="1:10" x14ac:dyDescent="0.2">
      <c r="A1438" s="32"/>
      <c r="B1438" s="42" t="s">
        <v>2489</v>
      </c>
      <c r="C1438" s="43" t="s">
        <v>2468</v>
      </c>
      <c r="D1438" s="44" t="s">
        <v>1478</v>
      </c>
      <c r="E1438" s="45">
        <v>1</v>
      </c>
      <c r="F1438" s="46">
        <v>3.77</v>
      </c>
      <c r="G1438" s="46">
        <f t="shared" si="22"/>
        <v>3.77</v>
      </c>
      <c r="H1438" s="47" t="s">
        <v>24</v>
      </c>
      <c r="I1438" s="47" t="s">
        <v>58</v>
      </c>
      <c r="J1438" s="32"/>
    </row>
    <row r="1439" spans="1:10" x14ac:dyDescent="0.2">
      <c r="A1439" s="32"/>
      <c r="B1439" s="36" t="s">
        <v>2490</v>
      </c>
      <c r="C1439" s="37" t="s">
        <v>2468</v>
      </c>
      <c r="D1439" s="38" t="s">
        <v>2491</v>
      </c>
      <c r="E1439" s="39">
        <v>1</v>
      </c>
      <c r="F1439" s="40">
        <v>8.59</v>
      </c>
      <c r="G1439" s="40">
        <f t="shared" si="22"/>
        <v>8.59</v>
      </c>
      <c r="H1439" s="41" t="s">
        <v>24</v>
      </c>
      <c r="I1439" s="41" t="s">
        <v>58</v>
      </c>
      <c r="J1439" s="32"/>
    </row>
    <row r="1440" spans="1:10" x14ac:dyDescent="0.2">
      <c r="A1440" s="32"/>
      <c r="B1440" s="42" t="s">
        <v>2492</v>
      </c>
      <c r="C1440" s="43" t="s">
        <v>2468</v>
      </c>
      <c r="D1440" s="44" t="s">
        <v>2493</v>
      </c>
      <c r="E1440" s="45">
        <v>1</v>
      </c>
      <c r="F1440" s="46">
        <v>50.99</v>
      </c>
      <c r="G1440" s="46">
        <f t="shared" si="22"/>
        <v>50.99</v>
      </c>
      <c r="H1440" s="47" t="s">
        <v>24</v>
      </c>
      <c r="I1440" s="47" t="s">
        <v>58</v>
      </c>
      <c r="J1440" s="32"/>
    </row>
    <row r="1441" spans="1:10" x14ac:dyDescent="0.2">
      <c r="A1441" s="32"/>
      <c r="B1441" s="36" t="s">
        <v>2494</v>
      </c>
      <c r="C1441" s="37" t="s">
        <v>2468</v>
      </c>
      <c r="D1441" s="38" t="s">
        <v>1684</v>
      </c>
      <c r="E1441" s="39">
        <v>1</v>
      </c>
      <c r="F1441" s="40">
        <v>6.99</v>
      </c>
      <c r="G1441" s="40">
        <f t="shared" si="22"/>
        <v>6.99</v>
      </c>
      <c r="H1441" s="41" t="s">
        <v>24</v>
      </c>
      <c r="I1441" s="41" t="s">
        <v>58</v>
      </c>
      <c r="J1441" s="32"/>
    </row>
    <row r="1442" spans="1:10" x14ac:dyDescent="0.2">
      <c r="A1442" s="32"/>
      <c r="B1442" s="42" t="s">
        <v>2495</v>
      </c>
      <c r="C1442" s="43" t="s">
        <v>2468</v>
      </c>
      <c r="D1442" s="44" t="s">
        <v>1871</v>
      </c>
      <c r="E1442" s="45">
        <v>1</v>
      </c>
      <c r="F1442" s="46">
        <v>6.49</v>
      </c>
      <c r="G1442" s="46">
        <f t="shared" si="22"/>
        <v>6.49</v>
      </c>
      <c r="H1442" s="47" t="s">
        <v>24</v>
      </c>
      <c r="I1442" s="47" t="s">
        <v>58</v>
      </c>
      <c r="J1442" s="32"/>
    </row>
    <row r="1443" spans="1:10" x14ac:dyDescent="0.2">
      <c r="A1443" s="32"/>
      <c r="B1443" s="36" t="s">
        <v>2496</v>
      </c>
      <c r="C1443" s="37" t="s">
        <v>2468</v>
      </c>
      <c r="D1443" s="38" t="s">
        <v>2497</v>
      </c>
      <c r="E1443" s="39">
        <v>1</v>
      </c>
      <c r="F1443" s="40">
        <v>11.89</v>
      </c>
      <c r="G1443" s="40">
        <f t="shared" si="22"/>
        <v>11.89</v>
      </c>
      <c r="H1443" s="41" t="s">
        <v>24</v>
      </c>
      <c r="I1443" s="41" t="s">
        <v>58</v>
      </c>
      <c r="J1443" s="32"/>
    </row>
    <row r="1444" spans="1:10" x14ac:dyDescent="0.2">
      <c r="A1444" s="32"/>
      <c r="B1444" s="42" t="s">
        <v>2498</v>
      </c>
      <c r="C1444" s="43" t="s">
        <v>2468</v>
      </c>
      <c r="D1444" s="44" t="s">
        <v>2499</v>
      </c>
      <c r="E1444" s="45">
        <v>1</v>
      </c>
      <c r="F1444" s="46">
        <v>29.9</v>
      </c>
      <c r="G1444" s="46">
        <f t="shared" si="22"/>
        <v>29.9</v>
      </c>
      <c r="H1444" s="47" t="s">
        <v>24</v>
      </c>
      <c r="I1444" s="47" t="s">
        <v>58</v>
      </c>
      <c r="J1444" s="32"/>
    </row>
    <row r="1445" spans="1:10" x14ac:dyDescent="0.2">
      <c r="A1445" s="32"/>
      <c r="B1445" s="36" t="s">
        <v>2500</v>
      </c>
      <c r="C1445" s="37" t="s">
        <v>2468</v>
      </c>
      <c r="D1445" s="38" t="s">
        <v>2501</v>
      </c>
      <c r="E1445" s="39">
        <v>1</v>
      </c>
      <c r="F1445" s="40">
        <v>18.59</v>
      </c>
      <c r="G1445" s="40">
        <f t="shared" si="22"/>
        <v>18.59</v>
      </c>
      <c r="H1445" s="41" t="s">
        <v>24</v>
      </c>
      <c r="I1445" s="41" t="s">
        <v>58</v>
      </c>
      <c r="J1445" s="32"/>
    </row>
    <row r="1446" spans="1:10" x14ac:dyDescent="0.2">
      <c r="A1446" s="32"/>
      <c r="B1446" s="42" t="s">
        <v>2502</v>
      </c>
      <c r="C1446" s="43" t="s">
        <v>2468</v>
      </c>
      <c r="D1446" s="44" t="s">
        <v>2503</v>
      </c>
      <c r="E1446" s="45">
        <v>1</v>
      </c>
      <c r="F1446" s="46">
        <v>19.39</v>
      </c>
      <c r="G1446" s="46">
        <f t="shared" si="22"/>
        <v>19.39</v>
      </c>
      <c r="H1446" s="47" t="s">
        <v>24</v>
      </c>
      <c r="I1446" s="47" t="s">
        <v>58</v>
      </c>
      <c r="J1446" s="32"/>
    </row>
    <row r="1447" spans="1:10" x14ac:dyDescent="0.2">
      <c r="A1447" s="32"/>
      <c r="B1447" s="36" t="s">
        <v>2504</v>
      </c>
      <c r="C1447" s="37" t="s">
        <v>2468</v>
      </c>
      <c r="D1447" s="38" t="s">
        <v>2505</v>
      </c>
      <c r="E1447" s="39">
        <v>1</v>
      </c>
      <c r="F1447" s="40">
        <v>2.4900000000000002</v>
      </c>
      <c r="G1447" s="40">
        <f t="shared" si="22"/>
        <v>2.4900000000000002</v>
      </c>
      <c r="H1447" s="41" t="s">
        <v>24</v>
      </c>
      <c r="I1447" s="41" t="s">
        <v>58</v>
      </c>
      <c r="J1447" s="32"/>
    </row>
    <row r="1448" spans="1:10" x14ac:dyDescent="0.2">
      <c r="A1448" s="32"/>
      <c r="B1448" s="42" t="s">
        <v>2506</v>
      </c>
      <c r="C1448" s="43" t="s">
        <v>2468</v>
      </c>
      <c r="D1448" s="44" t="s">
        <v>2507</v>
      </c>
      <c r="E1448" s="45">
        <v>1</v>
      </c>
      <c r="F1448" s="46">
        <v>22.62</v>
      </c>
      <c r="G1448" s="46">
        <f t="shared" si="22"/>
        <v>22.62</v>
      </c>
      <c r="H1448" s="47" t="s">
        <v>25</v>
      </c>
      <c r="I1448" s="47" t="s">
        <v>58</v>
      </c>
      <c r="J1448" s="32"/>
    </row>
    <row r="1449" spans="1:10" x14ac:dyDescent="0.2">
      <c r="A1449" s="32"/>
      <c r="B1449" s="36" t="s">
        <v>2508</v>
      </c>
      <c r="C1449" s="37" t="s">
        <v>2468</v>
      </c>
      <c r="D1449" s="38" t="s">
        <v>2509</v>
      </c>
      <c r="E1449" s="39">
        <v>1</v>
      </c>
      <c r="F1449" s="40">
        <v>6.89</v>
      </c>
      <c r="G1449" s="40">
        <f t="shared" si="22"/>
        <v>6.89</v>
      </c>
      <c r="H1449" s="41" t="s">
        <v>24</v>
      </c>
      <c r="I1449" s="41" t="s">
        <v>58</v>
      </c>
      <c r="J1449" s="32"/>
    </row>
    <row r="1450" spans="1:10" x14ac:dyDescent="0.2">
      <c r="A1450" s="32"/>
      <c r="B1450" s="42" t="s">
        <v>2510</v>
      </c>
      <c r="C1450" s="43" t="s">
        <v>2468</v>
      </c>
      <c r="D1450" s="44" t="s">
        <v>2511</v>
      </c>
      <c r="E1450" s="45">
        <v>1</v>
      </c>
      <c r="F1450" s="46">
        <v>23.99</v>
      </c>
      <c r="G1450" s="46">
        <f t="shared" si="22"/>
        <v>23.99</v>
      </c>
      <c r="H1450" s="47" t="s">
        <v>24</v>
      </c>
      <c r="I1450" s="47" t="s">
        <v>58</v>
      </c>
      <c r="J1450" s="32"/>
    </row>
    <row r="1451" spans="1:10" x14ac:dyDescent="0.2">
      <c r="A1451" s="32"/>
      <c r="B1451" s="36" t="s">
        <v>2512</v>
      </c>
      <c r="C1451" s="37" t="s">
        <v>2468</v>
      </c>
      <c r="D1451" s="38" t="s">
        <v>834</v>
      </c>
      <c r="E1451" s="39">
        <v>1</v>
      </c>
      <c r="F1451" s="40">
        <v>4.66</v>
      </c>
      <c r="G1451" s="40">
        <f t="shared" si="22"/>
        <v>4.66</v>
      </c>
      <c r="H1451" s="41" t="s">
        <v>25</v>
      </c>
      <c r="I1451" s="41" t="s">
        <v>58</v>
      </c>
      <c r="J1451" s="32"/>
    </row>
    <row r="1452" spans="1:10" x14ac:dyDescent="0.2">
      <c r="A1452" s="32"/>
      <c r="B1452" s="42" t="s">
        <v>2513</v>
      </c>
      <c r="C1452" s="43" t="s">
        <v>2468</v>
      </c>
      <c r="D1452" s="44" t="s">
        <v>179</v>
      </c>
      <c r="E1452" s="45">
        <v>1</v>
      </c>
      <c r="F1452" s="46">
        <v>4.66</v>
      </c>
      <c r="G1452" s="46">
        <f t="shared" si="22"/>
        <v>4.66</v>
      </c>
      <c r="H1452" s="47" t="s">
        <v>25</v>
      </c>
      <c r="I1452" s="47" t="s">
        <v>58</v>
      </c>
      <c r="J1452" s="32"/>
    </row>
    <row r="1453" spans="1:10" x14ac:dyDescent="0.2">
      <c r="A1453" s="32"/>
      <c r="B1453" s="36" t="s">
        <v>2514</v>
      </c>
      <c r="C1453" s="37" t="s">
        <v>2468</v>
      </c>
      <c r="D1453" s="38" t="s">
        <v>40</v>
      </c>
      <c r="E1453" s="39">
        <v>1</v>
      </c>
      <c r="F1453" s="40">
        <v>12.99</v>
      </c>
      <c r="G1453" s="40">
        <f t="shared" si="22"/>
        <v>12.99</v>
      </c>
      <c r="H1453" s="41" t="s">
        <v>25</v>
      </c>
      <c r="I1453" s="41" t="s">
        <v>58</v>
      </c>
      <c r="J1453" s="32"/>
    </row>
    <row r="1454" spans="1:10" x14ac:dyDescent="0.2">
      <c r="A1454" s="32"/>
      <c r="B1454" s="42" t="s">
        <v>2515</v>
      </c>
      <c r="C1454" s="43" t="s">
        <v>2468</v>
      </c>
      <c r="D1454" s="44" t="s">
        <v>2516</v>
      </c>
      <c r="E1454" s="45">
        <v>1</v>
      </c>
      <c r="F1454" s="46">
        <v>13.99</v>
      </c>
      <c r="G1454" s="46">
        <f t="shared" si="22"/>
        <v>13.99</v>
      </c>
      <c r="H1454" s="47" t="s">
        <v>24</v>
      </c>
      <c r="I1454" s="47" t="s">
        <v>58</v>
      </c>
      <c r="J1454" s="32"/>
    </row>
    <row r="1455" spans="1:10" x14ac:dyDescent="0.2">
      <c r="A1455" s="32"/>
      <c r="B1455" s="36" t="s">
        <v>2517</v>
      </c>
      <c r="C1455" s="37" t="s">
        <v>2468</v>
      </c>
      <c r="D1455" s="38" t="s">
        <v>1694</v>
      </c>
      <c r="E1455" s="39">
        <v>1</v>
      </c>
      <c r="F1455" s="40">
        <v>14.99</v>
      </c>
      <c r="G1455" s="40">
        <f t="shared" si="22"/>
        <v>14.99</v>
      </c>
      <c r="H1455" s="41" t="s">
        <v>24</v>
      </c>
      <c r="I1455" s="41" t="s">
        <v>58</v>
      </c>
      <c r="J1455" s="32"/>
    </row>
    <row r="1456" spans="1:10" x14ac:dyDescent="0.2">
      <c r="A1456" s="32"/>
      <c r="B1456" s="42" t="s">
        <v>2518</v>
      </c>
      <c r="C1456" s="43" t="s">
        <v>2468</v>
      </c>
      <c r="D1456" s="44" t="s">
        <v>2519</v>
      </c>
      <c r="E1456" s="45">
        <v>1</v>
      </c>
      <c r="F1456" s="46">
        <v>16.989999999999998</v>
      </c>
      <c r="G1456" s="46">
        <f t="shared" si="22"/>
        <v>16.989999999999998</v>
      </c>
      <c r="H1456" s="47" t="s">
        <v>25</v>
      </c>
      <c r="I1456" s="47" t="s">
        <v>58</v>
      </c>
      <c r="J1456" s="32"/>
    </row>
    <row r="1457" spans="1:10" x14ac:dyDescent="0.2">
      <c r="A1457" s="32"/>
      <c r="B1457" s="36" t="s">
        <v>2520</v>
      </c>
      <c r="C1457" s="37" t="s">
        <v>2468</v>
      </c>
      <c r="D1457" s="38" t="s">
        <v>2521</v>
      </c>
      <c r="E1457" s="39">
        <v>1</v>
      </c>
      <c r="F1457" s="40">
        <v>24.79</v>
      </c>
      <c r="G1457" s="40">
        <f t="shared" si="22"/>
        <v>24.79</v>
      </c>
      <c r="H1457" s="41" t="s">
        <v>25</v>
      </c>
      <c r="I1457" s="41" t="s">
        <v>58</v>
      </c>
      <c r="J1457" s="32"/>
    </row>
    <row r="1458" spans="1:10" x14ac:dyDescent="0.2">
      <c r="A1458" s="32"/>
      <c r="B1458" s="42" t="s">
        <v>2522</v>
      </c>
      <c r="C1458" s="43" t="s">
        <v>2468</v>
      </c>
      <c r="D1458" s="44" t="s">
        <v>2523</v>
      </c>
      <c r="E1458" s="45">
        <v>1</v>
      </c>
      <c r="F1458" s="46">
        <v>8.99</v>
      </c>
      <c r="G1458" s="46">
        <f t="shared" si="22"/>
        <v>8.99</v>
      </c>
      <c r="H1458" s="47" t="s">
        <v>24</v>
      </c>
      <c r="I1458" s="47" t="s">
        <v>58</v>
      </c>
      <c r="J1458" s="32"/>
    </row>
    <row r="1459" spans="1:10" x14ac:dyDescent="0.2">
      <c r="A1459" s="32"/>
      <c r="B1459" s="36" t="s">
        <v>2524</v>
      </c>
      <c r="C1459" s="37" t="s">
        <v>2468</v>
      </c>
      <c r="D1459" s="38" t="s">
        <v>1912</v>
      </c>
      <c r="E1459" s="39">
        <v>1</v>
      </c>
      <c r="F1459" s="40">
        <v>3.19</v>
      </c>
      <c r="G1459" s="40">
        <f t="shared" si="22"/>
        <v>3.19</v>
      </c>
      <c r="H1459" s="41" t="s">
        <v>24</v>
      </c>
      <c r="I1459" s="41" t="s">
        <v>58</v>
      </c>
      <c r="J1459" s="32"/>
    </row>
    <row r="1460" spans="1:10" x14ac:dyDescent="0.2">
      <c r="A1460" s="32"/>
      <c r="B1460" s="42" t="s">
        <v>2525</v>
      </c>
      <c r="C1460" s="43" t="s">
        <v>2468</v>
      </c>
      <c r="D1460" s="44" t="s">
        <v>2526</v>
      </c>
      <c r="E1460" s="45">
        <v>1</v>
      </c>
      <c r="F1460" s="46">
        <v>8.7899999999999991</v>
      </c>
      <c r="G1460" s="46">
        <f t="shared" si="22"/>
        <v>8.7899999999999991</v>
      </c>
      <c r="H1460" s="47" t="s">
        <v>25</v>
      </c>
      <c r="I1460" s="47" t="s">
        <v>58</v>
      </c>
      <c r="J1460" s="32"/>
    </row>
    <row r="1461" spans="1:10" x14ac:dyDescent="0.2">
      <c r="A1461" s="32"/>
      <c r="B1461" s="36" t="s">
        <v>2527</v>
      </c>
      <c r="C1461" s="37" t="s">
        <v>2468</v>
      </c>
      <c r="D1461" s="38" t="s">
        <v>2528</v>
      </c>
      <c r="E1461" s="39">
        <v>1</v>
      </c>
      <c r="F1461" s="40">
        <v>12.89</v>
      </c>
      <c r="G1461" s="40">
        <f t="shared" si="22"/>
        <v>12.89</v>
      </c>
      <c r="H1461" s="41" t="s">
        <v>24</v>
      </c>
      <c r="I1461" s="41" t="s">
        <v>58</v>
      </c>
      <c r="J1461" s="32"/>
    </row>
    <row r="1462" spans="1:10" x14ac:dyDescent="0.2">
      <c r="A1462" s="32"/>
      <c r="B1462" s="42" t="s">
        <v>2529</v>
      </c>
      <c r="C1462" s="43" t="s">
        <v>2468</v>
      </c>
      <c r="D1462" s="44" t="s">
        <v>2530</v>
      </c>
      <c r="E1462" s="45">
        <v>1</v>
      </c>
      <c r="F1462" s="46">
        <v>6.39</v>
      </c>
      <c r="G1462" s="46">
        <f t="shared" si="22"/>
        <v>6.39</v>
      </c>
      <c r="H1462" s="47" t="s">
        <v>25</v>
      </c>
      <c r="I1462" s="47" t="s">
        <v>58</v>
      </c>
      <c r="J1462" s="32"/>
    </row>
    <row r="1463" spans="1:10" x14ac:dyDescent="0.2">
      <c r="A1463" s="32"/>
      <c r="B1463" s="36" t="s">
        <v>2531</v>
      </c>
      <c r="C1463" s="37" t="s">
        <v>2468</v>
      </c>
      <c r="D1463" s="38" t="s">
        <v>2532</v>
      </c>
      <c r="E1463" s="39">
        <v>1</v>
      </c>
      <c r="F1463" s="40">
        <v>15.99</v>
      </c>
      <c r="G1463" s="40">
        <f t="shared" si="22"/>
        <v>15.99</v>
      </c>
      <c r="H1463" s="41" t="s">
        <v>25</v>
      </c>
      <c r="I1463" s="41" t="s">
        <v>58</v>
      </c>
      <c r="J1463" s="32"/>
    </row>
    <row r="1464" spans="1:10" x14ac:dyDescent="0.2">
      <c r="A1464" s="32"/>
      <c r="B1464" s="42" t="s">
        <v>2533</v>
      </c>
      <c r="C1464" s="43" t="s">
        <v>2468</v>
      </c>
      <c r="D1464" s="44" t="s">
        <v>2534</v>
      </c>
      <c r="E1464" s="45">
        <v>1</v>
      </c>
      <c r="F1464" s="46">
        <v>12.99</v>
      </c>
      <c r="G1464" s="46">
        <f t="shared" si="22"/>
        <v>12.99</v>
      </c>
      <c r="H1464" s="47" t="s">
        <v>24</v>
      </c>
      <c r="I1464" s="47" t="s">
        <v>58</v>
      </c>
      <c r="J1464" s="32"/>
    </row>
    <row r="1465" spans="1:10" x14ac:dyDescent="0.2">
      <c r="A1465" s="32"/>
      <c r="B1465" s="36" t="s">
        <v>2535</v>
      </c>
      <c r="C1465" s="37" t="s">
        <v>2468</v>
      </c>
      <c r="D1465" s="38" t="s">
        <v>2536</v>
      </c>
      <c r="E1465" s="39">
        <v>1</v>
      </c>
      <c r="F1465" s="40">
        <v>5.99</v>
      </c>
      <c r="G1465" s="40">
        <f t="shared" si="22"/>
        <v>5.99</v>
      </c>
      <c r="H1465" s="41" t="s">
        <v>24</v>
      </c>
      <c r="I1465" s="41" t="s">
        <v>58</v>
      </c>
      <c r="J1465" s="32"/>
    </row>
    <row r="1466" spans="1:10" x14ac:dyDescent="0.2">
      <c r="A1466" s="32"/>
      <c r="B1466" s="42" t="s">
        <v>2537</v>
      </c>
      <c r="C1466" s="43" t="s">
        <v>2468</v>
      </c>
      <c r="D1466" s="44" t="s">
        <v>2538</v>
      </c>
      <c r="E1466" s="45">
        <v>1</v>
      </c>
      <c r="F1466" s="46">
        <v>22.99</v>
      </c>
      <c r="G1466" s="46">
        <f t="shared" si="22"/>
        <v>22.99</v>
      </c>
      <c r="H1466" s="47" t="s">
        <v>24</v>
      </c>
      <c r="I1466" s="47" t="s">
        <v>58</v>
      </c>
      <c r="J1466" s="32"/>
    </row>
    <row r="1467" spans="1:10" x14ac:dyDescent="0.2">
      <c r="A1467" s="32"/>
      <c r="B1467" s="36" t="s">
        <v>2539</v>
      </c>
      <c r="C1467" s="37" t="s">
        <v>2468</v>
      </c>
      <c r="D1467" s="38" t="s">
        <v>2540</v>
      </c>
      <c r="E1467" s="39">
        <v>1</v>
      </c>
      <c r="F1467" s="40">
        <v>26.49</v>
      </c>
      <c r="G1467" s="40">
        <f t="shared" si="22"/>
        <v>26.49</v>
      </c>
      <c r="H1467" s="41" t="s">
        <v>25</v>
      </c>
      <c r="I1467" s="41" t="s">
        <v>58</v>
      </c>
      <c r="J1467" s="32"/>
    </row>
    <row r="1468" spans="1:10" x14ac:dyDescent="0.2">
      <c r="A1468" s="32"/>
      <c r="B1468" s="42" t="s">
        <v>2541</v>
      </c>
      <c r="C1468" s="43" t="s">
        <v>2468</v>
      </c>
      <c r="D1468" s="44" t="s">
        <v>2542</v>
      </c>
      <c r="E1468" s="45">
        <v>1</v>
      </c>
      <c r="F1468" s="46">
        <v>7.89</v>
      </c>
      <c r="G1468" s="46">
        <f t="shared" si="22"/>
        <v>7.89</v>
      </c>
      <c r="H1468" s="47" t="s">
        <v>25</v>
      </c>
      <c r="I1468" s="47" t="s">
        <v>58</v>
      </c>
      <c r="J1468" s="32"/>
    </row>
    <row r="1469" spans="1:10" x14ac:dyDescent="0.2">
      <c r="A1469" s="32"/>
      <c r="B1469" s="36" t="s">
        <v>2543</v>
      </c>
      <c r="C1469" s="37" t="s">
        <v>2468</v>
      </c>
      <c r="D1469" s="38" t="s">
        <v>2544</v>
      </c>
      <c r="E1469" s="39">
        <v>1</v>
      </c>
      <c r="F1469" s="40">
        <v>18.39</v>
      </c>
      <c r="G1469" s="40">
        <f t="shared" si="22"/>
        <v>18.39</v>
      </c>
      <c r="H1469" s="41" t="s">
        <v>24</v>
      </c>
      <c r="I1469" s="41" t="s">
        <v>58</v>
      </c>
      <c r="J1469" s="32"/>
    </row>
    <row r="1470" spans="1:10" x14ac:dyDescent="0.2">
      <c r="A1470" s="32"/>
      <c r="B1470" s="42" t="s">
        <v>2545</v>
      </c>
      <c r="C1470" s="43" t="s">
        <v>2468</v>
      </c>
      <c r="D1470" s="44" t="s">
        <v>2546</v>
      </c>
      <c r="E1470" s="45">
        <v>1</v>
      </c>
      <c r="F1470" s="46">
        <v>7.99</v>
      </c>
      <c r="G1470" s="46">
        <f t="shared" si="22"/>
        <v>7.99</v>
      </c>
      <c r="H1470" s="47" t="s">
        <v>24</v>
      </c>
      <c r="I1470" s="47" t="s">
        <v>58</v>
      </c>
      <c r="J1470" s="32"/>
    </row>
    <row r="1471" spans="1:10" x14ac:dyDescent="0.2">
      <c r="A1471" s="32"/>
      <c r="B1471" s="36" t="s">
        <v>2547</v>
      </c>
      <c r="C1471" s="37" t="s">
        <v>2468</v>
      </c>
      <c r="D1471" s="38" t="s">
        <v>2546</v>
      </c>
      <c r="E1471" s="39">
        <v>1</v>
      </c>
      <c r="F1471" s="40">
        <v>7.99</v>
      </c>
      <c r="G1471" s="40">
        <f t="shared" si="22"/>
        <v>7.99</v>
      </c>
      <c r="H1471" s="41" t="s">
        <v>24</v>
      </c>
      <c r="I1471" s="41" t="s">
        <v>58</v>
      </c>
      <c r="J1471" s="32"/>
    </row>
    <row r="1472" spans="1:10" x14ac:dyDescent="0.2">
      <c r="A1472" s="32"/>
      <c r="B1472" s="42" t="s">
        <v>2548</v>
      </c>
      <c r="C1472" s="43" t="s">
        <v>2468</v>
      </c>
      <c r="D1472" s="44" t="s">
        <v>2549</v>
      </c>
      <c r="E1472" s="45">
        <v>1</v>
      </c>
      <c r="F1472" s="46">
        <v>3.99</v>
      </c>
      <c r="G1472" s="46">
        <f t="shared" si="22"/>
        <v>3.99</v>
      </c>
      <c r="H1472" s="47" t="s">
        <v>24</v>
      </c>
      <c r="I1472" s="47" t="s">
        <v>58</v>
      </c>
      <c r="J1472" s="32"/>
    </row>
    <row r="1473" spans="1:10" x14ac:dyDescent="0.2">
      <c r="A1473" s="32"/>
      <c r="B1473" s="36" t="s">
        <v>2550</v>
      </c>
      <c r="C1473" s="37" t="s">
        <v>2468</v>
      </c>
      <c r="D1473" s="38" t="s">
        <v>2335</v>
      </c>
      <c r="E1473" s="39">
        <v>1</v>
      </c>
      <c r="F1473" s="40">
        <v>5.49</v>
      </c>
      <c r="G1473" s="40">
        <f t="shared" si="22"/>
        <v>5.49</v>
      </c>
      <c r="H1473" s="41" t="s">
        <v>28</v>
      </c>
      <c r="I1473" s="41" t="s">
        <v>58</v>
      </c>
      <c r="J1473" s="32"/>
    </row>
    <row r="1474" spans="1:10" x14ac:dyDescent="0.2">
      <c r="A1474" s="32"/>
      <c r="B1474" s="42" t="s">
        <v>2551</v>
      </c>
      <c r="C1474" s="43" t="s">
        <v>2468</v>
      </c>
      <c r="D1474" s="44" t="s">
        <v>2552</v>
      </c>
      <c r="E1474" s="45">
        <v>1</v>
      </c>
      <c r="F1474" s="46">
        <v>31.99</v>
      </c>
      <c r="G1474" s="46">
        <f t="shared" si="22"/>
        <v>31.99</v>
      </c>
      <c r="H1474" s="47" t="s">
        <v>24</v>
      </c>
      <c r="I1474" s="47" t="s">
        <v>58</v>
      </c>
      <c r="J1474" s="32"/>
    </row>
    <row r="1475" spans="1:10" x14ac:dyDescent="0.2">
      <c r="A1475" s="32"/>
      <c r="B1475" s="36" t="s">
        <v>2553</v>
      </c>
      <c r="C1475" s="37" t="s">
        <v>2468</v>
      </c>
      <c r="D1475" s="38" t="s">
        <v>192</v>
      </c>
      <c r="E1475" s="39">
        <v>1</v>
      </c>
      <c r="F1475" s="40">
        <v>15.39</v>
      </c>
      <c r="G1475" s="40">
        <f t="shared" si="22"/>
        <v>15.39</v>
      </c>
      <c r="H1475" s="41" t="s">
        <v>24</v>
      </c>
      <c r="I1475" s="41" t="s">
        <v>58</v>
      </c>
      <c r="J1475" s="32"/>
    </row>
    <row r="1476" spans="1:10" x14ac:dyDescent="0.2">
      <c r="A1476" s="32"/>
      <c r="B1476" s="42" t="s">
        <v>2554</v>
      </c>
      <c r="C1476" s="43" t="s">
        <v>2468</v>
      </c>
      <c r="D1476" s="44" t="s">
        <v>2555</v>
      </c>
      <c r="E1476" s="45">
        <v>1</v>
      </c>
      <c r="F1476" s="46">
        <v>31.99</v>
      </c>
      <c r="G1476" s="46">
        <f t="shared" si="22"/>
        <v>31.99</v>
      </c>
      <c r="H1476" s="47" t="s">
        <v>28</v>
      </c>
      <c r="I1476" s="47" t="s">
        <v>58</v>
      </c>
      <c r="J1476" s="32"/>
    </row>
    <row r="1477" spans="1:10" x14ac:dyDescent="0.2">
      <c r="A1477" s="32"/>
      <c r="B1477" s="36" t="s">
        <v>2556</v>
      </c>
      <c r="C1477" s="37" t="s">
        <v>2468</v>
      </c>
      <c r="D1477" s="38" t="s">
        <v>2557</v>
      </c>
      <c r="E1477" s="39">
        <v>1</v>
      </c>
      <c r="F1477" s="40">
        <v>74.989999999999995</v>
      </c>
      <c r="G1477" s="40">
        <f t="shared" ref="G1477:G1540" si="23">E1477*F1477</f>
        <v>74.989999999999995</v>
      </c>
      <c r="H1477" s="41" t="s">
        <v>28</v>
      </c>
      <c r="I1477" s="41" t="s">
        <v>58</v>
      </c>
      <c r="J1477" s="32"/>
    </row>
    <row r="1478" spans="1:10" x14ac:dyDescent="0.2">
      <c r="A1478" s="32"/>
      <c r="B1478" s="42" t="s">
        <v>2558</v>
      </c>
      <c r="C1478" s="43" t="s">
        <v>2468</v>
      </c>
      <c r="D1478" s="44" t="s">
        <v>2559</v>
      </c>
      <c r="E1478" s="45">
        <v>1</v>
      </c>
      <c r="F1478" s="46">
        <v>33.590000000000003</v>
      </c>
      <c r="G1478" s="46">
        <f t="shared" si="23"/>
        <v>33.590000000000003</v>
      </c>
      <c r="H1478" s="47" t="s">
        <v>24</v>
      </c>
      <c r="I1478" s="47" t="s">
        <v>58</v>
      </c>
      <c r="J1478" s="32"/>
    </row>
    <row r="1479" spans="1:10" x14ac:dyDescent="0.2">
      <c r="A1479" s="32"/>
      <c r="B1479" s="36" t="s">
        <v>2560</v>
      </c>
      <c r="C1479" s="37" t="s">
        <v>2561</v>
      </c>
      <c r="D1479" s="38" t="s">
        <v>42</v>
      </c>
      <c r="E1479" s="39">
        <v>1</v>
      </c>
      <c r="F1479" s="40">
        <v>4.49</v>
      </c>
      <c r="G1479" s="40">
        <f t="shared" si="23"/>
        <v>4.49</v>
      </c>
      <c r="H1479" s="41" t="s">
        <v>24</v>
      </c>
      <c r="I1479" s="41" t="s">
        <v>58</v>
      </c>
      <c r="J1479" s="32"/>
    </row>
    <row r="1480" spans="1:10" x14ac:dyDescent="0.2">
      <c r="A1480" s="32"/>
      <c r="B1480" s="42" t="s">
        <v>2562</v>
      </c>
      <c r="C1480" s="43" t="s">
        <v>2561</v>
      </c>
      <c r="D1480" s="44" t="s">
        <v>1012</v>
      </c>
      <c r="E1480" s="45">
        <v>1</v>
      </c>
      <c r="F1480" s="46">
        <v>7.59</v>
      </c>
      <c r="G1480" s="46">
        <f t="shared" si="23"/>
        <v>7.59</v>
      </c>
      <c r="H1480" s="47" t="s">
        <v>24</v>
      </c>
      <c r="I1480" s="47" t="s">
        <v>58</v>
      </c>
      <c r="J1480" s="32"/>
    </row>
    <row r="1481" spans="1:10" x14ac:dyDescent="0.2">
      <c r="A1481" s="32"/>
      <c r="B1481" s="36" t="s">
        <v>2563</v>
      </c>
      <c r="C1481" s="37" t="s">
        <v>2561</v>
      </c>
      <c r="D1481" s="38" t="s">
        <v>2564</v>
      </c>
      <c r="E1481" s="39">
        <v>1</v>
      </c>
      <c r="F1481" s="40">
        <v>19.989999999999998</v>
      </c>
      <c r="G1481" s="40">
        <f t="shared" si="23"/>
        <v>19.989999999999998</v>
      </c>
      <c r="H1481" s="41" t="s">
        <v>24</v>
      </c>
      <c r="I1481" s="41" t="s">
        <v>58</v>
      </c>
      <c r="J1481" s="32"/>
    </row>
    <row r="1482" spans="1:10" x14ac:dyDescent="0.2">
      <c r="A1482" s="32"/>
      <c r="B1482" s="42" t="s">
        <v>2565</v>
      </c>
      <c r="C1482" s="43" t="s">
        <v>2561</v>
      </c>
      <c r="D1482" s="44" t="s">
        <v>2566</v>
      </c>
      <c r="E1482" s="45">
        <v>1</v>
      </c>
      <c r="F1482" s="46">
        <v>8.99</v>
      </c>
      <c r="G1482" s="46">
        <f t="shared" si="23"/>
        <v>8.99</v>
      </c>
      <c r="H1482" s="47" t="s">
        <v>24</v>
      </c>
      <c r="I1482" s="47" t="s">
        <v>58</v>
      </c>
      <c r="J1482" s="32"/>
    </row>
    <row r="1483" spans="1:10" x14ac:dyDescent="0.2">
      <c r="A1483" s="32"/>
      <c r="B1483" s="36" t="s">
        <v>2567</v>
      </c>
      <c r="C1483" s="37" t="s">
        <v>2561</v>
      </c>
      <c r="D1483" s="38" t="s">
        <v>2568</v>
      </c>
      <c r="E1483" s="39">
        <v>1</v>
      </c>
      <c r="F1483" s="40">
        <v>8.99</v>
      </c>
      <c r="G1483" s="40">
        <f t="shared" si="23"/>
        <v>8.99</v>
      </c>
      <c r="H1483" s="41" t="s">
        <v>24</v>
      </c>
      <c r="I1483" s="41" t="s">
        <v>58</v>
      </c>
      <c r="J1483" s="32"/>
    </row>
    <row r="1484" spans="1:10" x14ac:dyDescent="0.2">
      <c r="A1484" s="32"/>
      <c r="B1484" s="42" t="s">
        <v>2569</v>
      </c>
      <c r="C1484" s="43" t="s">
        <v>2561</v>
      </c>
      <c r="D1484" s="44" t="s">
        <v>2570</v>
      </c>
      <c r="E1484" s="45">
        <v>1</v>
      </c>
      <c r="F1484" s="46">
        <v>18.989999999999998</v>
      </c>
      <c r="G1484" s="46">
        <f t="shared" si="23"/>
        <v>18.989999999999998</v>
      </c>
      <c r="H1484" s="47" t="s">
        <v>24</v>
      </c>
      <c r="I1484" s="47" t="s">
        <v>58</v>
      </c>
      <c r="J1484" s="32"/>
    </row>
    <row r="1485" spans="1:10" x14ac:dyDescent="0.2">
      <c r="A1485" s="32"/>
      <c r="B1485" s="36" t="s">
        <v>2571</v>
      </c>
      <c r="C1485" s="37" t="s">
        <v>2561</v>
      </c>
      <c r="D1485" s="38" t="s">
        <v>81</v>
      </c>
      <c r="E1485" s="39">
        <v>1</v>
      </c>
      <c r="F1485" s="40">
        <v>9.99</v>
      </c>
      <c r="G1485" s="40">
        <f t="shared" si="23"/>
        <v>9.99</v>
      </c>
      <c r="H1485" s="41" t="s">
        <v>24</v>
      </c>
      <c r="I1485" s="41" t="s">
        <v>58</v>
      </c>
      <c r="J1485" s="32"/>
    </row>
    <row r="1486" spans="1:10" x14ac:dyDescent="0.2">
      <c r="A1486" s="32"/>
      <c r="B1486" s="42" t="s">
        <v>2572</v>
      </c>
      <c r="C1486" s="43" t="s">
        <v>2561</v>
      </c>
      <c r="D1486" s="44" t="s">
        <v>2573</v>
      </c>
      <c r="E1486" s="45">
        <v>1</v>
      </c>
      <c r="F1486" s="46">
        <v>13.99</v>
      </c>
      <c r="G1486" s="46">
        <f t="shared" si="23"/>
        <v>13.99</v>
      </c>
      <c r="H1486" s="47" t="s">
        <v>24</v>
      </c>
      <c r="I1486" s="47" t="s">
        <v>58</v>
      </c>
      <c r="J1486" s="32"/>
    </row>
    <row r="1487" spans="1:10" x14ac:dyDescent="0.2">
      <c r="A1487" s="32"/>
      <c r="B1487" s="36" t="s">
        <v>2574</v>
      </c>
      <c r="C1487" s="37" t="s">
        <v>2561</v>
      </c>
      <c r="D1487" s="38" t="s">
        <v>2575</v>
      </c>
      <c r="E1487" s="39">
        <v>1</v>
      </c>
      <c r="F1487" s="40">
        <v>9.99</v>
      </c>
      <c r="G1487" s="40">
        <f t="shared" si="23"/>
        <v>9.99</v>
      </c>
      <c r="H1487" s="41" t="s">
        <v>24</v>
      </c>
      <c r="I1487" s="41" t="s">
        <v>58</v>
      </c>
      <c r="J1487" s="32"/>
    </row>
    <row r="1488" spans="1:10" x14ac:dyDescent="0.2">
      <c r="A1488" s="32"/>
      <c r="B1488" s="42" t="s">
        <v>2576</v>
      </c>
      <c r="C1488" s="43" t="s">
        <v>2561</v>
      </c>
      <c r="D1488" s="44" t="s">
        <v>2577</v>
      </c>
      <c r="E1488" s="45">
        <v>1</v>
      </c>
      <c r="F1488" s="46">
        <v>6.29</v>
      </c>
      <c r="G1488" s="46">
        <f t="shared" si="23"/>
        <v>6.29</v>
      </c>
      <c r="H1488" s="47" t="s">
        <v>24</v>
      </c>
      <c r="I1488" s="47" t="s">
        <v>58</v>
      </c>
      <c r="J1488" s="32"/>
    </row>
    <row r="1489" spans="1:10" x14ac:dyDescent="0.2">
      <c r="A1489" s="32"/>
      <c r="B1489" s="36" t="s">
        <v>2578</v>
      </c>
      <c r="C1489" s="37" t="s">
        <v>2561</v>
      </c>
      <c r="D1489" s="38" t="s">
        <v>1898</v>
      </c>
      <c r="E1489" s="39">
        <v>1</v>
      </c>
      <c r="F1489" s="40">
        <v>6.99</v>
      </c>
      <c r="G1489" s="40">
        <f t="shared" si="23"/>
        <v>6.99</v>
      </c>
      <c r="H1489" s="41" t="s">
        <v>24</v>
      </c>
      <c r="I1489" s="41" t="s">
        <v>58</v>
      </c>
      <c r="J1489" s="32"/>
    </row>
    <row r="1490" spans="1:10" x14ac:dyDescent="0.2">
      <c r="A1490" s="32"/>
      <c r="B1490" s="42" t="s">
        <v>2579</v>
      </c>
      <c r="C1490" s="43" t="s">
        <v>2561</v>
      </c>
      <c r="D1490" s="44" t="s">
        <v>2580</v>
      </c>
      <c r="E1490" s="45">
        <v>1</v>
      </c>
      <c r="F1490" s="46">
        <v>3.99</v>
      </c>
      <c r="G1490" s="46">
        <f t="shared" si="23"/>
        <v>3.99</v>
      </c>
      <c r="H1490" s="47" t="s">
        <v>24</v>
      </c>
      <c r="I1490" s="47" t="s">
        <v>58</v>
      </c>
      <c r="J1490" s="32"/>
    </row>
    <row r="1491" spans="1:10" x14ac:dyDescent="0.2">
      <c r="A1491" s="32"/>
      <c r="B1491" s="36" t="s">
        <v>2581</v>
      </c>
      <c r="C1491" s="37" t="s">
        <v>2561</v>
      </c>
      <c r="D1491" s="38" t="s">
        <v>2582</v>
      </c>
      <c r="E1491" s="39">
        <v>1</v>
      </c>
      <c r="F1491" s="40">
        <v>5.49</v>
      </c>
      <c r="G1491" s="40">
        <f t="shared" si="23"/>
        <v>5.49</v>
      </c>
      <c r="H1491" s="41" t="s">
        <v>24</v>
      </c>
      <c r="I1491" s="41" t="s">
        <v>58</v>
      </c>
      <c r="J1491" s="32"/>
    </row>
    <row r="1492" spans="1:10" x14ac:dyDescent="0.2">
      <c r="A1492" s="32"/>
      <c r="B1492" s="42" t="s">
        <v>2583</v>
      </c>
      <c r="C1492" s="43" t="s">
        <v>2561</v>
      </c>
      <c r="D1492" s="44" t="s">
        <v>2584</v>
      </c>
      <c r="E1492" s="45">
        <v>1</v>
      </c>
      <c r="F1492" s="46">
        <v>4.59</v>
      </c>
      <c r="G1492" s="46">
        <f t="shared" si="23"/>
        <v>4.59</v>
      </c>
      <c r="H1492" s="47" t="s">
        <v>24</v>
      </c>
      <c r="I1492" s="47" t="s">
        <v>58</v>
      </c>
      <c r="J1492" s="32"/>
    </row>
    <row r="1493" spans="1:10" x14ac:dyDescent="0.2">
      <c r="A1493" s="32"/>
      <c r="B1493" s="36" t="s">
        <v>2585</v>
      </c>
      <c r="C1493" s="37" t="s">
        <v>2561</v>
      </c>
      <c r="D1493" s="38" t="s">
        <v>2497</v>
      </c>
      <c r="E1493" s="39">
        <v>1</v>
      </c>
      <c r="F1493" s="40">
        <v>10.99</v>
      </c>
      <c r="G1493" s="40">
        <f t="shared" si="23"/>
        <v>10.99</v>
      </c>
      <c r="H1493" s="41" t="s">
        <v>24</v>
      </c>
      <c r="I1493" s="41" t="s">
        <v>58</v>
      </c>
      <c r="J1493" s="32"/>
    </row>
    <row r="1494" spans="1:10" x14ac:dyDescent="0.2">
      <c r="A1494" s="32"/>
      <c r="B1494" s="42" t="s">
        <v>2586</v>
      </c>
      <c r="C1494" s="43" t="s">
        <v>2561</v>
      </c>
      <c r="D1494" s="44" t="s">
        <v>2587</v>
      </c>
      <c r="E1494" s="45">
        <v>1</v>
      </c>
      <c r="F1494" s="46">
        <v>4.99</v>
      </c>
      <c r="G1494" s="46">
        <f t="shared" si="23"/>
        <v>4.99</v>
      </c>
      <c r="H1494" s="47" t="s">
        <v>24</v>
      </c>
      <c r="I1494" s="47" t="s">
        <v>58</v>
      </c>
      <c r="J1494" s="32"/>
    </row>
    <row r="1495" spans="1:10" x14ac:dyDescent="0.2">
      <c r="A1495" s="32"/>
      <c r="B1495" s="36" t="s">
        <v>2588</v>
      </c>
      <c r="C1495" s="37" t="s">
        <v>2561</v>
      </c>
      <c r="D1495" s="38" t="s">
        <v>2589</v>
      </c>
      <c r="E1495" s="39">
        <v>1</v>
      </c>
      <c r="F1495" s="40">
        <v>9.39</v>
      </c>
      <c r="G1495" s="40">
        <f t="shared" si="23"/>
        <v>9.39</v>
      </c>
      <c r="H1495" s="41" t="s">
        <v>24</v>
      </c>
      <c r="I1495" s="41" t="s">
        <v>58</v>
      </c>
      <c r="J1495" s="32"/>
    </row>
    <row r="1496" spans="1:10" x14ac:dyDescent="0.2">
      <c r="A1496" s="32"/>
      <c r="B1496" s="42" t="s">
        <v>2590</v>
      </c>
      <c r="C1496" s="43" t="s">
        <v>2561</v>
      </c>
      <c r="D1496" s="44" t="s">
        <v>2591</v>
      </c>
      <c r="E1496" s="45">
        <v>1</v>
      </c>
      <c r="F1496" s="46">
        <v>7.75</v>
      </c>
      <c r="G1496" s="46">
        <f t="shared" si="23"/>
        <v>7.75</v>
      </c>
      <c r="H1496" s="47" t="s">
        <v>24</v>
      </c>
      <c r="I1496" s="47" t="s">
        <v>58</v>
      </c>
      <c r="J1496" s="32"/>
    </row>
    <row r="1497" spans="1:10" x14ac:dyDescent="0.2">
      <c r="A1497" s="32"/>
      <c r="B1497" s="36" t="s">
        <v>2592</v>
      </c>
      <c r="C1497" s="37" t="s">
        <v>2561</v>
      </c>
      <c r="D1497" s="38" t="s">
        <v>39</v>
      </c>
      <c r="E1497" s="39">
        <v>1</v>
      </c>
      <c r="F1497" s="40">
        <v>9.99</v>
      </c>
      <c r="G1497" s="40">
        <f t="shared" si="23"/>
        <v>9.99</v>
      </c>
      <c r="H1497" s="41" t="s">
        <v>24</v>
      </c>
      <c r="I1497" s="41" t="s">
        <v>58</v>
      </c>
      <c r="J1497" s="32"/>
    </row>
    <row r="1498" spans="1:10" x14ac:dyDescent="0.2">
      <c r="A1498" s="32"/>
      <c r="B1498" s="42" t="s">
        <v>2593</v>
      </c>
      <c r="C1498" s="43" t="s">
        <v>2561</v>
      </c>
      <c r="D1498" s="44" t="s">
        <v>2317</v>
      </c>
      <c r="E1498" s="45">
        <v>1</v>
      </c>
      <c r="F1498" s="46">
        <v>5.59</v>
      </c>
      <c r="G1498" s="46">
        <f t="shared" si="23"/>
        <v>5.59</v>
      </c>
      <c r="H1498" s="47" t="s">
        <v>24</v>
      </c>
      <c r="I1498" s="47" t="s">
        <v>58</v>
      </c>
      <c r="J1498" s="32"/>
    </row>
    <row r="1499" spans="1:10" x14ac:dyDescent="0.2">
      <c r="A1499" s="32"/>
      <c r="B1499" s="36" t="s">
        <v>2594</v>
      </c>
      <c r="C1499" s="37" t="s">
        <v>2561</v>
      </c>
      <c r="D1499" s="38" t="s">
        <v>2323</v>
      </c>
      <c r="E1499" s="39">
        <v>1</v>
      </c>
      <c r="F1499" s="40">
        <v>7.89</v>
      </c>
      <c r="G1499" s="40">
        <f t="shared" si="23"/>
        <v>7.89</v>
      </c>
      <c r="H1499" s="41" t="s">
        <v>24</v>
      </c>
      <c r="I1499" s="41" t="s">
        <v>58</v>
      </c>
      <c r="J1499" s="32"/>
    </row>
    <row r="1500" spans="1:10" x14ac:dyDescent="0.2">
      <c r="A1500" s="32"/>
      <c r="B1500" s="42" t="s">
        <v>2595</v>
      </c>
      <c r="C1500" s="43" t="s">
        <v>2561</v>
      </c>
      <c r="D1500" s="44" t="s">
        <v>2596</v>
      </c>
      <c r="E1500" s="45">
        <v>1</v>
      </c>
      <c r="F1500" s="46">
        <v>6.99</v>
      </c>
      <c r="G1500" s="46">
        <f t="shared" si="23"/>
        <v>6.99</v>
      </c>
      <c r="H1500" s="47" t="s">
        <v>24</v>
      </c>
      <c r="I1500" s="47" t="s">
        <v>58</v>
      </c>
      <c r="J1500" s="32"/>
    </row>
    <row r="1501" spans="1:10" x14ac:dyDescent="0.2">
      <c r="A1501" s="32"/>
      <c r="B1501" s="36" t="s">
        <v>2597</v>
      </c>
      <c r="C1501" s="37" t="s">
        <v>2561</v>
      </c>
      <c r="D1501" s="38" t="s">
        <v>2598</v>
      </c>
      <c r="E1501" s="39">
        <v>1</v>
      </c>
      <c r="F1501" s="40">
        <v>4.79</v>
      </c>
      <c r="G1501" s="40">
        <f t="shared" si="23"/>
        <v>4.79</v>
      </c>
      <c r="H1501" s="41" t="s">
        <v>24</v>
      </c>
      <c r="I1501" s="41" t="s">
        <v>58</v>
      </c>
      <c r="J1501" s="32"/>
    </row>
    <row r="1502" spans="1:10" x14ac:dyDescent="0.2">
      <c r="A1502" s="32"/>
      <c r="B1502" s="42" t="s">
        <v>2599</v>
      </c>
      <c r="C1502" s="43" t="s">
        <v>2561</v>
      </c>
      <c r="D1502" s="44" t="s">
        <v>1905</v>
      </c>
      <c r="E1502" s="45">
        <v>1</v>
      </c>
      <c r="F1502" s="46">
        <v>3.79</v>
      </c>
      <c r="G1502" s="46">
        <f t="shared" si="23"/>
        <v>3.79</v>
      </c>
      <c r="H1502" s="47" t="s">
        <v>24</v>
      </c>
      <c r="I1502" s="47" t="s">
        <v>58</v>
      </c>
      <c r="J1502" s="32"/>
    </row>
    <row r="1503" spans="1:10" x14ac:dyDescent="0.2">
      <c r="A1503" s="32"/>
      <c r="B1503" s="36" t="s">
        <v>2600</v>
      </c>
      <c r="C1503" s="37" t="s">
        <v>2561</v>
      </c>
      <c r="D1503" s="38" t="s">
        <v>2601</v>
      </c>
      <c r="E1503" s="39">
        <v>1</v>
      </c>
      <c r="F1503" s="40">
        <v>15.69</v>
      </c>
      <c r="G1503" s="40">
        <f t="shared" si="23"/>
        <v>15.69</v>
      </c>
      <c r="H1503" s="41" t="s">
        <v>24</v>
      </c>
      <c r="I1503" s="41" t="s">
        <v>58</v>
      </c>
      <c r="J1503" s="32"/>
    </row>
    <row r="1504" spans="1:10" x14ac:dyDescent="0.2">
      <c r="A1504" s="32"/>
      <c r="B1504" s="42" t="s">
        <v>2602</v>
      </c>
      <c r="C1504" s="43" t="s">
        <v>2561</v>
      </c>
      <c r="D1504" s="44" t="s">
        <v>2603</v>
      </c>
      <c r="E1504" s="45">
        <v>1</v>
      </c>
      <c r="F1504" s="46">
        <v>33.99</v>
      </c>
      <c r="G1504" s="46">
        <f t="shared" si="23"/>
        <v>33.99</v>
      </c>
      <c r="H1504" s="47" t="s">
        <v>24</v>
      </c>
      <c r="I1504" s="47" t="s">
        <v>58</v>
      </c>
      <c r="J1504" s="32"/>
    </row>
    <row r="1505" spans="1:10" x14ac:dyDescent="0.2">
      <c r="A1505" s="32"/>
      <c r="B1505" s="36" t="s">
        <v>2604</v>
      </c>
      <c r="C1505" s="37" t="s">
        <v>2561</v>
      </c>
      <c r="D1505" s="38" t="s">
        <v>2605</v>
      </c>
      <c r="E1505" s="39">
        <v>1</v>
      </c>
      <c r="F1505" s="40">
        <v>65.989999999999995</v>
      </c>
      <c r="G1505" s="40">
        <f t="shared" si="23"/>
        <v>65.989999999999995</v>
      </c>
      <c r="H1505" s="41" t="s">
        <v>24</v>
      </c>
      <c r="I1505" s="41" t="s">
        <v>58</v>
      </c>
      <c r="J1505" s="32"/>
    </row>
    <row r="1506" spans="1:10" x14ac:dyDescent="0.2">
      <c r="A1506" s="32"/>
      <c r="B1506" s="42" t="s">
        <v>2606</v>
      </c>
      <c r="C1506" s="43" t="s">
        <v>2561</v>
      </c>
      <c r="D1506" s="44" t="s">
        <v>2607</v>
      </c>
      <c r="E1506" s="45">
        <v>1</v>
      </c>
      <c r="F1506" s="46">
        <v>11.99</v>
      </c>
      <c r="G1506" s="46">
        <f t="shared" si="23"/>
        <v>11.99</v>
      </c>
      <c r="H1506" s="47" t="s">
        <v>24</v>
      </c>
      <c r="I1506" s="47" t="s">
        <v>58</v>
      </c>
      <c r="J1506" s="32"/>
    </row>
    <row r="1507" spans="1:10" x14ac:dyDescent="0.2">
      <c r="A1507" s="32"/>
      <c r="B1507" s="36" t="s">
        <v>2608</v>
      </c>
      <c r="C1507" s="37" t="s">
        <v>2561</v>
      </c>
      <c r="D1507" s="38" t="s">
        <v>1839</v>
      </c>
      <c r="E1507" s="39">
        <v>1</v>
      </c>
      <c r="F1507" s="40">
        <v>22.39</v>
      </c>
      <c r="G1507" s="40">
        <f t="shared" si="23"/>
        <v>22.39</v>
      </c>
      <c r="H1507" s="41" t="s">
        <v>24</v>
      </c>
      <c r="I1507" s="41" t="s">
        <v>58</v>
      </c>
      <c r="J1507" s="32"/>
    </row>
    <row r="1508" spans="1:10" x14ac:dyDescent="0.2">
      <c r="A1508" s="32"/>
      <c r="B1508" s="42" t="s">
        <v>2609</v>
      </c>
      <c r="C1508" s="43" t="s">
        <v>2561</v>
      </c>
      <c r="D1508" s="44" t="s">
        <v>2610</v>
      </c>
      <c r="E1508" s="45">
        <v>1</v>
      </c>
      <c r="F1508" s="46">
        <v>26.99</v>
      </c>
      <c r="G1508" s="46">
        <f t="shared" si="23"/>
        <v>26.99</v>
      </c>
      <c r="H1508" s="47" t="s">
        <v>24</v>
      </c>
      <c r="I1508" s="47" t="s">
        <v>58</v>
      </c>
      <c r="J1508" s="32"/>
    </row>
    <row r="1509" spans="1:10" x14ac:dyDescent="0.2">
      <c r="A1509" s="32"/>
      <c r="B1509" s="36" t="s">
        <v>2611</v>
      </c>
      <c r="C1509" s="37" t="s">
        <v>2561</v>
      </c>
      <c r="D1509" s="38" t="s">
        <v>2300</v>
      </c>
      <c r="E1509" s="39">
        <v>1</v>
      </c>
      <c r="F1509" s="40">
        <v>8.39</v>
      </c>
      <c r="G1509" s="40">
        <f t="shared" si="23"/>
        <v>8.39</v>
      </c>
      <c r="H1509" s="41" t="s">
        <v>24</v>
      </c>
      <c r="I1509" s="41" t="s">
        <v>58</v>
      </c>
      <c r="J1509" s="32"/>
    </row>
    <row r="1510" spans="1:10" x14ac:dyDescent="0.2">
      <c r="A1510" s="32"/>
      <c r="B1510" s="42" t="s">
        <v>2612</v>
      </c>
      <c r="C1510" s="43" t="s">
        <v>2561</v>
      </c>
      <c r="D1510" s="44" t="s">
        <v>2613</v>
      </c>
      <c r="E1510" s="45">
        <v>1</v>
      </c>
      <c r="F1510" s="46">
        <v>16.989999999999998</v>
      </c>
      <c r="G1510" s="46">
        <f t="shared" si="23"/>
        <v>16.989999999999998</v>
      </c>
      <c r="H1510" s="47" t="s">
        <v>24</v>
      </c>
      <c r="I1510" s="47" t="s">
        <v>58</v>
      </c>
      <c r="J1510" s="32"/>
    </row>
    <row r="1511" spans="1:10" x14ac:dyDescent="0.2">
      <c r="A1511" s="32"/>
      <c r="B1511" s="36" t="s">
        <v>2614</v>
      </c>
      <c r="C1511" s="37" t="s">
        <v>2561</v>
      </c>
      <c r="D1511" s="38" t="s">
        <v>2323</v>
      </c>
      <c r="E1511" s="39">
        <v>1</v>
      </c>
      <c r="F1511" s="40">
        <v>7.89</v>
      </c>
      <c r="G1511" s="40">
        <f t="shared" si="23"/>
        <v>7.89</v>
      </c>
      <c r="H1511" s="41" t="s">
        <v>24</v>
      </c>
      <c r="I1511" s="41" t="s">
        <v>58</v>
      </c>
      <c r="J1511" s="32"/>
    </row>
    <row r="1512" spans="1:10" x14ac:dyDescent="0.2">
      <c r="A1512" s="32"/>
      <c r="B1512" s="42" t="s">
        <v>2615</v>
      </c>
      <c r="C1512" s="43" t="s">
        <v>2561</v>
      </c>
      <c r="D1512" s="44" t="s">
        <v>2323</v>
      </c>
      <c r="E1512" s="45">
        <v>1</v>
      </c>
      <c r="F1512" s="46">
        <v>7.89</v>
      </c>
      <c r="G1512" s="46">
        <f t="shared" si="23"/>
        <v>7.89</v>
      </c>
      <c r="H1512" s="47" t="s">
        <v>24</v>
      </c>
      <c r="I1512" s="47" t="s">
        <v>58</v>
      </c>
      <c r="J1512" s="32"/>
    </row>
    <row r="1513" spans="1:10" x14ac:dyDescent="0.2">
      <c r="A1513" s="32"/>
      <c r="B1513" s="36" t="s">
        <v>2616</v>
      </c>
      <c r="C1513" s="37" t="s">
        <v>2561</v>
      </c>
      <c r="D1513" s="38" t="s">
        <v>1744</v>
      </c>
      <c r="E1513" s="39">
        <v>1</v>
      </c>
      <c r="F1513" s="40">
        <v>5.29</v>
      </c>
      <c r="G1513" s="40">
        <f t="shared" si="23"/>
        <v>5.29</v>
      </c>
      <c r="H1513" s="41" t="s">
        <v>28</v>
      </c>
      <c r="I1513" s="41" t="s">
        <v>58</v>
      </c>
      <c r="J1513" s="32"/>
    </row>
    <row r="1514" spans="1:10" x14ac:dyDescent="0.2">
      <c r="A1514" s="32"/>
      <c r="B1514" s="42" t="s">
        <v>2617</v>
      </c>
      <c r="C1514" s="43" t="s">
        <v>2561</v>
      </c>
      <c r="D1514" s="44" t="s">
        <v>1842</v>
      </c>
      <c r="E1514" s="45">
        <v>1</v>
      </c>
      <c r="F1514" s="46">
        <v>14.69</v>
      </c>
      <c r="G1514" s="46">
        <f t="shared" si="23"/>
        <v>14.69</v>
      </c>
      <c r="H1514" s="47" t="s">
        <v>24</v>
      </c>
      <c r="I1514" s="47" t="s">
        <v>58</v>
      </c>
      <c r="J1514" s="32"/>
    </row>
    <row r="1515" spans="1:10" x14ac:dyDescent="0.2">
      <c r="A1515" s="32"/>
      <c r="B1515" s="36" t="s">
        <v>2618</v>
      </c>
      <c r="C1515" s="37" t="s">
        <v>2561</v>
      </c>
      <c r="D1515" s="38" t="s">
        <v>1381</v>
      </c>
      <c r="E1515" s="39">
        <v>1</v>
      </c>
      <c r="F1515" s="40">
        <v>15.99</v>
      </c>
      <c r="G1515" s="40">
        <f t="shared" si="23"/>
        <v>15.99</v>
      </c>
      <c r="H1515" s="41" t="s">
        <v>24</v>
      </c>
      <c r="I1515" s="41" t="s">
        <v>58</v>
      </c>
      <c r="J1515" s="32"/>
    </row>
    <row r="1516" spans="1:10" x14ac:dyDescent="0.2">
      <c r="A1516" s="32"/>
      <c r="B1516" s="42" t="s">
        <v>2619</v>
      </c>
      <c r="C1516" s="43" t="s">
        <v>2561</v>
      </c>
      <c r="D1516" s="44" t="s">
        <v>2620</v>
      </c>
      <c r="E1516" s="45">
        <v>1</v>
      </c>
      <c r="F1516" s="46">
        <v>19.989999999999998</v>
      </c>
      <c r="G1516" s="46">
        <f t="shared" si="23"/>
        <v>19.989999999999998</v>
      </c>
      <c r="H1516" s="47" t="s">
        <v>24</v>
      </c>
      <c r="I1516" s="47" t="s">
        <v>58</v>
      </c>
      <c r="J1516" s="32"/>
    </row>
    <row r="1517" spans="1:10" x14ac:dyDescent="0.2">
      <c r="A1517" s="32"/>
      <c r="B1517" s="36" t="s">
        <v>2621</v>
      </c>
      <c r="C1517" s="37" t="s">
        <v>2561</v>
      </c>
      <c r="D1517" s="38" t="s">
        <v>2622</v>
      </c>
      <c r="E1517" s="39">
        <v>1</v>
      </c>
      <c r="F1517" s="40">
        <v>6.49</v>
      </c>
      <c r="G1517" s="40">
        <f t="shared" si="23"/>
        <v>6.49</v>
      </c>
      <c r="H1517" s="41" t="s">
        <v>24</v>
      </c>
      <c r="I1517" s="41" t="s">
        <v>58</v>
      </c>
      <c r="J1517" s="32"/>
    </row>
    <row r="1518" spans="1:10" x14ac:dyDescent="0.2">
      <c r="A1518" s="32"/>
      <c r="B1518" s="42" t="s">
        <v>2623</v>
      </c>
      <c r="C1518" s="43" t="s">
        <v>2561</v>
      </c>
      <c r="D1518" s="44" t="s">
        <v>2624</v>
      </c>
      <c r="E1518" s="45">
        <v>1</v>
      </c>
      <c r="F1518" s="46">
        <v>56.39</v>
      </c>
      <c r="G1518" s="46">
        <f t="shared" si="23"/>
        <v>56.39</v>
      </c>
      <c r="H1518" s="47" t="s">
        <v>24</v>
      </c>
      <c r="I1518" s="47" t="s">
        <v>58</v>
      </c>
      <c r="J1518" s="32"/>
    </row>
    <row r="1519" spans="1:10" x14ac:dyDescent="0.2">
      <c r="A1519" s="32"/>
      <c r="B1519" s="36" t="s">
        <v>2625</v>
      </c>
      <c r="C1519" s="37" t="s">
        <v>2561</v>
      </c>
      <c r="D1519" s="38" t="s">
        <v>2626</v>
      </c>
      <c r="E1519" s="39">
        <v>1</v>
      </c>
      <c r="F1519" s="40">
        <v>59.99</v>
      </c>
      <c r="G1519" s="40">
        <f t="shared" si="23"/>
        <v>59.99</v>
      </c>
      <c r="H1519" s="41" t="s">
        <v>24</v>
      </c>
      <c r="I1519" s="41" t="s">
        <v>58</v>
      </c>
      <c r="J1519" s="32"/>
    </row>
    <row r="1520" spans="1:10" x14ac:dyDescent="0.2">
      <c r="A1520" s="32"/>
      <c r="B1520" s="42" t="s">
        <v>2627</v>
      </c>
      <c r="C1520" s="43" t="s">
        <v>2561</v>
      </c>
      <c r="D1520" s="44" t="s">
        <v>1387</v>
      </c>
      <c r="E1520" s="45">
        <v>1</v>
      </c>
      <c r="F1520" s="46">
        <v>33.99</v>
      </c>
      <c r="G1520" s="46">
        <f t="shared" si="23"/>
        <v>33.99</v>
      </c>
      <c r="H1520" s="47" t="s">
        <v>24</v>
      </c>
      <c r="I1520" s="47" t="s">
        <v>58</v>
      </c>
      <c r="J1520" s="32"/>
    </row>
    <row r="1521" spans="1:10" x14ac:dyDescent="0.2">
      <c r="A1521" s="32"/>
      <c r="B1521" s="36" t="s">
        <v>2628</v>
      </c>
      <c r="C1521" s="37" t="s">
        <v>2629</v>
      </c>
      <c r="D1521" s="38" t="s">
        <v>2630</v>
      </c>
      <c r="E1521" s="39">
        <v>1</v>
      </c>
      <c r="F1521" s="40">
        <v>13.9</v>
      </c>
      <c r="G1521" s="40">
        <f t="shared" si="23"/>
        <v>13.9</v>
      </c>
      <c r="H1521" s="41" t="s">
        <v>24</v>
      </c>
      <c r="I1521" s="41" t="s">
        <v>58</v>
      </c>
      <c r="J1521" s="32"/>
    </row>
    <row r="1522" spans="1:10" x14ac:dyDescent="0.2">
      <c r="A1522" s="32"/>
      <c r="B1522" s="42" t="s">
        <v>2631</v>
      </c>
      <c r="C1522" s="43" t="s">
        <v>2629</v>
      </c>
      <c r="D1522" s="44" t="s">
        <v>2267</v>
      </c>
      <c r="E1522" s="45">
        <v>1</v>
      </c>
      <c r="F1522" s="46">
        <v>87.9</v>
      </c>
      <c r="G1522" s="46">
        <f t="shared" si="23"/>
        <v>87.9</v>
      </c>
      <c r="H1522" s="47" t="s">
        <v>24</v>
      </c>
      <c r="I1522" s="47" t="s">
        <v>58</v>
      </c>
      <c r="J1522" s="32"/>
    </row>
    <row r="1523" spans="1:10" x14ac:dyDescent="0.2">
      <c r="A1523" s="32"/>
      <c r="B1523" s="36" t="s">
        <v>2632</v>
      </c>
      <c r="C1523" s="37" t="s">
        <v>2629</v>
      </c>
      <c r="D1523" s="38" t="s">
        <v>41</v>
      </c>
      <c r="E1523" s="39">
        <v>1</v>
      </c>
      <c r="F1523" s="40">
        <v>12.99</v>
      </c>
      <c r="G1523" s="40">
        <f t="shared" si="23"/>
        <v>12.99</v>
      </c>
      <c r="H1523" s="41" t="s">
        <v>26</v>
      </c>
      <c r="I1523" s="41" t="s">
        <v>58</v>
      </c>
      <c r="J1523" s="32"/>
    </row>
    <row r="1524" spans="1:10" x14ac:dyDescent="0.2">
      <c r="A1524" s="32"/>
      <c r="B1524" s="42" t="s">
        <v>2633</v>
      </c>
      <c r="C1524" s="43" t="s">
        <v>2634</v>
      </c>
      <c r="D1524" s="44" t="s">
        <v>2635</v>
      </c>
      <c r="E1524" s="45">
        <v>1</v>
      </c>
      <c r="F1524" s="46">
        <v>59</v>
      </c>
      <c r="G1524" s="46">
        <f t="shared" si="23"/>
        <v>59</v>
      </c>
      <c r="H1524" s="47" t="s">
        <v>24</v>
      </c>
      <c r="I1524" s="47" t="s">
        <v>58</v>
      </c>
      <c r="J1524" s="32"/>
    </row>
    <row r="1525" spans="1:10" x14ac:dyDescent="0.2">
      <c r="A1525" s="32"/>
      <c r="B1525" s="36" t="s">
        <v>2636</v>
      </c>
      <c r="C1525" s="37" t="s">
        <v>2634</v>
      </c>
      <c r="D1525" s="38" t="s">
        <v>41</v>
      </c>
      <c r="E1525" s="39">
        <v>1</v>
      </c>
      <c r="F1525" s="40">
        <v>6.98</v>
      </c>
      <c r="G1525" s="40">
        <f t="shared" si="23"/>
        <v>6.98</v>
      </c>
      <c r="H1525" s="41" t="s">
        <v>26</v>
      </c>
      <c r="I1525" s="41" t="s">
        <v>58</v>
      </c>
      <c r="J1525" s="32"/>
    </row>
    <row r="1526" spans="1:10" x14ac:dyDescent="0.2">
      <c r="A1526" s="32"/>
      <c r="B1526" s="42" t="s">
        <v>2637</v>
      </c>
      <c r="C1526" s="43" t="s">
        <v>2638</v>
      </c>
      <c r="D1526" s="44" t="s">
        <v>2639</v>
      </c>
      <c r="E1526" s="45">
        <v>1</v>
      </c>
      <c r="F1526" s="46">
        <v>72</v>
      </c>
      <c r="G1526" s="46">
        <f t="shared" si="23"/>
        <v>72</v>
      </c>
      <c r="H1526" s="47" t="s">
        <v>24</v>
      </c>
      <c r="I1526" s="47" t="s">
        <v>58</v>
      </c>
      <c r="J1526" s="32"/>
    </row>
    <row r="1527" spans="1:10" x14ac:dyDescent="0.2">
      <c r="A1527" s="32"/>
      <c r="B1527" s="36" t="s">
        <v>2640</v>
      </c>
      <c r="C1527" s="37" t="s">
        <v>2638</v>
      </c>
      <c r="D1527" s="38" t="s">
        <v>41</v>
      </c>
      <c r="E1527" s="39">
        <v>1</v>
      </c>
      <c r="F1527" s="40">
        <v>9</v>
      </c>
      <c r="G1527" s="40">
        <f t="shared" si="23"/>
        <v>9</v>
      </c>
      <c r="H1527" s="41" t="s">
        <v>26</v>
      </c>
      <c r="I1527" s="41" t="s">
        <v>58</v>
      </c>
      <c r="J1527" s="32"/>
    </row>
    <row r="1528" spans="1:10" x14ac:dyDescent="0.2">
      <c r="A1528" s="32"/>
      <c r="B1528" s="42" t="s">
        <v>2641</v>
      </c>
      <c r="C1528" s="43" t="s">
        <v>2642</v>
      </c>
      <c r="D1528" s="44" t="s">
        <v>2643</v>
      </c>
      <c r="E1528" s="45">
        <v>1</v>
      </c>
      <c r="F1528" s="46">
        <v>279</v>
      </c>
      <c r="G1528" s="46">
        <f t="shared" si="23"/>
        <v>279</v>
      </c>
      <c r="H1528" s="47" t="s">
        <v>24</v>
      </c>
      <c r="I1528" s="47" t="s">
        <v>58</v>
      </c>
      <c r="J1528" s="32"/>
    </row>
    <row r="1529" spans="1:10" x14ac:dyDescent="0.2">
      <c r="A1529" s="32"/>
      <c r="B1529" s="36" t="s">
        <v>2644</v>
      </c>
      <c r="C1529" s="37" t="s">
        <v>2645</v>
      </c>
      <c r="D1529" s="38" t="s">
        <v>2459</v>
      </c>
      <c r="E1529" s="39">
        <v>1</v>
      </c>
      <c r="F1529" s="40">
        <v>51</v>
      </c>
      <c r="G1529" s="40">
        <f t="shared" si="23"/>
        <v>51</v>
      </c>
      <c r="H1529" s="41" t="s">
        <v>24</v>
      </c>
      <c r="I1529" s="41" t="s">
        <v>338</v>
      </c>
      <c r="J1529" s="32"/>
    </row>
    <row r="1530" spans="1:10" x14ac:dyDescent="0.2">
      <c r="A1530" s="32"/>
      <c r="B1530" s="42" t="s">
        <v>2646</v>
      </c>
      <c r="C1530" s="43" t="s">
        <v>2645</v>
      </c>
      <c r="D1530" s="44" t="s">
        <v>1753</v>
      </c>
      <c r="E1530" s="45">
        <v>1</v>
      </c>
      <c r="F1530" s="46">
        <v>54</v>
      </c>
      <c r="G1530" s="46">
        <f t="shared" si="23"/>
        <v>54</v>
      </c>
      <c r="H1530" s="47" t="s">
        <v>24</v>
      </c>
      <c r="I1530" s="47" t="s">
        <v>338</v>
      </c>
      <c r="J1530" s="32"/>
    </row>
    <row r="1531" spans="1:10" x14ac:dyDescent="0.2">
      <c r="A1531" s="32"/>
      <c r="B1531" s="36" t="s">
        <v>2647</v>
      </c>
      <c r="C1531" s="37" t="s">
        <v>2645</v>
      </c>
      <c r="D1531" s="38" t="s">
        <v>41</v>
      </c>
      <c r="E1531" s="39">
        <v>1</v>
      </c>
      <c r="F1531" s="40">
        <v>15</v>
      </c>
      <c r="G1531" s="40">
        <f t="shared" si="23"/>
        <v>15</v>
      </c>
      <c r="H1531" s="41" t="s">
        <v>26</v>
      </c>
      <c r="I1531" s="41" t="s">
        <v>58</v>
      </c>
      <c r="J1531" s="32"/>
    </row>
    <row r="1532" spans="1:10" x14ac:dyDescent="0.2">
      <c r="A1532" s="32"/>
      <c r="B1532" s="42" t="s">
        <v>2648</v>
      </c>
      <c r="C1532" s="43" t="s">
        <v>2649</v>
      </c>
      <c r="D1532" s="44" t="s">
        <v>2459</v>
      </c>
      <c r="E1532" s="45">
        <v>1</v>
      </c>
      <c r="F1532" s="46">
        <v>51</v>
      </c>
      <c r="G1532" s="46">
        <f t="shared" si="23"/>
        <v>51</v>
      </c>
      <c r="H1532" s="47" t="s">
        <v>24</v>
      </c>
      <c r="I1532" s="47" t="s">
        <v>338</v>
      </c>
      <c r="J1532" s="32"/>
    </row>
    <row r="1533" spans="1:10" x14ac:dyDescent="0.2">
      <c r="A1533" s="32"/>
      <c r="B1533" s="36" t="s">
        <v>2650</v>
      </c>
      <c r="C1533" s="37" t="s">
        <v>2649</v>
      </c>
      <c r="D1533" s="38" t="s">
        <v>1753</v>
      </c>
      <c r="E1533" s="39">
        <v>1</v>
      </c>
      <c r="F1533" s="40">
        <v>54</v>
      </c>
      <c r="G1533" s="40">
        <f t="shared" si="23"/>
        <v>54</v>
      </c>
      <c r="H1533" s="41" t="s">
        <v>24</v>
      </c>
      <c r="I1533" s="41" t="s">
        <v>338</v>
      </c>
      <c r="J1533" s="32"/>
    </row>
    <row r="1534" spans="1:10" x14ac:dyDescent="0.2">
      <c r="A1534" s="32"/>
      <c r="B1534" s="42" t="s">
        <v>2651</v>
      </c>
      <c r="C1534" s="43" t="s">
        <v>2649</v>
      </c>
      <c r="D1534" s="44" t="s">
        <v>41</v>
      </c>
      <c r="E1534" s="45">
        <v>1</v>
      </c>
      <c r="F1534" s="46">
        <v>15</v>
      </c>
      <c r="G1534" s="46">
        <f t="shared" si="23"/>
        <v>15</v>
      </c>
      <c r="H1534" s="47" t="s">
        <v>26</v>
      </c>
      <c r="I1534" s="47" t="s">
        <v>58</v>
      </c>
      <c r="J1534" s="32"/>
    </row>
    <row r="1535" spans="1:10" x14ac:dyDescent="0.2">
      <c r="A1535" s="32"/>
      <c r="B1535" s="36" t="s">
        <v>2652</v>
      </c>
      <c r="C1535" s="37" t="s">
        <v>2653</v>
      </c>
      <c r="D1535" s="38" t="s">
        <v>1463</v>
      </c>
      <c r="E1535" s="39">
        <v>1</v>
      </c>
      <c r="F1535" s="40">
        <v>5.69</v>
      </c>
      <c r="G1535" s="40">
        <f t="shared" si="23"/>
        <v>5.69</v>
      </c>
      <c r="H1535" s="41" t="s">
        <v>24</v>
      </c>
      <c r="I1535" s="41" t="s">
        <v>58</v>
      </c>
      <c r="J1535" s="32"/>
    </row>
    <row r="1536" spans="1:10" x14ac:dyDescent="0.2">
      <c r="A1536" s="32"/>
      <c r="B1536" s="42" t="s">
        <v>2654</v>
      </c>
      <c r="C1536" s="43" t="s">
        <v>2653</v>
      </c>
      <c r="D1536" s="44" t="s">
        <v>1381</v>
      </c>
      <c r="E1536" s="45">
        <v>1</v>
      </c>
      <c r="F1536" s="46">
        <v>15.99</v>
      </c>
      <c r="G1536" s="46">
        <f t="shared" si="23"/>
        <v>15.99</v>
      </c>
      <c r="H1536" s="47" t="s">
        <v>24</v>
      </c>
      <c r="I1536" s="47" t="s">
        <v>58</v>
      </c>
      <c r="J1536" s="32"/>
    </row>
    <row r="1537" spans="1:10" x14ac:dyDescent="0.2">
      <c r="A1537" s="32"/>
      <c r="B1537" s="36" t="s">
        <v>2655</v>
      </c>
      <c r="C1537" s="37" t="s">
        <v>2653</v>
      </c>
      <c r="D1537" s="38" t="s">
        <v>1829</v>
      </c>
      <c r="E1537" s="39">
        <v>1</v>
      </c>
      <c r="F1537" s="40">
        <v>16.79</v>
      </c>
      <c r="G1537" s="40">
        <f t="shared" si="23"/>
        <v>16.79</v>
      </c>
      <c r="H1537" s="41" t="s">
        <v>24</v>
      </c>
      <c r="I1537" s="41" t="s">
        <v>58</v>
      </c>
      <c r="J1537" s="32"/>
    </row>
    <row r="1538" spans="1:10" x14ac:dyDescent="0.2">
      <c r="A1538" s="32"/>
      <c r="B1538" s="42" t="s">
        <v>2656</v>
      </c>
      <c r="C1538" s="43" t="s">
        <v>2653</v>
      </c>
      <c r="D1538" s="44" t="s">
        <v>2493</v>
      </c>
      <c r="E1538" s="45">
        <v>1</v>
      </c>
      <c r="F1538" s="46">
        <v>50.99</v>
      </c>
      <c r="G1538" s="46">
        <f t="shared" si="23"/>
        <v>50.99</v>
      </c>
      <c r="H1538" s="47" t="s">
        <v>24</v>
      </c>
      <c r="I1538" s="47" t="s">
        <v>58</v>
      </c>
      <c r="J1538" s="32"/>
    </row>
    <row r="1539" spans="1:10" x14ac:dyDescent="0.2">
      <c r="A1539" s="32"/>
      <c r="B1539" s="36" t="s">
        <v>2657</v>
      </c>
      <c r="C1539" s="37" t="s">
        <v>2653</v>
      </c>
      <c r="D1539" s="38" t="s">
        <v>1835</v>
      </c>
      <c r="E1539" s="39">
        <v>1</v>
      </c>
      <c r="F1539" s="40">
        <v>8.59</v>
      </c>
      <c r="G1539" s="40">
        <f t="shared" si="23"/>
        <v>8.59</v>
      </c>
      <c r="H1539" s="41" t="s">
        <v>24</v>
      </c>
      <c r="I1539" s="41" t="s">
        <v>58</v>
      </c>
      <c r="J1539" s="32"/>
    </row>
    <row r="1540" spans="1:10" x14ac:dyDescent="0.2">
      <c r="A1540" s="32"/>
      <c r="B1540" s="42" t="s">
        <v>2658</v>
      </c>
      <c r="C1540" s="43" t="s">
        <v>2653</v>
      </c>
      <c r="D1540" s="44" t="s">
        <v>2659</v>
      </c>
      <c r="E1540" s="45">
        <v>1</v>
      </c>
      <c r="F1540" s="46">
        <v>8.49</v>
      </c>
      <c r="G1540" s="46">
        <f t="shared" si="23"/>
        <v>8.49</v>
      </c>
      <c r="H1540" s="47" t="s">
        <v>24</v>
      </c>
      <c r="I1540" s="47" t="s">
        <v>58</v>
      </c>
      <c r="J1540" s="32"/>
    </row>
    <row r="1541" spans="1:10" x14ac:dyDescent="0.2">
      <c r="A1541" s="32"/>
      <c r="B1541" s="36" t="s">
        <v>2660</v>
      </c>
      <c r="C1541" s="37" t="s">
        <v>2653</v>
      </c>
      <c r="D1541" s="38" t="s">
        <v>1473</v>
      </c>
      <c r="E1541" s="39">
        <v>1</v>
      </c>
      <c r="F1541" s="40">
        <v>23.39</v>
      </c>
      <c r="G1541" s="40">
        <f t="shared" ref="G1541:G1604" si="24">E1541*F1541</f>
        <v>23.39</v>
      </c>
      <c r="H1541" s="41" t="s">
        <v>24</v>
      </c>
      <c r="I1541" s="41" t="s">
        <v>58</v>
      </c>
      <c r="J1541" s="32"/>
    </row>
    <row r="1542" spans="1:10" x14ac:dyDescent="0.2">
      <c r="A1542" s="32"/>
      <c r="B1542" s="42" t="s">
        <v>2661</v>
      </c>
      <c r="C1542" s="43" t="s">
        <v>2653</v>
      </c>
      <c r="D1542" s="44" t="s">
        <v>2626</v>
      </c>
      <c r="E1542" s="45">
        <v>1</v>
      </c>
      <c r="F1542" s="46">
        <v>59.99</v>
      </c>
      <c r="G1542" s="46">
        <f t="shared" si="24"/>
        <v>59.99</v>
      </c>
      <c r="H1542" s="47" t="s">
        <v>24</v>
      </c>
      <c r="I1542" s="47" t="s">
        <v>58</v>
      </c>
      <c r="J1542" s="32"/>
    </row>
    <row r="1543" spans="1:10" x14ac:dyDescent="0.2">
      <c r="A1543" s="32"/>
      <c r="B1543" s="36" t="s">
        <v>2662</v>
      </c>
      <c r="C1543" s="37" t="s">
        <v>2653</v>
      </c>
      <c r="D1543" s="38" t="s">
        <v>2663</v>
      </c>
      <c r="E1543" s="39">
        <v>1</v>
      </c>
      <c r="F1543" s="40">
        <v>19.989999999999998</v>
      </c>
      <c r="G1543" s="40">
        <f t="shared" si="24"/>
        <v>19.989999999999998</v>
      </c>
      <c r="H1543" s="41" t="s">
        <v>24</v>
      </c>
      <c r="I1543" s="41" t="s">
        <v>58</v>
      </c>
      <c r="J1543" s="32"/>
    </row>
    <row r="1544" spans="1:10" x14ac:dyDescent="0.2">
      <c r="A1544" s="32"/>
      <c r="B1544" s="42" t="s">
        <v>2664</v>
      </c>
      <c r="C1544" s="43" t="s">
        <v>2653</v>
      </c>
      <c r="D1544" s="44" t="s">
        <v>2577</v>
      </c>
      <c r="E1544" s="45">
        <v>1</v>
      </c>
      <c r="F1544" s="46">
        <v>6.29</v>
      </c>
      <c r="G1544" s="46">
        <f t="shared" si="24"/>
        <v>6.29</v>
      </c>
      <c r="H1544" s="47" t="s">
        <v>24</v>
      </c>
      <c r="I1544" s="47" t="s">
        <v>58</v>
      </c>
      <c r="J1544" s="32"/>
    </row>
    <row r="1545" spans="1:10" x14ac:dyDescent="0.2">
      <c r="A1545" s="32"/>
      <c r="B1545" s="36" t="s">
        <v>2665</v>
      </c>
      <c r="C1545" s="37" t="s">
        <v>2653</v>
      </c>
      <c r="D1545" s="38" t="s">
        <v>1340</v>
      </c>
      <c r="E1545" s="39">
        <v>1</v>
      </c>
      <c r="F1545" s="40">
        <v>47.99</v>
      </c>
      <c r="G1545" s="40">
        <f t="shared" si="24"/>
        <v>47.99</v>
      </c>
      <c r="H1545" s="41" t="s">
        <v>24</v>
      </c>
      <c r="I1545" s="41" t="s">
        <v>58</v>
      </c>
      <c r="J1545" s="32"/>
    </row>
    <row r="1546" spans="1:10" x14ac:dyDescent="0.2">
      <c r="A1546" s="32"/>
      <c r="B1546" s="42" t="s">
        <v>2666</v>
      </c>
      <c r="C1546" s="43" t="s">
        <v>2653</v>
      </c>
      <c r="D1546" s="44" t="s">
        <v>735</v>
      </c>
      <c r="E1546" s="45">
        <v>1</v>
      </c>
      <c r="F1546" s="46">
        <v>5.49</v>
      </c>
      <c r="G1546" s="46">
        <f t="shared" si="24"/>
        <v>5.49</v>
      </c>
      <c r="H1546" s="47" t="s">
        <v>24</v>
      </c>
      <c r="I1546" s="47" t="s">
        <v>58</v>
      </c>
      <c r="J1546" s="32"/>
    </row>
    <row r="1547" spans="1:10" x14ac:dyDescent="0.2">
      <c r="A1547" s="32"/>
      <c r="B1547" s="36" t="s">
        <v>2667</v>
      </c>
      <c r="C1547" s="37" t="s">
        <v>2653</v>
      </c>
      <c r="D1547" s="38" t="s">
        <v>2668</v>
      </c>
      <c r="E1547" s="39">
        <v>1</v>
      </c>
      <c r="F1547" s="40">
        <v>3.99</v>
      </c>
      <c r="G1547" s="40">
        <f t="shared" si="24"/>
        <v>3.99</v>
      </c>
      <c r="H1547" s="41" t="s">
        <v>24</v>
      </c>
      <c r="I1547" s="41" t="s">
        <v>58</v>
      </c>
      <c r="J1547" s="32"/>
    </row>
    <row r="1548" spans="1:10" x14ac:dyDescent="0.2">
      <c r="A1548" s="32"/>
      <c r="B1548" s="42" t="s">
        <v>2669</v>
      </c>
      <c r="C1548" s="43" t="s">
        <v>2653</v>
      </c>
      <c r="D1548" s="44" t="s">
        <v>2670</v>
      </c>
      <c r="E1548" s="45">
        <v>1</v>
      </c>
      <c r="F1548" s="46">
        <v>23.39</v>
      </c>
      <c r="G1548" s="46">
        <f t="shared" si="24"/>
        <v>23.39</v>
      </c>
      <c r="H1548" s="47" t="s">
        <v>24</v>
      </c>
      <c r="I1548" s="47" t="s">
        <v>58</v>
      </c>
      <c r="J1548" s="32"/>
    </row>
    <row r="1549" spans="1:10" x14ac:dyDescent="0.2">
      <c r="A1549" s="32"/>
      <c r="B1549" s="36" t="s">
        <v>2671</v>
      </c>
      <c r="C1549" s="37" t="s">
        <v>2653</v>
      </c>
      <c r="D1549" s="38" t="s">
        <v>2672</v>
      </c>
      <c r="E1549" s="39">
        <v>1</v>
      </c>
      <c r="F1549" s="40">
        <v>3.69</v>
      </c>
      <c r="G1549" s="40">
        <f t="shared" si="24"/>
        <v>3.69</v>
      </c>
      <c r="H1549" s="41" t="s">
        <v>24</v>
      </c>
      <c r="I1549" s="41" t="s">
        <v>58</v>
      </c>
      <c r="J1549" s="32"/>
    </row>
    <row r="1550" spans="1:10" x14ac:dyDescent="0.2">
      <c r="A1550" s="32"/>
      <c r="B1550" s="42" t="s">
        <v>2673</v>
      </c>
      <c r="C1550" s="43" t="s">
        <v>2653</v>
      </c>
      <c r="D1550" s="44" t="s">
        <v>2674</v>
      </c>
      <c r="E1550" s="45">
        <v>1</v>
      </c>
      <c r="F1550" s="46">
        <v>4.99</v>
      </c>
      <c r="G1550" s="46">
        <f t="shared" si="24"/>
        <v>4.99</v>
      </c>
      <c r="H1550" s="47" t="s">
        <v>24</v>
      </c>
      <c r="I1550" s="47" t="s">
        <v>58</v>
      </c>
      <c r="J1550" s="32"/>
    </row>
    <row r="1551" spans="1:10" x14ac:dyDescent="0.2">
      <c r="A1551" s="32"/>
      <c r="B1551" s="36" t="s">
        <v>2675</v>
      </c>
      <c r="C1551" s="37" t="s">
        <v>2653</v>
      </c>
      <c r="D1551" s="38" t="s">
        <v>2676</v>
      </c>
      <c r="E1551" s="39">
        <v>1</v>
      </c>
      <c r="F1551" s="40">
        <v>3.99</v>
      </c>
      <c r="G1551" s="40">
        <f t="shared" si="24"/>
        <v>3.99</v>
      </c>
      <c r="H1551" s="41" t="s">
        <v>24</v>
      </c>
      <c r="I1551" s="41" t="s">
        <v>58</v>
      </c>
      <c r="J1551" s="32"/>
    </row>
    <row r="1552" spans="1:10" x14ac:dyDescent="0.2">
      <c r="A1552" s="32"/>
      <c r="B1552" s="42" t="s">
        <v>2677</v>
      </c>
      <c r="C1552" s="43" t="s">
        <v>2653</v>
      </c>
      <c r="D1552" s="44" t="s">
        <v>2678</v>
      </c>
      <c r="E1552" s="45">
        <v>1</v>
      </c>
      <c r="F1552" s="46">
        <v>3.49</v>
      </c>
      <c r="G1552" s="46">
        <f t="shared" si="24"/>
        <v>3.49</v>
      </c>
      <c r="H1552" s="47" t="s">
        <v>24</v>
      </c>
      <c r="I1552" s="47" t="s">
        <v>58</v>
      </c>
      <c r="J1552" s="32"/>
    </row>
    <row r="1553" spans="1:10" x14ac:dyDescent="0.2">
      <c r="A1553" s="32"/>
      <c r="B1553" s="36" t="s">
        <v>2679</v>
      </c>
      <c r="C1553" s="37" t="s">
        <v>2653</v>
      </c>
      <c r="D1553" s="38" t="s">
        <v>2680</v>
      </c>
      <c r="E1553" s="39">
        <v>1</v>
      </c>
      <c r="F1553" s="40">
        <v>10.99</v>
      </c>
      <c r="G1553" s="40">
        <f t="shared" si="24"/>
        <v>10.99</v>
      </c>
      <c r="H1553" s="41" t="s">
        <v>24</v>
      </c>
      <c r="I1553" s="41" t="s">
        <v>58</v>
      </c>
      <c r="J1553" s="32"/>
    </row>
    <row r="1554" spans="1:10" x14ac:dyDescent="0.2">
      <c r="A1554" s="32"/>
      <c r="B1554" s="42" t="s">
        <v>2681</v>
      </c>
      <c r="C1554" s="43" t="s">
        <v>2653</v>
      </c>
      <c r="D1554" s="44" t="s">
        <v>38</v>
      </c>
      <c r="E1554" s="45">
        <v>1</v>
      </c>
      <c r="F1554" s="46">
        <v>5.49</v>
      </c>
      <c r="G1554" s="46">
        <f t="shared" si="24"/>
        <v>5.49</v>
      </c>
      <c r="H1554" s="47" t="s">
        <v>24</v>
      </c>
      <c r="I1554" s="47" t="s">
        <v>58</v>
      </c>
      <c r="J1554" s="32"/>
    </row>
    <row r="1555" spans="1:10" x14ac:dyDescent="0.2">
      <c r="A1555" s="32"/>
      <c r="B1555" s="36" t="s">
        <v>2682</v>
      </c>
      <c r="C1555" s="37" t="s">
        <v>2653</v>
      </c>
      <c r="D1555" s="38" t="s">
        <v>2683</v>
      </c>
      <c r="E1555" s="39">
        <v>1</v>
      </c>
      <c r="F1555" s="40">
        <v>4.79</v>
      </c>
      <c r="G1555" s="40">
        <f t="shared" si="24"/>
        <v>4.79</v>
      </c>
      <c r="H1555" s="41" t="s">
        <v>24</v>
      </c>
      <c r="I1555" s="41" t="s">
        <v>58</v>
      </c>
      <c r="J1555" s="32"/>
    </row>
    <row r="1556" spans="1:10" x14ac:dyDescent="0.2">
      <c r="A1556" s="32"/>
      <c r="B1556" s="42" t="s">
        <v>2684</v>
      </c>
      <c r="C1556" s="43" t="s">
        <v>2653</v>
      </c>
      <c r="D1556" s="44" t="s">
        <v>2685</v>
      </c>
      <c r="E1556" s="45">
        <v>1</v>
      </c>
      <c r="F1556" s="46">
        <v>3.49</v>
      </c>
      <c r="G1556" s="46">
        <f t="shared" si="24"/>
        <v>3.49</v>
      </c>
      <c r="H1556" s="47" t="s">
        <v>24</v>
      </c>
      <c r="I1556" s="47" t="s">
        <v>58</v>
      </c>
      <c r="J1556" s="32"/>
    </row>
    <row r="1557" spans="1:10" x14ac:dyDescent="0.2">
      <c r="A1557" s="32"/>
      <c r="B1557" s="36" t="s">
        <v>2686</v>
      </c>
      <c r="C1557" s="37" t="s">
        <v>2653</v>
      </c>
      <c r="D1557" s="38" t="s">
        <v>2587</v>
      </c>
      <c r="E1557" s="39">
        <v>1</v>
      </c>
      <c r="F1557" s="40">
        <v>4.99</v>
      </c>
      <c r="G1557" s="40">
        <f t="shared" si="24"/>
        <v>4.99</v>
      </c>
      <c r="H1557" s="41" t="s">
        <v>24</v>
      </c>
      <c r="I1557" s="41" t="s">
        <v>58</v>
      </c>
      <c r="J1557" s="32"/>
    </row>
    <row r="1558" spans="1:10" x14ac:dyDescent="0.2">
      <c r="A1558" s="32"/>
      <c r="B1558" s="42" t="s">
        <v>2687</v>
      </c>
      <c r="C1558" s="43" t="s">
        <v>2653</v>
      </c>
      <c r="D1558" s="44" t="s">
        <v>2688</v>
      </c>
      <c r="E1558" s="45">
        <v>1</v>
      </c>
      <c r="F1558" s="46">
        <v>9.69</v>
      </c>
      <c r="G1558" s="46">
        <f t="shared" si="24"/>
        <v>9.69</v>
      </c>
      <c r="H1558" s="47" t="s">
        <v>24</v>
      </c>
      <c r="I1558" s="47" t="s">
        <v>58</v>
      </c>
      <c r="J1558" s="32"/>
    </row>
    <row r="1559" spans="1:10" x14ac:dyDescent="0.2">
      <c r="A1559" s="32"/>
      <c r="B1559" s="36" t="s">
        <v>2689</v>
      </c>
      <c r="C1559" s="37" t="s">
        <v>2653</v>
      </c>
      <c r="D1559" s="38" t="s">
        <v>2690</v>
      </c>
      <c r="E1559" s="39">
        <v>1</v>
      </c>
      <c r="F1559" s="40">
        <v>1.74</v>
      </c>
      <c r="G1559" s="40">
        <f t="shared" si="24"/>
        <v>1.74</v>
      </c>
      <c r="H1559" s="41" t="s">
        <v>24</v>
      </c>
      <c r="I1559" s="41" t="s">
        <v>58</v>
      </c>
      <c r="J1559" s="32"/>
    </row>
    <row r="1560" spans="1:10" x14ac:dyDescent="0.2">
      <c r="A1560" s="32"/>
      <c r="B1560" s="42" t="s">
        <v>2691</v>
      </c>
      <c r="C1560" s="43" t="s">
        <v>2653</v>
      </c>
      <c r="D1560" s="44" t="s">
        <v>2692</v>
      </c>
      <c r="E1560" s="45">
        <v>1</v>
      </c>
      <c r="F1560" s="46">
        <v>5.79</v>
      </c>
      <c r="G1560" s="46">
        <f t="shared" si="24"/>
        <v>5.79</v>
      </c>
      <c r="H1560" s="47" t="s">
        <v>24</v>
      </c>
      <c r="I1560" s="47" t="s">
        <v>58</v>
      </c>
      <c r="J1560" s="32"/>
    </row>
    <row r="1561" spans="1:10" x14ac:dyDescent="0.2">
      <c r="A1561" s="32"/>
      <c r="B1561" s="36" t="s">
        <v>2693</v>
      </c>
      <c r="C1561" s="37" t="s">
        <v>2653</v>
      </c>
      <c r="D1561" s="38" t="s">
        <v>2694</v>
      </c>
      <c r="E1561" s="39">
        <v>1</v>
      </c>
      <c r="F1561" s="40">
        <v>29.99</v>
      </c>
      <c r="G1561" s="40">
        <f t="shared" si="24"/>
        <v>29.99</v>
      </c>
      <c r="H1561" s="41" t="s">
        <v>24</v>
      </c>
      <c r="I1561" s="41" t="s">
        <v>58</v>
      </c>
      <c r="J1561" s="32"/>
    </row>
    <row r="1562" spans="1:10" x14ac:dyDescent="0.2">
      <c r="A1562" s="32"/>
      <c r="B1562" s="42" t="s">
        <v>2695</v>
      </c>
      <c r="C1562" s="43" t="s">
        <v>2653</v>
      </c>
      <c r="D1562" s="44" t="s">
        <v>2688</v>
      </c>
      <c r="E1562" s="45">
        <v>1</v>
      </c>
      <c r="F1562" s="46">
        <v>9.69</v>
      </c>
      <c r="G1562" s="46">
        <f t="shared" si="24"/>
        <v>9.69</v>
      </c>
      <c r="H1562" s="47" t="s">
        <v>24</v>
      </c>
      <c r="I1562" s="47" t="s">
        <v>58</v>
      </c>
      <c r="J1562" s="32"/>
    </row>
    <row r="1563" spans="1:10" x14ac:dyDescent="0.2">
      <c r="A1563" s="32"/>
      <c r="B1563" s="36" t="s">
        <v>2696</v>
      </c>
      <c r="C1563" s="37" t="s">
        <v>2653</v>
      </c>
      <c r="D1563" s="38" t="s">
        <v>2697</v>
      </c>
      <c r="E1563" s="39">
        <v>1</v>
      </c>
      <c r="F1563" s="40">
        <v>6.59</v>
      </c>
      <c r="G1563" s="40">
        <f t="shared" si="24"/>
        <v>6.59</v>
      </c>
      <c r="H1563" s="41" t="s">
        <v>24</v>
      </c>
      <c r="I1563" s="41" t="s">
        <v>58</v>
      </c>
      <c r="J1563" s="32"/>
    </row>
    <row r="1564" spans="1:10" x14ac:dyDescent="0.2">
      <c r="A1564" s="32"/>
      <c r="B1564" s="42" t="s">
        <v>2698</v>
      </c>
      <c r="C1564" s="43" t="s">
        <v>2653</v>
      </c>
      <c r="D1564" s="44" t="s">
        <v>2697</v>
      </c>
      <c r="E1564" s="45">
        <v>1</v>
      </c>
      <c r="F1564" s="46">
        <v>6.59</v>
      </c>
      <c r="G1564" s="46">
        <f t="shared" si="24"/>
        <v>6.59</v>
      </c>
      <c r="H1564" s="47" t="s">
        <v>24</v>
      </c>
      <c r="I1564" s="47" t="s">
        <v>58</v>
      </c>
      <c r="J1564" s="32"/>
    </row>
    <row r="1565" spans="1:10" x14ac:dyDescent="0.2">
      <c r="A1565" s="32"/>
      <c r="B1565" s="36" t="s">
        <v>2699</v>
      </c>
      <c r="C1565" s="37" t="s">
        <v>2653</v>
      </c>
      <c r="D1565" s="38" t="s">
        <v>2697</v>
      </c>
      <c r="E1565" s="39">
        <v>1</v>
      </c>
      <c r="F1565" s="40">
        <v>6.59</v>
      </c>
      <c r="G1565" s="40">
        <f t="shared" si="24"/>
        <v>6.59</v>
      </c>
      <c r="H1565" s="41" t="s">
        <v>24</v>
      </c>
      <c r="I1565" s="41" t="s">
        <v>58</v>
      </c>
      <c r="J1565" s="32"/>
    </row>
    <row r="1566" spans="1:10" x14ac:dyDescent="0.2">
      <c r="A1566" s="32"/>
      <c r="B1566" s="42" t="s">
        <v>2700</v>
      </c>
      <c r="C1566" s="43" t="s">
        <v>2653</v>
      </c>
      <c r="D1566" s="44" t="s">
        <v>2701</v>
      </c>
      <c r="E1566" s="45">
        <v>1</v>
      </c>
      <c r="F1566" s="46">
        <v>9.4499999999999993</v>
      </c>
      <c r="G1566" s="46">
        <f t="shared" si="24"/>
        <v>9.4499999999999993</v>
      </c>
      <c r="H1566" s="47" t="s">
        <v>24</v>
      </c>
      <c r="I1566" s="47" t="s">
        <v>58</v>
      </c>
      <c r="J1566" s="32"/>
    </row>
    <row r="1567" spans="1:10" x14ac:dyDescent="0.2">
      <c r="A1567" s="32"/>
      <c r="B1567" s="36" t="s">
        <v>2702</v>
      </c>
      <c r="C1567" s="37" t="s">
        <v>2653</v>
      </c>
      <c r="D1567" s="38" t="s">
        <v>2580</v>
      </c>
      <c r="E1567" s="39">
        <v>1</v>
      </c>
      <c r="F1567" s="40">
        <v>3.99</v>
      </c>
      <c r="G1567" s="40">
        <f t="shared" si="24"/>
        <v>3.99</v>
      </c>
      <c r="H1567" s="41" t="s">
        <v>24</v>
      </c>
      <c r="I1567" s="41" t="s">
        <v>58</v>
      </c>
      <c r="J1567" s="32"/>
    </row>
    <row r="1568" spans="1:10" x14ac:dyDescent="0.2">
      <c r="A1568" s="32"/>
      <c r="B1568" s="42" t="s">
        <v>2703</v>
      </c>
      <c r="C1568" s="43" t="s">
        <v>2653</v>
      </c>
      <c r="D1568" s="44" t="s">
        <v>2580</v>
      </c>
      <c r="E1568" s="45">
        <v>1</v>
      </c>
      <c r="F1568" s="46">
        <v>3.99</v>
      </c>
      <c r="G1568" s="46">
        <f t="shared" si="24"/>
        <v>3.99</v>
      </c>
      <c r="H1568" s="47" t="s">
        <v>24</v>
      </c>
      <c r="I1568" s="47" t="s">
        <v>58</v>
      </c>
      <c r="J1568" s="32"/>
    </row>
    <row r="1569" spans="1:10" x14ac:dyDescent="0.2">
      <c r="A1569" s="32"/>
      <c r="B1569" s="36" t="s">
        <v>2704</v>
      </c>
      <c r="C1569" s="37" t="s">
        <v>2653</v>
      </c>
      <c r="D1569" s="38" t="s">
        <v>2705</v>
      </c>
      <c r="E1569" s="39">
        <v>1</v>
      </c>
      <c r="F1569" s="40">
        <v>34.99</v>
      </c>
      <c r="G1569" s="40">
        <f t="shared" si="24"/>
        <v>34.99</v>
      </c>
      <c r="H1569" s="41" t="s">
        <v>24</v>
      </c>
      <c r="I1569" s="41" t="s">
        <v>58</v>
      </c>
      <c r="J1569" s="32"/>
    </row>
    <row r="1570" spans="1:10" x14ac:dyDescent="0.2">
      <c r="A1570" s="32"/>
      <c r="B1570" s="42" t="s">
        <v>2706</v>
      </c>
      <c r="C1570" s="43" t="s">
        <v>2653</v>
      </c>
      <c r="D1570" s="44" t="s">
        <v>2707</v>
      </c>
      <c r="E1570" s="45">
        <v>1</v>
      </c>
      <c r="F1570" s="46">
        <v>54.9</v>
      </c>
      <c r="G1570" s="46">
        <f t="shared" si="24"/>
        <v>54.9</v>
      </c>
      <c r="H1570" s="47" t="s">
        <v>24</v>
      </c>
      <c r="I1570" s="47" t="s">
        <v>58</v>
      </c>
      <c r="J1570" s="32"/>
    </row>
    <row r="1571" spans="1:10" x14ac:dyDescent="0.2">
      <c r="A1571" s="32"/>
      <c r="B1571" s="36" t="s">
        <v>2708</v>
      </c>
      <c r="C1571" s="37" t="s">
        <v>2653</v>
      </c>
      <c r="D1571" s="38" t="s">
        <v>2709</v>
      </c>
      <c r="E1571" s="39">
        <v>1</v>
      </c>
      <c r="F1571" s="40">
        <v>12.99</v>
      </c>
      <c r="G1571" s="40">
        <f t="shared" si="24"/>
        <v>12.99</v>
      </c>
      <c r="H1571" s="41" t="s">
        <v>25</v>
      </c>
      <c r="I1571" s="41" t="s">
        <v>58</v>
      </c>
      <c r="J1571" s="32"/>
    </row>
    <row r="1572" spans="1:10" x14ac:dyDescent="0.2">
      <c r="A1572" s="32"/>
      <c r="B1572" s="42" t="s">
        <v>2710</v>
      </c>
      <c r="C1572" s="43" t="s">
        <v>2653</v>
      </c>
      <c r="D1572" s="44" t="s">
        <v>2711</v>
      </c>
      <c r="E1572" s="45">
        <v>1</v>
      </c>
      <c r="F1572" s="46">
        <v>31.59</v>
      </c>
      <c r="G1572" s="46">
        <f t="shared" si="24"/>
        <v>31.59</v>
      </c>
      <c r="H1572" s="47" t="s">
        <v>24</v>
      </c>
      <c r="I1572" s="47" t="s">
        <v>58</v>
      </c>
      <c r="J1572" s="32"/>
    </row>
    <row r="1573" spans="1:10" x14ac:dyDescent="0.2">
      <c r="A1573" s="32"/>
      <c r="B1573" s="36" t="s">
        <v>2712</v>
      </c>
      <c r="C1573" s="37" t="s">
        <v>2653</v>
      </c>
      <c r="D1573" s="38" t="s">
        <v>834</v>
      </c>
      <c r="E1573" s="39">
        <v>1</v>
      </c>
      <c r="F1573" s="40">
        <v>4.66</v>
      </c>
      <c r="G1573" s="40">
        <f t="shared" si="24"/>
        <v>4.66</v>
      </c>
      <c r="H1573" s="41" t="s">
        <v>25</v>
      </c>
      <c r="I1573" s="41" t="s">
        <v>58</v>
      </c>
      <c r="J1573" s="32"/>
    </row>
    <row r="1574" spans="1:10" x14ac:dyDescent="0.2">
      <c r="A1574" s="32"/>
      <c r="B1574" s="42" t="s">
        <v>2713</v>
      </c>
      <c r="C1574" s="43" t="s">
        <v>2653</v>
      </c>
      <c r="D1574" s="44" t="s">
        <v>834</v>
      </c>
      <c r="E1574" s="45">
        <v>1</v>
      </c>
      <c r="F1574" s="46">
        <v>4.66</v>
      </c>
      <c r="G1574" s="46">
        <f t="shared" si="24"/>
        <v>4.66</v>
      </c>
      <c r="H1574" s="47" t="s">
        <v>25</v>
      </c>
      <c r="I1574" s="47" t="s">
        <v>58</v>
      </c>
      <c r="J1574" s="32"/>
    </row>
    <row r="1575" spans="1:10" x14ac:dyDescent="0.2">
      <c r="A1575" s="32"/>
      <c r="B1575" s="36" t="s">
        <v>2714</v>
      </c>
      <c r="C1575" s="37" t="s">
        <v>2653</v>
      </c>
      <c r="D1575" s="38" t="s">
        <v>196</v>
      </c>
      <c r="E1575" s="39">
        <v>1</v>
      </c>
      <c r="F1575" s="40">
        <v>4.66</v>
      </c>
      <c r="G1575" s="40">
        <f t="shared" si="24"/>
        <v>4.66</v>
      </c>
      <c r="H1575" s="41" t="s">
        <v>25</v>
      </c>
      <c r="I1575" s="41" t="s">
        <v>58</v>
      </c>
      <c r="J1575" s="32"/>
    </row>
    <row r="1576" spans="1:10" x14ac:dyDescent="0.2">
      <c r="A1576" s="32"/>
      <c r="B1576" s="42" t="s">
        <v>2715</v>
      </c>
      <c r="C1576" s="43" t="s">
        <v>2653</v>
      </c>
      <c r="D1576" s="44" t="s">
        <v>1912</v>
      </c>
      <c r="E1576" s="45">
        <v>1</v>
      </c>
      <c r="F1576" s="46">
        <v>3.19</v>
      </c>
      <c r="G1576" s="46">
        <f t="shared" si="24"/>
        <v>3.19</v>
      </c>
      <c r="H1576" s="47" t="s">
        <v>24</v>
      </c>
      <c r="I1576" s="47" t="s">
        <v>58</v>
      </c>
      <c r="J1576" s="32"/>
    </row>
    <row r="1577" spans="1:10" x14ac:dyDescent="0.2">
      <c r="A1577" s="32"/>
      <c r="B1577" s="36" t="s">
        <v>2716</v>
      </c>
      <c r="C1577" s="37" t="s">
        <v>2653</v>
      </c>
      <c r="D1577" s="38" t="s">
        <v>1912</v>
      </c>
      <c r="E1577" s="39">
        <v>1</v>
      </c>
      <c r="F1577" s="40">
        <v>3.19</v>
      </c>
      <c r="G1577" s="40">
        <f t="shared" si="24"/>
        <v>3.19</v>
      </c>
      <c r="H1577" s="41" t="s">
        <v>24</v>
      </c>
      <c r="I1577" s="41" t="s">
        <v>58</v>
      </c>
      <c r="J1577" s="32"/>
    </row>
    <row r="1578" spans="1:10" x14ac:dyDescent="0.2">
      <c r="A1578" s="32"/>
      <c r="B1578" s="42" t="s">
        <v>2717</v>
      </c>
      <c r="C1578" s="43" t="s">
        <v>2653</v>
      </c>
      <c r="D1578" s="44" t="s">
        <v>2718</v>
      </c>
      <c r="E1578" s="45">
        <v>1</v>
      </c>
      <c r="F1578" s="46">
        <v>22.59</v>
      </c>
      <c r="G1578" s="46">
        <f t="shared" si="24"/>
        <v>22.59</v>
      </c>
      <c r="H1578" s="47" t="s">
        <v>24</v>
      </c>
      <c r="I1578" s="47" t="s">
        <v>58</v>
      </c>
      <c r="J1578" s="32"/>
    </row>
    <row r="1579" spans="1:10" x14ac:dyDescent="0.2">
      <c r="A1579" s="32"/>
      <c r="B1579" s="36" t="s">
        <v>2719</v>
      </c>
      <c r="C1579" s="37" t="s">
        <v>2653</v>
      </c>
      <c r="D1579" s="38" t="s">
        <v>1710</v>
      </c>
      <c r="E1579" s="39">
        <v>1</v>
      </c>
      <c r="F1579" s="40">
        <v>12.99</v>
      </c>
      <c r="G1579" s="40">
        <f t="shared" si="24"/>
        <v>12.99</v>
      </c>
      <c r="H1579" s="41" t="s">
        <v>25</v>
      </c>
      <c r="I1579" s="41" t="s">
        <v>58</v>
      </c>
      <c r="J1579" s="32"/>
    </row>
    <row r="1580" spans="1:10" x14ac:dyDescent="0.2">
      <c r="A1580" s="32"/>
      <c r="B1580" s="42" t="s">
        <v>2720</v>
      </c>
      <c r="C1580" s="43" t="s">
        <v>2653</v>
      </c>
      <c r="D1580" s="44" t="s">
        <v>1712</v>
      </c>
      <c r="E1580" s="45">
        <v>1</v>
      </c>
      <c r="F1580" s="46">
        <v>12.99</v>
      </c>
      <c r="G1580" s="46">
        <f t="shared" si="24"/>
        <v>12.99</v>
      </c>
      <c r="H1580" s="47" t="s">
        <v>25</v>
      </c>
      <c r="I1580" s="47" t="s">
        <v>58</v>
      </c>
      <c r="J1580" s="32"/>
    </row>
    <row r="1581" spans="1:10" x14ac:dyDescent="0.2">
      <c r="A1581" s="32"/>
      <c r="B1581" s="36" t="s">
        <v>2721</v>
      </c>
      <c r="C1581" s="37" t="s">
        <v>2653</v>
      </c>
      <c r="D1581" s="38" t="s">
        <v>2722</v>
      </c>
      <c r="E1581" s="39">
        <v>1</v>
      </c>
      <c r="F1581" s="40">
        <v>16.79</v>
      </c>
      <c r="G1581" s="40">
        <f t="shared" si="24"/>
        <v>16.79</v>
      </c>
      <c r="H1581" s="41" t="s">
        <v>28</v>
      </c>
      <c r="I1581" s="41" t="s">
        <v>58</v>
      </c>
      <c r="J1581" s="32"/>
    </row>
    <row r="1582" spans="1:10" x14ac:dyDescent="0.2">
      <c r="A1582" s="32"/>
      <c r="B1582" s="42" t="s">
        <v>2723</v>
      </c>
      <c r="C1582" s="43" t="s">
        <v>2653</v>
      </c>
      <c r="D1582" s="44" t="s">
        <v>1955</v>
      </c>
      <c r="E1582" s="45">
        <v>1</v>
      </c>
      <c r="F1582" s="46">
        <v>25.79</v>
      </c>
      <c r="G1582" s="46">
        <f t="shared" si="24"/>
        <v>25.79</v>
      </c>
      <c r="H1582" s="47" t="s">
        <v>24</v>
      </c>
      <c r="I1582" s="47" t="s">
        <v>58</v>
      </c>
      <c r="J1582" s="32"/>
    </row>
    <row r="1583" spans="1:10" x14ac:dyDescent="0.2">
      <c r="A1583" s="32"/>
      <c r="B1583" s="36" t="s">
        <v>2724</v>
      </c>
      <c r="C1583" s="37" t="s">
        <v>2725</v>
      </c>
      <c r="D1583" s="38" t="s">
        <v>1202</v>
      </c>
      <c r="E1583" s="39">
        <v>1</v>
      </c>
      <c r="F1583" s="40">
        <v>61</v>
      </c>
      <c r="G1583" s="40">
        <f t="shared" si="24"/>
        <v>61</v>
      </c>
      <c r="H1583" s="41" t="s">
        <v>24</v>
      </c>
      <c r="I1583" s="41" t="s">
        <v>58</v>
      </c>
      <c r="J1583" s="32"/>
    </row>
    <row r="1584" spans="1:10" x14ac:dyDescent="0.2">
      <c r="A1584" s="32"/>
      <c r="B1584" s="42" t="s">
        <v>2726</v>
      </c>
      <c r="C1584" s="43" t="s">
        <v>2725</v>
      </c>
      <c r="D1584" s="44" t="s">
        <v>41</v>
      </c>
      <c r="E1584" s="45">
        <v>1</v>
      </c>
      <c r="F1584" s="46">
        <v>10</v>
      </c>
      <c r="G1584" s="46">
        <f t="shared" si="24"/>
        <v>10</v>
      </c>
      <c r="H1584" s="47" t="s">
        <v>26</v>
      </c>
      <c r="I1584" s="47" t="s">
        <v>58</v>
      </c>
      <c r="J1584" s="32"/>
    </row>
    <row r="1585" spans="1:10" x14ac:dyDescent="0.2">
      <c r="A1585" s="32"/>
      <c r="B1585" s="36" t="s">
        <v>2727</v>
      </c>
      <c r="C1585" s="37" t="s">
        <v>2728</v>
      </c>
      <c r="D1585" s="38" t="s">
        <v>2630</v>
      </c>
      <c r="E1585" s="39">
        <v>1</v>
      </c>
      <c r="F1585" s="40">
        <v>13.9</v>
      </c>
      <c r="G1585" s="40">
        <f t="shared" si="24"/>
        <v>13.9</v>
      </c>
      <c r="H1585" s="41" t="s">
        <v>24</v>
      </c>
      <c r="I1585" s="41" t="s">
        <v>58</v>
      </c>
      <c r="J1585" s="32"/>
    </row>
    <row r="1586" spans="1:10" x14ac:dyDescent="0.2">
      <c r="A1586" s="32"/>
      <c r="B1586" s="42" t="s">
        <v>2729</v>
      </c>
      <c r="C1586" s="43" t="s">
        <v>2728</v>
      </c>
      <c r="D1586" s="44" t="s">
        <v>2267</v>
      </c>
      <c r="E1586" s="45">
        <v>1</v>
      </c>
      <c r="F1586" s="46">
        <v>87.9</v>
      </c>
      <c r="G1586" s="46">
        <f t="shared" si="24"/>
        <v>87.9</v>
      </c>
      <c r="H1586" s="47" t="s">
        <v>24</v>
      </c>
      <c r="I1586" s="47" t="s">
        <v>58</v>
      </c>
      <c r="J1586" s="32"/>
    </row>
    <row r="1587" spans="1:10" x14ac:dyDescent="0.2">
      <c r="A1587" s="32"/>
      <c r="B1587" s="36" t="s">
        <v>2730</v>
      </c>
      <c r="C1587" s="37" t="s">
        <v>2728</v>
      </c>
      <c r="D1587" s="38" t="s">
        <v>41</v>
      </c>
      <c r="E1587" s="39">
        <v>1</v>
      </c>
      <c r="F1587" s="40">
        <v>12.99</v>
      </c>
      <c r="G1587" s="40">
        <f t="shared" si="24"/>
        <v>12.99</v>
      </c>
      <c r="H1587" s="41" t="s">
        <v>26</v>
      </c>
      <c r="I1587" s="41" t="s">
        <v>58</v>
      </c>
      <c r="J1587" s="32"/>
    </row>
    <row r="1588" spans="1:10" x14ac:dyDescent="0.2">
      <c r="A1588" s="32"/>
      <c r="B1588" s="42" t="s">
        <v>2731</v>
      </c>
      <c r="C1588" s="43" t="s">
        <v>2732</v>
      </c>
      <c r="D1588" s="44" t="s">
        <v>2267</v>
      </c>
      <c r="E1588" s="45">
        <v>1</v>
      </c>
      <c r="F1588" s="46">
        <v>83.9</v>
      </c>
      <c r="G1588" s="46">
        <f t="shared" si="24"/>
        <v>83.9</v>
      </c>
      <c r="H1588" s="47" t="s">
        <v>24</v>
      </c>
      <c r="I1588" s="47" t="s">
        <v>58</v>
      </c>
      <c r="J1588" s="32"/>
    </row>
    <row r="1589" spans="1:10" x14ac:dyDescent="0.2">
      <c r="A1589" s="32"/>
      <c r="B1589" s="36" t="s">
        <v>2733</v>
      </c>
      <c r="C1589" s="37" t="s">
        <v>2732</v>
      </c>
      <c r="D1589" s="38" t="s">
        <v>41</v>
      </c>
      <c r="E1589" s="39">
        <v>1</v>
      </c>
      <c r="F1589" s="40">
        <v>12.99</v>
      </c>
      <c r="G1589" s="40">
        <f t="shared" si="24"/>
        <v>12.99</v>
      </c>
      <c r="H1589" s="41" t="s">
        <v>26</v>
      </c>
      <c r="I1589" s="41" t="s">
        <v>58</v>
      </c>
      <c r="J1589" s="32"/>
    </row>
    <row r="1590" spans="1:10" x14ac:dyDescent="0.2">
      <c r="A1590" s="32"/>
      <c r="B1590" s="42" t="s">
        <v>2734</v>
      </c>
      <c r="C1590" s="43" t="s">
        <v>2735</v>
      </c>
      <c r="D1590" s="44" t="s">
        <v>2459</v>
      </c>
      <c r="E1590" s="45">
        <v>1</v>
      </c>
      <c r="F1590" s="46">
        <v>51</v>
      </c>
      <c r="G1590" s="46">
        <f t="shared" si="24"/>
        <v>51</v>
      </c>
      <c r="H1590" s="47" t="s">
        <v>24</v>
      </c>
      <c r="I1590" s="47" t="s">
        <v>338</v>
      </c>
      <c r="J1590" s="32"/>
    </row>
    <row r="1591" spans="1:10" x14ac:dyDescent="0.2">
      <c r="A1591" s="32"/>
      <c r="B1591" s="36" t="s">
        <v>2736</v>
      </c>
      <c r="C1591" s="37" t="s">
        <v>2735</v>
      </c>
      <c r="D1591" s="38" t="s">
        <v>2737</v>
      </c>
      <c r="E1591" s="39">
        <v>1</v>
      </c>
      <c r="F1591" s="40">
        <v>61</v>
      </c>
      <c r="G1591" s="40">
        <f t="shared" si="24"/>
        <v>61</v>
      </c>
      <c r="H1591" s="41" t="s">
        <v>24</v>
      </c>
      <c r="I1591" s="41" t="s">
        <v>58</v>
      </c>
      <c r="J1591" s="32"/>
    </row>
    <row r="1592" spans="1:10" x14ac:dyDescent="0.2">
      <c r="A1592" s="32"/>
      <c r="B1592" s="42" t="s">
        <v>2738</v>
      </c>
      <c r="C1592" s="43" t="s">
        <v>2735</v>
      </c>
      <c r="D1592" s="44" t="s">
        <v>41</v>
      </c>
      <c r="E1592" s="45">
        <v>1</v>
      </c>
      <c r="F1592" s="46">
        <v>15</v>
      </c>
      <c r="G1592" s="46">
        <f t="shared" si="24"/>
        <v>15</v>
      </c>
      <c r="H1592" s="47" t="s">
        <v>26</v>
      </c>
      <c r="I1592" s="47" t="s">
        <v>58</v>
      </c>
      <c r="J1592" s="32"/>
    </row>
    <row r="1593" spans="1:10" x14ac:dyDescent="0.2">
      <c r="A1593" s="32"/>
      <c r="B1593" s="36" t="s">
        <v>2739</v>
      </c>
      <c r="C1593" s="37" t="s">
        <v>2740</v>
      </c>
      <c r="D1593" s="38" t="s">
        <v>2459</v>
      </c>
      <c r="E1593" s="39">
        <v>1</v>
      </c>
      <c r="F1593" s="40">
        <v>51</v>
      </c>
      <c r="G1593" s="40">
        <f t="shared" si="24"/>
        <v>51</v>
      </c>
      <c r="H1593" s="41" t="s">
        <v>24</v>
      </c>
      <c r="I1593" s="41" t="s">
        <v>338</v>
      </c>
      <c r="J1593" s="32"/>
    </row>
    <row r="1594" spans="1:10" x14ac:dyDescent="0.2">
      <c r="A1594" s="32"/>
      <c r="B1594" s="42" t="s">
        <v>2741</v>
      </c>
      <c r="C1594" s="43" t="s">
        <v>2740</v>
      </c>
      <c r="D1594" s="44" t="s">
        <v>2737</v>
      </c>
      <c r="E1594" s="45">
        <v>1</v>
      </c>
      <c r="F1594" s="46">
        <v>61</v>
      </c>
      <c r="G1594" s="46">
        <f t="shared" si="24"/>
        <v>61</v>
      </c>
      <c r="H1594" s="47" t="s">
        <v>24</v>
      </c>
      <c r="I1594" s="47" t="s">
        <v>58</v>
      </c>
      <c r="J1594" s="32"/>
    </row>
    <row r="1595" spans="1:10" x14ac:dyDescent="0.2">
      <c r="A1595" s="32"/>
      <c r="B1595" s="36" t="s">
        <v>2742</v>
      </c>
      <c r="C1595" s="37" t="s">
        <v>2740</v>
      </c>
      <c r="D1595" s="38" t="s">
        <v>41</v>
      </c>
      <c r="E1595" s="39">
        <v>1</v>
      </c>
      <c r="F1595" s="40">
        <v>15</v>
      </c>
      <c r="G1595" s="40">
        <f t="shared" si="24"/>
        <v>15</v>
      </c>
      <c r="H1595" s="41" t="s">
        <v>26</v>
      </c>
      <c r="I1595" s="41" t="s">
        <v>58</v>
      </c>
      <c r="J1595" s="32"/>
    </row>
    <row r="1596" spans="1:10" x14ac:dyDescent="0.2">
      <c r="A1596" s="32"/>
      <c r="B1596" s="42" t="s">
        <v>2743</v>
      </c>
      <c r="C1596" s="43" t="s">
        <v>2744</v>
      </c>
      <c r="D1596" s="44" t="s">
        <v>2459</v>
      </c>
      <c r="E1596" s="45">
        <v>1</v>
      </c>
      <c r="F1596" s="46">
        <v>51</v>
      </c>
      <c r="G1596" s="46">
        <f t="shared" si="24"/>
        <v>51</v>
      </c>
      <c r="H1596" s="47" t="s">
        <v>24</v>
      </c>
      <c r="I1596" s="47" t="s">
        <v>338</v>
      </c>
      <c r="J1596" s="32"/>
    </row>
    <row r="1597" spans="1:10" x14ac:dyDescent="0.2">
      <c r="A1597" s="32"/>
      <c r="B1597" s="36" t="s">
        <v>2745</v>
      </c>
      <c r="C1597" s="37" t="s">
        <v>2744</v>
      </c>
      <c r="D1597" s="38" t="s">
        <v>1753</v>
      </c>
      <c r="E1597" s="39">
        <v>1</v>
      </c>
      <c r="F1597" s="40">
        <v>54</v>
      </c>
      <c r="G1597" s="40">
        <f t="shared" si="24"/>
        <v>54</v>
      </c>
      <c r="H1597" s="41" t="s">
        <v>24</v>
      </c>
      <c r="I1597" s="41" t="s">
        <v>338</v>
      </c>
      <c r="J1597" s="32"/>
    </row>
    <row r="1598" spans="1:10" x14ac:dyDescent="0.2">
      <c r="A1598" s="32"/>
      <c r="B1598" s="42" t="s">
        <v>2746</v>
      </c>
      <c r="C1598" s="43" t="s">
        <v>2744</v>
      </c>
      <c r="D1598" s="44" t="s">
        <v>41</v>
      </c>
      <c r="E1598" s="45">
        <v>1</v>
      </c>
      <c r="F1598" s="46">
        <v>16</v>
      </c>
      <c r="G1598" s="46">
        <f t="shared" si="24"/>
        <v>16</v>
      </c>
      <c r="H1598" s="47" t="s">
        <v>26</v>
      </c>
      <c r="I1598" s="47" t="s">
        <v>58</v>
      </c>
      <c r="J1598" s="32"/>
    </row>
    <row r="1599" spans="1:10" x14ac:dyDescent="0.2">
      <c r="A1599" s="32"/>
      <c r="B1599" s="36" t="s">
        <v>2747</v>
      </c>
      <c r="C1599" s="37" t="s">
        <v>2748</v>
      </c>
      <c r="D1599" s="38" t="s">
        <v>2749</v>
      </c>
      <c r="E1599" s="39">
        <v>1</v>
      </c>
      <c r="F1599" s="40">
        <v>16.989999999999998</v>
      </c>
      <c r="G1599" s="40">
        <f t="shared" si="24"/>
        <v>16.989999999999998</v>
      </c>
      <c r="H1599" s="41" t="s">
        <v>24</v>
      </c>
      <c r="I1599" s="41" t="s">
        <v>58</v>
      </c>
      <c r="J1599" s="32"/>
    </row>
    <row r="1600" spans="1:10" x14ac:dyDescent="0.2">
      <c r="A1600" s="32"/>
      <c r="B1600" s="42" t="s">
        <v>2750</v>
      </c>
      <c r="C1600" s="43" t="s">
        <v>2748</v>
      </c>
      <c r="D1600" s="44" t="s">
        <v>2751</v>
      </c>
      <c r="E1600" s="45">
        <v>1</v>
      </c>
      <c r="F1600" s="46">
        <v>19.989999999999998</v>
      </c>
      <c r="G1600" s="46">
        <f t="shared" si="24"/>
        <v>19.989999999999998</v>
      </c>
      <c r="H1600" s="47" t="s">
        <v>24</v>
      </c>
      <c r="I1600" s="47" t="s">
        <v>58</v>
      </c>
      <c r="J1600" s="32"/>
    </row>
    <row r="1601" spans="1:10" x14ac:dyDescent="0.2">
      <c r="A1601" s="32"/>
      <c r="B1601" s="36" t="s">
        <v>2752</v>
      </c>
      <c r="C1601" s="37" t="s">
        <v>2748</v>
      </c>
      <c r="D1601" s="38" t="s">
        <v>2753</v>
      </c>
      <c r="E1601" s="39">
        <v>1</v>
      </c>
      <c r="F1601" s="40">
        <v>54.9</v>
      </c>
      <c r="G1601" s="40">
        <f t="shared" si="24"/>
        <v>54.9</v>
      </c>
      <c r="H1601" s="41" t="s">
        <v>24</v>
      </c>
      <c r="I1601" s="41" t="s">
        <v>58</v>
      </c>
      <c r="J1601" s="32"/>
    </row>
    <row r="1602" spans="1:10" x14ac:dyDescent="0.2">
      <c r="A1602" s="32"/>
      <c r="B1602" s="42" t="s">
        <v>2754</v>
      </c>
      <c r="C1602" s="43" t="s">
        <v>2748</v>
      </c>
      <c r="D1602" s="44" t="s">
        <v>43</v>
      </c>
      <c r="E1602" s="45">
        <v>1</v>
      </c>
      <c r="F1602" s="46">
        <v>2.4900000000000002</v>
      </c>
      <c r="G1602" s="46">
        <f t="shared" si="24"/>
        <v>2.4900000000000002</v>
      </c>
      <c r="H1602" s="47" t="s">
        <v>24</v>
      </c>
      <c r="I1602" s="47" t="s">
        <v>58</v>
      </c>
      <c r="J1602" s="32"/>
    </row>
    <row r="1603" spans="1:10" x14ac:dyDescent="0.2">
      <c r="A1603" s="32"/>
      <c r="B1603" s="36" t="s">
        <v>2755</v>
      </c>
      <c r="C1603" s="37" t="s">
        <v>2748</v>
      </c>
      <c r="D1603" s="38" t="s">
        <v>2582</v>
      </c>
      <c r="E1603" s="39">
        <v>1</v>
      </c>
      <c r="F1603" s="40">
        <v>5.99</v>
      </c>
      <c r="G1603" s="40">
        <f t="shared" si="24"/>
        <v>5.99</v>
      </c>
      <c r="H1603" s="41" t="s">
        <v>24</v>
      </c>
      <c r="I1603" s="41" t="s">
        <v>58</v>
      </c>
      <c r="J1603" s="32"/>
    </row>
    <row r="1604" spans="1:10" x14ac:dyDescent="0.2">
      <c r="A1604" s="32"/>
      <c r="B1604" s="42" t="s">
        <v>2756</v>
      </c>
      <c r="C1604" s="43" t="s">
        <v>2748</v>
      </c>
      <c r="D1604" s="44" t="s">
        <v>38</v>
      </c>
      <c r="E1604" s="45">
        <v>1</v>
      </c>
      <c r="F1604" s="46">
        <v>6.99</v>
      </c>
      <c r="G1604" s="46">
        <f t="shared" si="24"/>
        <v>6.99</v>
      </c>
      <c r="H1604" s="47" t="s">
        <v>24</v>
      </c>
      <c r="I1604" s="47" t="s">
        <v>58</v>
      </c>
      <c r="J1604" s="32"/>
    </row>
    <row r="1605" spans="1:10" x14ac:dyDescent="0.2">
      <c r="A1605" s="32"/>
      <c r="B1605" s="36" t="s">
        <v>2757</v>
      </c>
      <c r="C1605" s="37" t="s">
        <v>2748</v>
      </c>
      <c r="D1605" s="38" t="s">
        <v>81</v>
      </c>
      <c r="E1605" s="39">
        <v>1</v>
      </c>
      <c r="F1605" s="40">
        <v>4.99</v>
      </c>
      <c r="G1605" s="40">
        <f t="shared" ref="G1605:G1668" si="25">E1605*F1605</f>
        <v>4.99</v>
      </c>
      <c r="H1605" s="41" t="s">
        <v>24</v>
      </c>
      <c r="I1605" s="41" t="s">
        <v>58</v>
      </c>
      <c r="J1605" s="32"/>
    </row>
    <row r="1606" spans="1:10" x14ac:dyDescent="0.2">
      <c r="A1606" s="32"/>
      <c r="B1606" s="42" t="s">
        <v>2758</v>
      </c>
      <c r="C1606" s="43" t="s">
        <v>2748</v>
      </c>
      <c r="D1606" s="44" t="s">
        <v>2759</v>
      </c>
      <c r="E1606" s="45">
        <v>1</v>
      </c>
      <c r="F1606" s="46">
        <v>3.99</v>
      </c>
      <c r="G1606" s="46">
        <f t="shared" si="25"/>
        <v>3.99</v>
      </c>
      <c r="H1606" s="47" t="s">
        <v>24</v>
      </c>
      <c r="I1606" s="47" t="s">
        <v>58</v>
      </c>
      <c r="J1606" s="32"/>
    </row>
    <row r="1607" spans="1:10" x14ac:dyDescent="0.2">
      <c r="A1607" s="32"/>
      <c r="B1607" s="36" t="s">
        <v>2760</v>
      </c>
      <c r="C1607" s="37" t="s">
        <v>2748</v>
      </c>
      <c r="D1607" s="38" t="s">
        <v>1862</v>
      </c>
      <c r="E1607" s="39">
        <v>1</v>
      </c>
      <c r="F1607" s="40">
        <v>10.99</v>
      </c>
      <c r="G1607" s="40">
        <f t="shared" si="25"/>
        <v>10.99</v>
      </c>
      <c r="H1607" s="41" t="s">
        <v>24</v>
      </c>
      <c r="I1607" s="41" t="s">
        <v>58</v>
      </c>
      <c r="J1607" s="32"/>
    </row>
    <row r="1608" spans="1:10" x14ac:dyDescent="0.2">
      <c r="A1608" s="32"/>
      <c r="B1608" s="42" t="s">
        <v>2761</v>
      </c>
      <c r="C1608" s="43" t="s">
        <v>2748</v>
      </c>
      <c r="D1608" s="44" t="s">
        <v>76</v>
      </c>
      <c r="E1608" s="45">
        <v>1</v>
      </c>
      <c r="F1608" s="46">
        <v>6.99</v>
      </c>
      <c r="G1608" s="46">
        <f t="shared" si="25"/>
        <v>6.99</v>
      </c>
      <c r="H1608" s="47" t="s">
        <v>24</v>
      </c>
      <c r="I1608" s="47" t="s">
        <v>58</v>
      </c>
      <c r="J1608" s="32"/>
    </row>
    <row r="1609" spans="1:10" x14ac:dyDescent="0.2">
      <c r="A1609" s="32"/>
      <c r="B1609" s="36" t="s">
        <v>2762</v>
      </c>
      <c r="C1609" s="37" t="s">
        <v>2748</v>
      </c>
      <c r="D1609" s="38" t="s">
        <v>1862</v>
      </c>
      <c r="E1609" s="39">
        <v>1</v>
      </c>
      <c r="F1609" s="40">
        <v>10.99</v>
      </c>
      <c r="G1609" s="40">
        <f t="shared" si="25"/>
        <v>10.99</v>
      </c>
      <c r="H1609" s="41" t="s">
        <v>24</v>
      </c>
      <c r="I1609" s="41" t="s">
        <v>58</v>
      </c>
      <c r="J1609" s="32"/>
    </row>
    <row r="1610" spans="1:10" x14ac:dyDescent="0.2">
      <c r="A1610" s="32"/>
      <c r="B1610" s="42" t="s">
        <v>2763</v>
      </c>
      <c r="C1610" s="43" t="s">
        <v>2748</v>
      </c>
      <c r="D1610" s="44" t="s">
        <v>1862</v>
      </c>
      <c r="E1610" s="45">
        <v>1</v>
      </c>
      <c r="F1610" s="46">
        <v>10.99</v>
      </c>
      <c r="G1610" s="46">
        <f t="shared" si="25"/>
        <v>10.99</v>
      </c>
      <c r="H1610" s="47" t="s">
        <v>24</v>
      </c>
      <c r="I1610" s="47" t="s">
        <v>58</v>
      </c>
      <c r="J1610" s="32"/>
    </row>
    <row r="1611" spans="1:10" x14ac:dyDescent="0.2">
      <c r="A1611" s="32"/>
      <c r="B1611" s="36" t="s">
        <v>2764</v>
      </c>
      <c r="C1611" s="37" t="s">
        <v>2748</v>
      </c>
      <c r="D1611" s="38" t="s">
        <v>1862</v>
      </c>
      <c r="E1611" s="39">
        <v>1</v>
      </c>
      <c r="F1611" s="40">
        <v>10.99</v>
      </c>
      <c r="G1611" s="40">
        <f t="shared" si="25"/>
        <v>10.99</v>
      </c>
      <c r="H1611" s="41" t="s">
        <v>24</v>
      </c>
      <c r="I1611" s="41" t="s">
        <v>58</v>
      </c>
      <c r="J1611" s="32"/>
    </row>
    <row r="1612" spans="1:10" x14ac:dyDescent="0.2">
      <c r="A1612" s="32"/>
      <c r="B1612" s="42" t="s">
        <v>2765</v>
      </c>
      <c r="C1612" s="43" t="s">
        <v>2748</v>
      </c>
      <c r="D1612" s="44" t="s">
        <v>1862</v>
      </c>
      <c r="E1612" s="45">
        <v>1</v>
      </c>
      <c r="F1612" s="46">
        <v>10.99</v>
      </c>
      <c r="G1612" s="46">
        <f t="shared" si="25"/>
        <v>10.99</v>
      </c>
      <c r="H1612" s="47" t="s">
        <v>24</v>
      </c>
      <c r="I1612" s="47" t="s">
        <v>58</v>
      </c>
      <c r="J1612" s="32"/>
    </row>
    <row r="1613" spans="1:10" x14ac:dyDescent="0.2">
      <c r="A1613" s="32"/>
      <c r="B1613" s="36" t="s">
        <v>2766</v>
      </c>
      <c r="C1613" s="37" t="s">
        <v>2748</v>
      </c>
      <c r="D1613" s="38" t="s">
        <v>2767</v>
      </c>
      <c r="E1613" s="39">
        <v>1</v>
      </c>
      <c r="F1613" s="40">
        <v>12.99</v>
      </c>
      <c r="G1613" s="40">
        <f t="shared" si="25"/>
        <v>12.99</v>
      </c>
      <c r="H1613" s="41" t="s">
        <v>24</v>
      </c>
      <c r="I1613" s="41" t="s">
        <v>58</v>
      </c>
      <c r="J1613" s="32"/>
    </row>
    <row r="1614" spans="1:10" x14ac:dyDescent="0.2">
      <c r="A1614" s="32"/>
      <c r="B1614" s="42" t="s">
        <v>2768</v>
      </c>
      <c r="C1614" s="43" t="s">
        <v>2748</v>
      </c>
      <c r="D1614" s="44" t="s">
        <v>2769</v>
      </c>
      <c r="E1614" s="45">
        <v>1</v>
      </c>
      <c r="F1614" s="46">
        <v>10.99</v>
      </c>
      <c r="G1614" s="46">
        <f t="shared" si="25"/>
        <v>10.99</v>
      </c>
      <c r="H1614" s="47" t="s">
        <v>24</v>
      </c>
      <c r="I1614" s="47" t="s">
        <v>58</v>
      </c>
      <c r="J1614" s="32"/>
    </row>
    <row r="1615" spans="1:10" x14ac:dyDescent="0.2">
      <c r="A1615" s="32"/>
      <c r="B1615" s="36" t="s">
        <v>2770</v>
      </c>
      <c r="C1615" s="37" t="s">
        <v>2748</v>
      </c>
      <c r="D1615" s="38" t="s">
        <v>2771</v>
      </c>
      <c r="E1615" s="39">
        <v>1</v>
      </c>
      <c r="F1615" s="40">
        <v>17.989999999999998</v>
      </c>
      <c r="G1615" s="40">
        <f t="shared" si="25"/>
        <v>17.989999999999998</v>
      </c>
      <c r="H1615" s="41" t="s">
        <v>24</v>
      </c>
      <c r="I1615" s="41" t="s">
        <v>58</v>
      </c>
      <c r="J1615" s="32"/>
    </row>
    <row r="1616" spans="1:10" x14ac:dyDescent="0.2">
      <c r="A1616" s="32"/>
      <c r="B1616" s="42" t="s">
        <v>2772</v>
      </c>
      <c r="C1616" s="43" t="s">
        <v>2748</v>
      </c>
      <c r="D1616" s="44" t="s">
        <v>2773</v>
      </c>
      <c r="E1616" s="45">
        <v>1</v>
      </c>
      <c r="F1616" s="46">
        <v>4.6900000000000004</v>
      </c>
      <c r="G1616" s="46">
        <f t="shared" si="25"/>
        <v>4.6900000000000004</v>
      </c>
      <c r="H1616" s="47" t="s">
        <v>24</v>
      </c>
      <c r="I1616" s="47" t="s">
        <v>58</v>
      </c>
      <c r="J1616" s="32"/>
    </row>
    <row r="1617" spans="1:10" x14ac:dyDescent="0.2">
      <c r="A1617" s="32"/>
      <c r="B1617" s="36" t="s">
        <v>2774</v>
      </c>
      <c r="C1617" s="37" t="s">
        <v>2748</v>
      </c>
      <c r="D1617" s="38" t="s">
        <v>2775</v>
      </c>
      <c r="E1617" s="39">
        <v>1</v>
      </c>
      <c r="F1617" s="40">
        <v>26.79</v>
      </c>
      <c r="G1617" s="40">
        <f t="shared" si="25"/>
        <v>26.79</v>
      </c>
      <c r="H1617" s="41" t="s">
        <v>24</v>
      </c>
      <c r="I1617" s="41" t="s">
        <v>58</v>
      </c>
      <c r="J1617" s="32"/>
    </row>
    <row r="1618" spans="1:10" x14ac:dyDescent="0.2">
      <c r="A1618" s="32"/>
      <c r="B1618" s="42" t="s">
        <v>2776</v>
      </c>
      <c r="C1618" s="43" t="s">
        <v>2748</v>
      </c>
      <c r="D1618" s="44" t="s">
        <v>2777</v>
      </c>
      <c r="E1618" s="45">
        <v>1</v>
      </c>
      <c r="F1618" s="46">
        <v>38.99</v>
      </c>
      <c r="G1618" s="46">
        <f t="shared" si="25"/>
        <v>38.99</v>
      </c>
      <c r="H1618" s="47" t="s">
        <v>24</v>
      </c>
      <c r="I1618" s="47" t="s">
        <v>58</v>
      </c>
      <c r="J1618" s="32"/>
    </row>
    <row r="1619" spans="1:10" x14ac:dyDescent="0.2">
      <c r="A1619" s="32"/>
      <c r="B1619" s="36" t="s">
        <v>2778</v>
      </c>
      <c r="C1619" s="37" t="s">
        <v>2748</v>
      </c>
      <c r="D1619" s="38" t="s">
        <v>1912</v>
      </c>
      <c r="E1619" s="39">
        <v>1</v>
      </c>
      <c r="F1619" s="40">
        <v>3.19</v>
      </c>
      <c r="G1619" s="40">
        <f t="shared" si="25"/>
        <v>3.19</v>
      </c>
      <c r="H1619" s="41" t="s">
        <v>24</v>
      </c>
      <c r="I1619" s="41" t="s">
        <v>58</v>
      </c>
      <c r="J1619" s="32"/>
    </row>
    <row r="1620" spans="1:10" x14ac:dyDescent="0.2">
      <c r="A1620" s="32"/>
      <c r="B1620" s="42" t="s">
        <v>2779</v>
      </c>
      <c r="C1620" s="43" t="s">
        <v>2748</v>
      </c>
      <c r="D1620" s="44" t="s">
        <v>1912</v>
      </c>
      <c r="E1620" s="45">
        <v>1</v>
      </c>
      <c r="F1620" s="46">
        <v>3.19</v>
      </c>
      <c r="G1620" s="46">
        <f t="shared" si="25"/>
        <v>3.19</v>
      </c>
      <c r="H1620" s="47" t="s">
        <v>24</v>
      </c>
      <c r="I1620" s="47" t="s">
        <v>58</v>
      </c>
      <c r="J1620" s="32"/>
    </row>
    <row r="1621" spans="1:10" x14ac:dyDescent="0.2">
      <c r="A1621" s="32"/>
      <c r="B1621" s="36" t="s">
        <v>2780</v>
      </c>
      <c r="C1621" s="37" t="s">
        <v>2748</v>
      </c>
      <c r="D1621" s="38" t="s">
        <v>2620</v>
      </c>
      <c r="E1621" s="39">
        <v>1</v>
      </c>
      <c r="F1621" s="40">
        <v>21.59</v>
      </c>
      <c r="G1621" s="40">
        <f t="shared" si="25"/>
        <v>21.59</v>
      </c>
      <c r="H1621" s="41" t="s">
        <v>24</v>
      </c>
      <c r="I1621" s="41" t="s">
        <v>58</v>
      </c>
      <c r="J1621" s="32"/>
    </row>
    <row r="1622" spans="1:10" x14ac:dyDescent="0.2">
      <c r="A1622" s="32"/>
      <c r="B1622" s="42" t="s">
        <v>2781</v>
      </c>
      <c r="C1622" s="43" t="s">
        <v>2748</v>
      </c>
      <c r="D1622" s="44" t="s">
        <v>1387</v>
      </c>
      <c r="E1622" s="45">
        <v>1</v>
      </c>
      <c r="F1622" s="46">
        <v>33.99</v>
      </c>
      <c r="G1622" s="46">
        <f t="shared" si="25"/>
        <v>33.99</v>
      </c>
      <c r="H1622" s="47" t="s">
        <v>24</v>
      </c>
      <c r="I1622" s="47" t="s">
        <v>58</v>
      </c>
      <c r="J1622" s="32"/>
    </row>
    <row r="1623" spans="1:10" x14ac:dyDescent="0.2">
      <c r="A1623" s="32"/>
      <c r="B1623" s="36" t="s">
        <v>2782</v>
      </c>
      <c r="C1623" s="37" t="s">
        <v>2748</v>
      </c>
      <c r="D1623" s="38" t="s">
        <v>1744</v>
      </c>
      <c r="E1623" s="39">
        <v>1</v>
      </c>
      <c r="F1623" s="40">
        <v>5.29</v>
      </c>
      <c r="G1623" s="40">
        <f t="shared" si="25"/>
        <v>5.29</v>
      </c>
      <c r="H1623" s="41" t="s">
        <v>28</v>
      </c>
      <c r="I1623" s="41" t="s">
        <v>58</v>
      </c>
      <c r="J1623" s="32"/>
    </row>
    <row r="1624" spans="1:10" x14ac:dyDescent="0.2">
      <c r="A1624" s="32"/>
      <c r="B1624" s="42" t="s">
        <v>2783</v>
      </c>
      <c r="C1624" s="43" t="s">
        <v>2748</v>
      </c>
      <c r="D1624" s="44" t="s">
        <v>2784</v>
      </c>
      <c r="E1624" s="45">
        <v>1</v>
      </c>
      <c r="F1624" s="46">
        <v>16.79</v>
      </c>
      <c r="G1624" s="46">
        <f t="shared" si="25"/>
        <v>16.79</v>
      </c>
      <c r="H1624" s="47" t="s">
        <v>24</v>
      </c>
      <c r="I1624" s="47" t="s">
        <v>58</v>
      </c>
      <c r="J1624" s="32"/>
    </row>
    <row r="1625" spans="1:10" x14ac:dyDescent="0.2">
      <c r="A1625" s="32"/>
      <c r="B1625" s="36" t="s">
        <v>2785</v>
      </c>
      <c r="C1625" s="37" t="s">
        <v>2748</v>
      </c>
      <c r="D1625" s="38" t="s">
        <v>2786</v>
      </c>
      <c r="E1625" s="39">
        <v>1</v>
      </c>
      <c r="F1625" s="40">
        <v>8.99</v>
      </c>
      <c r="G1625" s="40">
        <f t="shared" si="25"/>
        <v>8.99</v>
      </c>
      <c r="H1625" s="41" t="s">
        <v>24</v>
      </c>
      <c r="I1625" s="41" t="s">
        <v>58</v>
      </c>
      <c r="J1625" s="32"/>
    </row>
    <row r="1626" spans="1:10" x14ac:dyDescent="0.2">
      <c r="A1626" s="32"/>
      <c r="B1626" s="42" t="s">
        <v>2787</v>
      </c>
      <c r="C1626" s="43" t="s">
        <v>2748</v>
      </c>
      <c r="D1626" s="44" t="s">
        <v>2788</v>
      </c>
      <c r="E1626" s="45">
        <v>1</v>
      </c>
      <c r="F1626" s="46">
        <v>12.69</v>
      </c>
      <c r="G1626" s="46">
        <f t="shared" si="25"/>
        <v>12.69</v>
      </c>
      <c r="H1626" s="47" t="s">
        <v>24</v>
      </c>
      <c r="I1626" s="47" t="s">
        <v>58</v>
      </c>
      <c r="J1626" s="32"/>
    </row>
    <row r="1627" spans="1:10" x14ac:dyDescent="0.2">
      <c r="A1627" s="32"/>
      <c r="B1627" s="36" t="s">
        <v>2789</v>
      </c>
      <c r="C1627" s="37" t="s">
        <v>2748</v>
      </c>
      <c r="D1627" s="38" t="s">
        <v>1912</v>
      </c>
      <c r="E1627" s="39">
        <v>1</v>
      </c>
      <c r="F1627" s="40">
        <v>3.19</v>
      </c>
      <c r="G1627" s="40">
        <f t="shared" si="25"/>
        <v>3.19</v>
      </c>
      <c r="H1627" s="41" t="s">
        <v>24</v>
      </c>
      <c r="I1627" s="41" t="s">
        <v>58</v>
      </c>
      <c r="J1627" s="32"/>
    </row>
    <row r="1628" spans="1:10" x14ac:dyDescent="0.2">
      <c r="A1628" s="32"/>
      <c r="B1628" s="42" t="s">
        <v>2790</v>
      </c>
      <c r="C1628" s="43" t="s">
        <v>2748</v>
      </c>
      <c r="D1628" s="44" t="s">
        <v>1368</v>
      </c>
      <c r="E1628" s="45">
        <v>1</v>
      </c>
      <c r="F1628" s="46">
        <v>1.43</v>
      </c>
      <c r="G1628" s="46">
        <f t="shared" si="25"/>
        <v>1.43</v>
      </c>
      <c r="H1628" s="47" t="s">
        <v>24</v>
      </c>
      <c r="I1628" s="47" t="s">
        <v>58</v>
      </c>
      <c r="J1628" s="32"/>
    </row>
    <row r="1629" spans="1:10" x14ac:dyDescent="0.2">
      <c r="A1629" s="32"/>
      <c r="B1629" s="36" t="s">
        <v>2791</v>
      </c>
      <c r="C1629" s="37" t="s">
        <v>2748</v>
      </c>
      <c r="D1629" s="38" t="s">
        <v>1368</v>
      </c>
      <c r="E1629" s="39">
        <v>1</v>
      </c>
      <c r="F1629" s="40">
        <v>1.43</v>
      </c>
      <c r="G1629" s="40">
        <f t="shared" si="25"/>
        <v>1.43</v>
      </c>
      <c r="H1629" s="41" t="s">
        <v>24</v>
      </c>
      <c r="I1629" s="41" t="s">
        <v>58</v>
      </c>
      <c r="J1629" s="32"/>
    </row>
    <row r="1630" spans="1:10" x14ac:dyDescent="0.2">
      <c r="A1630" s="32"/>
      <c r="B1630" s="42" t="s">
        <v>2792</v>
      </c>
      <c r="C1630" s="43" t="s">
        <v>2748</v>
      </c>
      <c r="D1630" s="44" t="s">
        <v>2793</v>
      </c>
      <c r="E1630" s="45">
        <v>1</v>
      </c>
      <c r="F1630" s="46">
        <v>7.99</v>
      </c>
      <c r="G1630" s="46">
        <f t="shared" si="25"/>
        <v>7.99</v>
      </c>
      <c r="H1630" s="47" t="s">
        <v>24</v>
      </c>
      <c r="I1630" s="47" t="s">
        <v>58</v>
      </c>
      <c r="J1630" s="32"/>
    </row>
    <row r="1631" spans="1:10" x14ac:dyDescent="0.2">
      <c r="A1631" s="32"/>
      <c r="B1631" s="36" t="s">
        <v>2794</v>
      </c>
      <c r="C1631" s="37" t="s">
        <v>2748</v>
      </c>
      <c r="D1631" s="38" t="s">
        <v>2795</v>
      </c>
      <c r="E1631" s="39">
        <v>1</v>
      </c>
      <c r="F1631" s="40">
        <v>6.79</v>
      </c>
      <c r="G1631" s="40">
        <f t="shared" si="25"/>
        <v>6.79</v>
      </c>
      <c r="H1631" s="41" t="s">
        <v>24</v>
      </c>
      <c r="I1631" s="41" t="s">
        <v>58</v>
      </c>
      <c r="J1631" s="32"/>
    </row>
    <row r="1632" spans="1:10" x14ac:dyDescent="0.2">
      <c r="A1632" s="32"/>
      <c r="B1632" s="42" t="s">
        <v>2796</v>
      </c>
      <c r="C1632" s="43" t="s">
        <v>2748</v>
      </c>
      <c r="D1632" s="44" t="s">
        <v>2797</v>
      </c>
      <c r="E1632" s="45">
        <v>1</v>
      </c>
      <c r="F1632" s="46">
        <v>15.99</v>
      </c>
      <c r="G1632" s="46">
        <f t="shared" si="25"/>
        <v>15.99</v>
      </c>
      <c r="H1632" s="47" t="s">
        <v>24</v>
      </c>
      <c r="I1632" s="47" t="s">
        <v>58</v>
      </c>
      <c r="J1632" s="32"/>
    </row>
    <row r="1633" spans="1:10" x14ac:dyDescent="0.2">
      <c r="A1633" s="32"/>
      <c r="B1633" s="36" t="s">
        <v>2798</v>
      </c>
      <c r="C1633" s="37" t="s">
        <v>2748</v>
      </c>
      <c r="D1633" s="38" t="s">
        <v>2799</v>
      </c>
      <c r="E1633" s="39">
        <v>1</v>
      </c>
      <c r="F1633" s="40">
        <v>31.99</v>
      </c>
      <c r="G1633" s="40">
        <f t="shared" si="25"/>
        <v>31.99</v>
      </c>
      <c r="H1633" s="41" t="s">
        <v>24</v>
      </c>
      <c r="I1633" s="41" t="s">
        <v>58</v>
      </c>
      <c r="J1633" s="32"/>
    </row>
    <row r="1634" spans="1:10" x14ac:dyDescent="0.2">
      <c r="A1634" s="32"/>
      <c r="B1634" s="42" t="s">
        <v>2800</v>
      </c>
      <c r="C1634" s="43" t="s">
        <v>2748</v>
      </c>
      <c r="D1634" s="44" t="s">
        <v>2801</v>
      </c>
      <c r="E1634" s="45">
        <v>1</v>
      </c>
      <c r="F1634" s="46">
        <v>6.29</v>
      </c>
      <c r="G1634" s="46">
        <f t="shared" si="25"/>
        <v>6.29</v>
      </c>
      <c r="H1634" s="47" t="s">
        <v>24</v>
      </c>
      <c r="I1634" s="47" t="s">
        <v>58</v>
      </c>
      <c r="J1634" s="32"/>
    </row>
    <row r="1635" spans="1:10" x14ac:dyDescent="0.2">
      <c r="A1635" s="32"/>
      <c r="B1635" s="36" t="s">
        <v>2802</v>
      </c>
      <c r="C1635" s="37" t="s">
        <v>2748</v>
      </c>
      <c r="D1635" s="38" t="s">
        <v>2803</v>
      </c>
      <c r="E1635" s="39">
        <v>1</v>
      </c>
      <c r="F1635" s="40">
        <v>6.29</v>
      </c>
      <c r="G1635" s="40">
        <f t="shared" si="25"/>
        <v>6.29</v>
      </c>
      <c r="H1635" s="41" t="s">
        <v>24</v>
      </c>
      <c r="I1635" s="41" t="s">
        <v>58</v>
      </c>
      <c r="J1635" s="32"/>
    </row>
    <row r="1636" spans="1:10" x14ac:dyDescent="0.2">
      <c r="A1636" s="32"/>
      <c r="B1636" s="42" t="s">
        <v>2804</v>
      </c>
      <c r="C1636" s="43" t="s">
        <v>2748</v>
      </c>
      <c r="D1636" s="44" t="s">
        <v>2493</v>
      </c>
      <c r="E1636" s="45">
        <v>1</v>
      </c>
      <c r="F1636" s="46">
        <v>50.99</v>
      </c>
      <c r="G1636" s="46">
        <f t="shared" si="25"/>
        <v>50.99</v>
      </c>
      <c r="H1636" s="47" t="s">
        <v>24</v>
      </c>
      <c r="I1636" s="47" t="s">
        <v>58</v>
      </c>
      <c r="J1636" s="32"/>
    </row>
    <row r="1637" spans="1:10" x14ac:dyDescent="0.2">
      <c r="A1637" s="32"/>
      <c r="B1637" s="36" t="s">
        <v>2805</v>
      </c>
      <c r="C1637" s="37" t="s">
        <v>2748</v>
      </c>
      <c r="D1637" s="38" t="s">
        <v>1831</v>
      </c>
      <c r="E1637" s="39">
        <v>1</v>
      </c>
      <c r="F1637" s="40">
        <v>9.2899999999999991</v>
      </c>
      <c r="G1637" s="40">
        <f t="shared" si="25"/>
        <v>9.2899999999999991</v>
      </c>
      <c r="H1637" s="41" t="s">
        <v>24</v>
      </c>
      <c r="I1637" s="41" t="s">
        <v>58</v>
      </c>
      <c r="J1637" s="32"/>
    </row>
    <row r="1638" spans="1:10" x14ac:dyDescent="0.2">
      <c r="A1638" s="32"/>
      <c r="B1638" s="42" t="s">
        <v>2806</v>
      </c>
      <c r="C1638" s="43" t="s">
        <v>2748</v>
      </c>
      <c r="D1638" s="44" t="s">
        <v>1831</v>
      </c>
      <c r="E1638" s="45">
        <v>1</v>
      </c>
      <c r="F1638" s="46">
        <v>9.2899999999999991</v>
      </c>
      <c r="G1638" s="46">
        <f t="shared" si="25"/>
        <v>9.2899999999999991</v>
      </c>
      <c r="H1638" s="47" t="s">
        <v>24</v>
      </c>
      <c r="I1638" s="47" t="s">
        <v>58</v>
      </c>
      <c r="J1638" s="32"/>
    </row>
    <row r="1639" spans="1:10" x14ac:dyDescent="0.2">
      <c r="A1639" s="32"/>
      <c r="B1639" s="36" t="s">
        <v>2807</v>
      </c>
      <c r="C1639" s="37" t="s">
        <v>2748</v>
      </c>
      <c r="D1639" s="38" t="s">
        <v>2659</v>
      </c>
      <c r="E1639" s="39">
        <v>1</v>
      </c>
      <c r="F1639" s="40">
        <v>7.99</v>
      </c>
      <c r="G1639" s="40">
        <f t="shared" si="25"/>
        <v>7.99</v>
      </c>
      <c r="H1639" s="41" t="s">
        <v>24</v>
      </c>
      <c r="I1639" s="41" t="s">
        <v>58</v>
      </c>
      <c r="J1639" s="32"/>
    </row>
    <row r="1640" spans="1:10" x14ac:dyDescent="0.2">
      <c r="A1640" s="32"/>
      <c r="B1640" s="42" t="s">
        <v>2808</v>
      </c>
      <c r="C1640" s="43" t="s">
        <v>2748</v>
      </c>
      <c r="D1640" s="44" t="s">
        <v>43</v>
      </c>
      <c r="E1640" s="45">
        <v>1</v>
      </c>
      <c r="F1640" s="46">
        <v>2.4900000000000002</v>
      </c>
      <c r="G1640" s="46">
        <f t="shared" si="25"/>
        <v>2.4900000000000002</v>
      </c>
      <c r="H1640" s="47" t="s">
        <v>24</v>
      </c>
      <c r="I1640" s="47" t="s">
        <v>58</v>
      </c>
      <c r="J1640" s="32"/>
    </row>
    <row r="1641" spans="1:10" x14ac:dyDescent="0.2">
      <c r="A1641" s="32"/>
      <c r="B1641" s="36" t="s">
        <v>2809</v>
      </c>
      <c r="C1641" s="37" t="s">
        <v>2748</v>
      </c>
      <c r="D1641" s="38" t="s">
        <v>2493</v>
      </c>
      <c r="E1641" s="39">
        <v>1</v>
      </c>
      <c r="F1641" s="40">
        <v>50.99</v>
      </c>
      <c r="G1641" s="40">
        <f t="shared" si="25"/>
        <v>50.99</v>
      </c>
      <c r="H1641" s="41" t="s">
        <v>24</v>
      </c>
      <c r="I1641" s="41" t="s">
        <v>58</v>
      </c>
      <c r="J1641" s="32"/>
    </row>
    <row r="1642" spans="1:10" x14ac:dyDescent="0.2">
      <c r="A1642" s="32"/>
      <c r="B1642" s="42" t="s">
        <v>2810</v>
      </c>
      <c r="C1642" s="43" t="s">
        <v>2748</v>
      </c>
      <c r="D1642" s="44" t="s">
        <v>2811</v>
      </c>
      <c r="E1642" s="45">
        <v>1</v>
      </c>
      <c r="F1642" s="46">
        <v>10.99</v>
      </c>
      <c r="G1642" s="46">
        <f t="shared" si="25"/>
        <v>10.99</v>
      </c>
      <c r="H1642" s="47" t="s">
        <v>24</v>
      </c>
      <c r="I1642" s="47" t="s">
        <v>58</v>
      </c>
      <c r="J1642" s="32"/>
    </row>
    <row r="1643" spans="1:10" x14ac:dyDescent="0.2">
      <c r="A1643" s="32"/>
      <c r="B1643" s="36" t="s">
        <v>2812</v>
      </c>
      <c r="C1643" s="37" t="s">
        <v>2748</v>
      </c>
      <c r="D1643" s="38" t="s">
        <v>1370</v>
      </c>
      <c r="E1643" s="39">
        <v>1</v>
      </c>
      <c r="F1643" s="40">
        <v>2.19</v>
      </c>
      <c r="G1643" s="40">
        <f t="shared" si="25"/>
        <v>2.19</v>
      </c>
      <c r="H1643" s="41" t="s">
        <v>24</v>
      </c>
      <c r="I1643" s="41" t="s">
        <v>58</v>
      </c>
      <c r="J1643" s="32"/>
    </row>
    <row r="1644" spans="1:10" x14ac:dyDescent="0.2">
      <c r="A1644" s="32"/>
      <c r="B1644" s="42" t="s">
        <v>2813</v>
      </c>
      <c r="C1644" s="43" t="s">
        <v>2748</v>
      </c>
      <c r="D1644" s="44" t="s">
        <v>2814</v>
      </c>
      <c r="E1644" s="45">
        <v>1</v>
      </c>
      <c r="F1644" s="46">
        <v>29.99</v>
      </c>
      <c r="G1644" s="46">
        <f t="shared" si="25"/>
        <v>29.99</v>
      </c>
      <c r="H1644" s="47" t="s">
        <v>24</v>
      </c>
      <c r="I1644" s="47" t="s">
        <v>58</v>
      </c>
      <c r="J1644" s="32"/>
    </row>
    <row r="1645" spans="1:10" x14ac:dyDescent="0.2">
      <c r="A1645" s="32"/>
      <c r="B1645" s="36" t="s">
        <v>2815</v>
      </c>
      <c r="C1645" s="37" t="s">
        <v>2748</v>
      </c>
      <c r="D1645" s="38" t="s">
        <v>2816</v>
      </c>
      <c r="E1645" s="39">
        <v>1</v>
      </c>
      <c r="F1645" s="40">
        <v>3.19</v>
      </c>
      <c r="G1645" s="40">
        <f t="shared" si="25"/>
        <v>3.19</v>
      </c>
      <c r="H1645" s="41" t="s">
        <v>24</v>
      </c>
      <c r="I1645" s="41" t="s">
        <v>58</v>
      </c>
      <c r="J1645" s="32"/>
    </row>
    <row r="1646" spans="1:10" x14ac:dyDescent="0.2">
      <c r="A1646" s="32"/>
      <c r="B1646" s="42" t="s">
        <v>2817</v>
      </c>
      <c r="C1646" s="43" t="s">
        <v>2748</v>
      </c>
      <c r="D1646" s="44" t="s">
        <v>2816</v>
      </c>
      <c r="E1646" s="45">
        <v>1</v>
      </c>
      <c r="F1646" s="46">
        <v>3.19</v>
      </c>
      <c r="G1646" s="46">
        <f t="shared" si="25"/>
        <v>3.19</v>
      </c>
      <c r="H1646" s="47" t="s">
        <v>24</v>
      </c>
      <c r="I1646" s="47" t="s">
        <v>58</v>
      </c>
      <c r="J1646" s="32"/>
    </row>
    <row r="1647" spans="1:10" x14ac:dyDescent="0.2">
      <c r="A1647" s="32"/>
      <c r="B1647" s="36" t="s">
        <v>2818</v>
      </c>
      <c r="C1647" s="37" t="s">
        <v>2748</v>
      </c>
      <c r="D1647" s="38" t="s">
        <v>1871</v>
      </c>
      <c r="E1647" s="39">
        <v>1</v>
      </c>
      <c r="F1647" s="40">
        <v>6.49</v>
      </c>
      <c r="G1647" s="40">
        <f t="shared" si="25"/>
        <v>6.49</v>
      </c>
      <c r="H1647" s="41" t="s">
        <v>24</v>
      </c>
      <c r="I1647" s="41" t="s">
        <v>58</v>
      </c>
      <c r="J1647" s="32"/>
    </row>
    <row r="1648" spans="1:10" x14ac:dyDescent="0.2">
      <c r="A1648" s="32"/>
      <c r="B1648" s="42" t="s">
        <v>2819</v>
      </c>
      <c r="C1648" s="43" t="s">
        <v>2748</v>
      </c>
      <c r="D1648" s="44" t="s">
        <v>1871</v>
      </c>
      <c r="E1648" s="45">
        <v>1</v>
      </c>
      <c r="F1648" s="46">
        <v>6.49</v>
      </c>
      <c r="G1648" s="46">
        <f t="shared" si="25"/>
        <v>6.49</v>
      </c>
      <c r="H1648" s="47" t="s">
        <v>24</v>
      </c>
      <c r="I1648" s="47" t="s">
        <v>58</v>
      </c>
      <c r="J1648" s="32"/>
    </row>
    <row r="1649" spans="1:10" x14ac:dyDescent="0.2">
      <c r="A1649" s="32"/>
      <c r="B1649" s="36" t="s">
        <v>2820</v>
      </c>
      <c r="C1649" s="37" t="s">
        <v>2748</v>
      </c>
      <c r="D1649" s="38" t="s">
        <v>1871</v>
      </c>
      <c r="E1649" s="39">
        <v>1</v>
      </c>
      <c r="F1649" s="40">
        <v>6.49</v>
      </c>
      <c r="G1649" s="40">
        <f t="shared" si="25"/>
        <v>6.49</v>
      </c>
      <c r="H1649" s="41" t="s">
        <v>24</v>
      </c>
      <c r="I1649" s="41" t="s">
        <v>58</v>
      </c>
      <c r="J1649" s="32"/>
    </row>
    <row r="1650" spans="1:10" x14ac:dyDescent="0.2">
      <c r="A1650" s="32"/>
      <c r="B1650" s="42" t="s">
        <v>2821</v>
      </c>
      <c r="C1650" s="43" t="s">
        <v>2748</v>
      </c>
      <c r="D1650" s="44" t="s">
        <v>2822</v>
      </c>
      <c r="E1650" s="45">
        <v>1</v>
      </c>
      <c r="F1650" s="46">
        <v>30.99</v>
      </c>
      <c r="G1650" s="46">
        <f t="shared" si="25"/>
        <v>30.99</v>
      </c>
      <c r="H1650" s="47" t="s">
        <v>24</v>
      </c>
      <c r="I1650" s="47" t="s">
        <v>58</v>
      </c>
      <c r="J1650" s="32"/>
    </row>
    <row r="1651" spans="1:10" x14ac:dyDescent="0.2">
      <c r="A1651" s="32"/>
      <c r="B1651" s="36" t="s">
        <v>2823</v>
      </c>
      <c r="C1651" s="37" t="s">
        <v>2748</v>
      </c>
      <c r="D1651" s="38" t="s">
        <v>2824</v>
      </c>
      <c r="E1651" s="39">
        <v>1</v>
      </c>
      <c r="F1651" s="40">
        <v>7.29</v>
      </c>
      <c r="G1651" s="40">
        <f t="shared" si="25"/>
        <v>7.29</v>
      </c>
      <c r="H1651" s="41" t="s">
        <v>24</v>
      </c>
      <c r="I1651" s="41" t="s">
        <v>58</v>
      </c>
      <c r="J1651" s="32"/>
    </row>
    <row r="1652" spans="1:10" x14ac:dyDescent="0.2">
      <c r="A1652" s="32"/>
      <c r="B1652" s="42" t="s">
        <v>2825</v>
      </c>
      <c r="C1652" s="43" t="s">
        <v>2748</v>
      </c>
      <c r="D1652" s="44" t="s">
        <v>1925</v>
      </c>
      <c r="E1652" s="45">
        <v>1</v>
      </c>
      <c r="F1652" s="46">
        <v>6.99</v>
      </c>
      <c r="G1652" s="46">
        <f t="shared" si="25"/>
        <v>6.99</v>
      </c>
      <c r="H1652" s="47" t="s">
        <v>24</v>
      </c>
      <c r="I1652" s="47" t="s">
        <v>58</v>
      </c>
      <c r="J1652" s="32"/>
    </row>
    <row r="1653" spans="1:10" x14ac:dyDescent="0.2">
      <c r="A1653" s="32"/>
      <c r="B1653" s="36" t="s">
        <v>2826</v>
      </c>
      <c r="C1653" s="37" t="s">
        <v>2748</v>
      </c>
      <c r="D1653" s="38" t="s">
        <v>2589</v>
      </c>
      <c r="E1653" s="39">
        <v>1</v>
      </c>
      <c r="F1653" s="40">
        <v>8.99</v>
      </c>
      <c r="G1653" s="40">
        <f t="shared" si="25"/>
        <v>8.99</v>
      </c>
      <c r="H1653" s="41" t="s">
        <v>24</v>
      </c>
      <c r="I1653" s="41" t="s">
        <v>58</v>
      </c>
      <c r="J1653" s="32"/>
    </row>
    <row r="1654" spans="1:10" x14ac:dyDescent="0.2">
      <c r="A1654" s="32"/>
      <c r="B1654" s="42" t="s">
        <v>2827</v>
      </c>
      <c r="C1654" s="43" t="s">
        <v>2748</v>
      </c>
      <c r="D1654" s="44" t="s">
        <v>2828</v>
      </c>
      <c r="E1654" s="45">
        <v>1</v>
      </c>
      <c r="F1654" s="46">
        <v>5.99</v>
      </c>
      <c r="G1654" s="46">
        <f t="shared" si="25"/>
        <v>5.99</v>
      </c>
      <c r="H1654" s="47" t="s">
        <v>24</v>
      </c>
      <c r="I1654" s="47" t="s">
        <v>58</v>
      </c>
      <c r="J1654" s="32"/>
    </row>
    <row r="1655" spans="1:10" x14ac:dyDescent="0.2">
      <c r="A1655" s="32"/>
      <c r="B1655" s="36" t="s">
        <v>2829</v>
      </c>
      <c r="C1655" s="37" t="s">
        <v>2748</v>
      </c>
      <c r="D1655" s="38" t="s">
        <v>2830</v>
      </c>
      <c r="E1655" s="39">
        <v>1</v>
      </c>
      <c r="F1655" s="40">
        <v>5.29</v>
      </c>
      <c r="G1655" s="40">
        <f t="shared" si="25"/>
        <v>5.29</v>
      </c>
      <c r="H1655" s="41" t="s">
        <v>24</v>
      </c>
      <c r="I1655" s="41" t="s">
        <v>58</v>
      </c>
      <c r="J1655" s="32"/>
    </row>
    <row r="1656" spans="1:10" x14ac:dyDescent="0.2">
      <c r="A1656" s="32"/>
      <c r="B1656" s="42" t="s">
        <v>2831</v>
      </c>
      <c r="C1656" s="43" t="s">
        <v>2748</v>
      </c>
      <c r="D1656" s="44" t="s">
        <v>2832</v>
      </c>
      <c r="E1656" s="45">
        <v>1</v>
      </c>
      <c r="F1656" s="46">
        <v>2.99</v>
      </c>
      <c r="G1656" s="46">
        <f t="shared" si="25"/>
        <v>2.99</v>
      </c>
      <c r="H1656" s="47" t="s">
        <v>24</v>
      </c>
      <c r="I1656" s="47" t="s">
        <v>58</v>
      </c>
      <c r="J1656" s="32"/>
    </row>
    <row r="1657" spans="1:10" x14ac:dyDescent="0.2">
      <c r="A1657" s="32"/>
      <c r="B1657" s="36" t="s">
        <v>2833</v>
      </c>
      <c r="C1657" s="37" t="s">
        <v>2748</v>
      </c>
      <c r="D1657" s="38" t="s">
        <v>2834</v>
      </c>
      <c r="E1657" s="39">
        <v>1</v>
      </c>
      <c r="F1657" s="40">
        <v>3.19</v>
      </c>
      <c r="G1657" s="40">
        <f t="shared" si="25"/>
        <v>3.19</v>
      </c>
      <c r="H1657" s="41" t="s">
        <v>24</v>
      </c>
      <c r="I1657" s="41" t="s">
        <v>58</v>
      </c>
      <c r="J1657" s="32"/>
    </row>
    <row r="1658" spans="1:10" x14ac:dyDescent="0.2">
      <c r="A1658" s="32"/>
      <c r="B1658" s="42" t="s">
        <v>2835</v>
      </c>
      <c r="C1658" s="43" t="s">
        <v>2748</v>
      </c>
      <c r="D1658" s="44" t="s">
        <v>2834</v>
      </c>
      <c r="E1658" s="45">
        <v>1</v>
      </c>
      <c r="F1658" s="46">
        <v>3.19</v>
      </c>
      <c r="G1658" s="46">
        <f t="shared" si="25"/>
        <v>3.19</v>
      </c>
      <c r="H1658" s="47" t="s">
        <v>24</v>
      </c>
      <c r="I1658" s="47" t="s">
        <v>58</v>
      </c>
      <c r="J1658" s="32"/>
    </row>
    <row r="1659" spans="1:10" x14ac:dyDescent="0.2">
      <c r="A1659" s="32"/>
      <c r="B1659" s="36" t="s">
        <v>2836</v>
      </c>
      <c r="C1659" s="37" t="s">
        <v>2748</v>
      </c>
      <c r="D1659" s="38" t="s">
        <v>2587</v>
      </c>
      <c r="E1659" s="39">
        <v>1</v>
      </c>
      <c r="F1659" s="40">
        <v>4.99</v>
      </c>
      <c r="G1659" s="40">
        <f t="shared" si="25"/>
        <v>4.99</v>
      </c>
      <c r="H1659" s="41" t="s">
        <v>24</v>
      </c>
      <c r="I1659" s="41" t="s">
        <v>58</v>
      </c>
      <c r="J1659" s="32"/>
    </row>
    <row r="1660" spans="1:10" x14ac:dyDescent="0.2">
      <c r="A1660" s="32"/>
      <c r="B1660" s="42" t="s">
        <v>2837</v>
      </c>
      <c r="C1660" s="43" t="s">
        <v>2748</v>
      </c>
      <c r="D1660" s="44" t="s">
        <v>2587</v>
      </c>
      <c r="E1660" s="45">
        <v>1</v>
      </c>
      <c r="F1660" s="46">
        <v>4.99</v>
      </c>
      <c r="G1660" s="46">
        <f t="shared" si="25"/>
        <v>4.99</v>
      </c>
      <c r="H1660" s="47" t="s">
        <v>24</v>
      </c>
      <c r="I1660" s="47" t="s">
        <v>58</v>
      </c>
      <c r="J1660" s="32"/>
    </row>
    <row r="1661" spans="1:10" x14ac:dyDescent="0.2">
      <c r="A1661" s="32"/>
      <c r="B1661" s="36" t="s">
        <v>2838</v>
      </c>
      <c r="C1661" s="37" t="s">
        <v>2748</v>
      </c>
      <c r="D1661" s="38" t="s">
        <v>1398</v>
      </c>
      <c r="E1661" s="39">
        <v>1</v>
      </c>
      <c r="F1661" s="40">
        <v>55.99</v>
      </c>
      <c r="G1661" s="40">
        <f t="shared" si="25"/>
        <v>55.99</v>
      </c>
      <c r="H1661" s="41" t="s">
        <v>24</v>
      </c>
      <c r="I1661" s="41" t="s">
        <v>58</v>
      </c>
      <c r="J1661" s="32"/>
    </row>
    <row r="1662" spans="1:10" x14ac:dyDescent="0.2">
      <c r="A1662" s="32"/>
      <c r="B1662" s="42" t="s">
        <v>2839</v>
      </c>
      <c r="C1662" s="43" t="s">
        <v>2748</v>
      </c>
      <c r="D1662" s="44" t="s">
        <v>2840</v>
      </c>
      <c r="E1662" s="45">
        <v>1</v>
      </c>
      <c r="F1662" s="46">
        <v>59.99</v>
      </c>
      <c r="G1662" s="46">
        <f t="shared" si="25"/>
        <v>59.99</v>
      </c>
      <c r="H1662" s="47" t="s">
        <v>24</v>
      </c>
      <c r="I1662" s="47" t="s">
        <v>58</v>
      </c>
      <c r="J1662" s="32"/>
    </row>
    <row r="1663" spans="1:10" x14ac:dyDescent="0.2">
      <c r="A1663" s="32"/>
      <c r="B1663" s="36" t="s">
        <v>2841</v>
      </c>
      <c r="C1663" s="37" t="s">
        <v>2748</v>
      </c>
      <c r="D1663" s="38" t="s">
        <v>2343</v>
      </c>
      <c r="E1663" s="39">
        <v>1</v>
      </c>
      <c r="F1663" s="40">
        <v>5.12</v>
      </c>
      <c r="G1663" s="40">
        <f t="shared" si="25"/>
        <v>5.12</v>
      </c>
      <c r="H1663" s="41" t="s">
        <v>24</v>
      </c>
      <c r="I1663" s="41" t="s">
        <v>58</v>
      </c>
      <c r="J1663" s="32"/>
    </row>
    <row r="1664" spans="1:10" x14ac:dyDescent="0.2">
      <c r="A1664" s="32"/>
      <c r="B1664" s="42" t="s">
        <v>2842</v>
      </c>
      <c r="C1664" s="43" t="s">
        <v>2843</v>
      </c>
      <c r="D1664" s="44" t="s">
        <v>2499</v>
      </c>
      <c r="E1664" s="45">
        <v>1</v>
      </c>
      <c r="F1664" s="46">
        <v>29.9</v>
      </c>
      <c r="G1664" s="46">
        <f t="shared" si="25"/>
        <v>29.9</v>
      </c>
      <c r="H1664" s="47" t="s">
        <v>24</v>
      </c>
      <c r="I1664" s="47" t="s">
        <v>58</v>
      </c>
      <c r="J1664" s="32"/>
    </row>
    <row r="1665" spans="1:10" x14ac:dyDescent="0.2">
      <c r="A1665" s="32"/>
      <c r="B1665" s="36" t="s">
        <v>2844</v>
      </c>
      <c r="C1665" s="37" t="s">
        <v>2843</v>
      </c>
      <c r="D1665" s="38" t="s">
        <v>2697</v>
      </c>
      <c r="E1665" s="39">
        <v>1</v>
      </c>
      <c r="F1665" s="40">
        <v>6.59</v>
      </c>
      <c r="G1665" s="40">
        <f t="shared" si="25"/>
        <v>6.59</v>
      </c>
      <c r="H1665" s="41" t="s">
        <v>24</v>
      </c>
      <c r="I1665" s="41" t="s">
        <v>58</v>
      </c>
      <c r="J1665" s="32"/>
    </row>
    <row r="1666" spans="1:10" x14ac:dyDescent="0.2">
      <c r="A1666" s="32"/>
      <c r="B1666" s="42" t="s">
        <v>2845</v>
      </c>
      <c r="C1666" s="43" t="s">
        <v>2843</v>
      </c>
      <c r="D1666" s="44" t="s">
        <v>2846</v>
      </c>
      <c r="E1666" s="45">
        <v>1</v>
      </c>
      <c r="F1666" s="46">
        <v>6.59</v>
      </c>
      <c r="G1666" s="46">
        <f t="shared" si="25"/>
        <v>6.59</v>
      </c>
      <c r="H1666" s="47" t="s">
        <v>24</v>
      </c>
      <c r="I1666" s="47" t="s">
        <v>58</v>
      </c>
      <c r="J1666" s="32"/>
    </row>
    <row r="1667" spans="1:10" x14ac:dyDescent="0.2">
      <c r="A1667" s="32"/>
      <c r="B1667" s="36" t="s">
        <v>2847</v>
      </c>
      <c r="C1667" s="37" t="s">
        <v>2843</v>
      </c>
      <c r="D1667" s="38" t="s">
        <v>1463</v>
      </c>
      <c r="E1667" s="39">
        <v>1</v>
      </c>
      <c r="F1667" s="40">
        <v>5.69</v>
      </c>
      <c r="G1667" s="40">
        <f t="shared" si="25"/>
        <v>5.69</v>
      </c>
      <c r="H1667" s="41" t="s">
        <v>24</v>
      </c>
      <c r="I1667" s="41" t="s">
        <v>58</v>
      </c>
      <c r="J1667" s="32"/>
    </row>
    <row r="1668" spans="1:10" x14ac:dyDescent="0.2">
      <c r="A1668" s="32"/>
      <c r="B1668" s="42" t="s">
        <v>2848</v>
      </c>
      <c r="C1668" s="43" t="s">
        <v>2843</v>
      </c>
      <c r="D1668" s="44" t="s">
        <v>2849</v>
      </c>
      <c r="E1668" s="45">
        <v>1</v>
      </c>
      <c r="F1668" s="46">
        <v>3.39</v>
      </c>
      <c r="G1668" s="46">
        <f t="shared" si="25"/>
        <v>3.39</v>
      </c>
      <c r="H1668" s="47" t="s">
        <v>24</v>
      </c>
      <c r="I1668" s="47" t="s">
        <v>58</v>
      </c>
      <c r="J1668" s="32"/>
    </row>
    <row r="1669" spans="1:10" x14ac:dyDescent="0.2">
      <c r="A1669" s="32"/>
      <c r="B1669" s="36" t="s">
        <v>2850</v>
      </c>
      <c r="C1669" s="37" t="s">
        <v>2843</v>
      </c>
      <c r="D1669" s="38" t="s">
        <v>2828</v>
      </c>
      <c r="E1669" s="39">
        <v>1</v>
      </c>
      <c r="F1669" s="40">
        <v>7.99</v>
      </c>
      <c r="G1669" s="40">
        <f t="shared" ref="G1669:G1732" si="26">E1669*F1669</f>
        <v>7.99</v>
      </c>
      <c r="H1669" s="41" t="s">
        <v>24</v>
      </c>
      <c r="I1669" s="41" t="s">
        <v>58</v>
      </c>
      <c r="J1669" s="32"/>
    </row>
    <row r="1670" spans="1:10" x14ac:dyDescent="0.2">
      <c r="A1670" s="32"/>
      <c r="B1670" s="42" t="s">
        <v>2851</v>
      </c>
      <c r="C1670" s="43" t="s">
        <v>2843</v>
      </c>
      <c r="D1670" s="44" t="s">
        <v>2852</v>
      </c>
      <c r="E1670" s="45">
        <v>1</v>
      </c>
      <c r="F1670" s="46">
        <v>14.49</v>
      </c>
      <c r="G1670" s="46">
        <f t="shared" si="26"/>
        <v>14.49</v>
      </c>
      <c r="H1670" s="47" t="s">
        <v>24</v>
      </c>
      <c r="I1670" s="47" t="s">
        <v>58</v>
      </c>
      <c r="J1670" s="32"/>
    </row>
    <row r="1671" spans="1:10" x14ac:dyDescent="0.2">
      <c r="A1671" s="32"/>
      <c r="B1671" s="36" t="s">
        <v>2853</v>
      </c>
      <c r="C1671" s="37" t="s">
        <v>2843</v>
      </c>
      <c r="D1671" s="38" t="s">
        <v>2854</v>
      </c>
      <c r="E1671" s="39">
        <v>1</v>
      </c>
      <c r="F1671" s="40">
        <v>109.99</v>
      </c>
      <c r="G1671" s="40">
        <f t="shared" si="26"/>
        <v>109.99</v>
      </c>
      <c r="H1671" s="41" t="s">
        <v>24</v>
      </c>
      <c r="I1671" s="41" t="s">
        <v>58</v>
      </c>
      <c r="J1671" s="32"/>
    </row>
    <row r="1672" spans="1:10" x14ac:dyDescent="0.2">
      <c r="A1672" s="32"/>
      <c r="B1672" s="42" t="s">
        <v>2855</v>
      </c>
      <c r="C1672" s="43" t="s">
        <v>2843</v>
      </c>
      <c r="D1672" s="44" t="s">
        <v>2856</v>
      </c>
      <c r="E1672" s="45">
        <v>1</v>
      </c>
      <c r="F1672" s="46">
        <v>10.99</v>
      </c>
      <c r="G1672" s="46">
        <f t="shared" si="26"/>
        <v>10.99</v>
      </c>
      <c r="H1672" s="47" t="s">
        <v>24</v>
      </c>
      <c r="I1672" s="47" t="s">
        <v>58</v>
      </c>
      <c r="J1672" s="32"/>
    </row>
    <row r="1673" spans="1:10" x14ac:dyDescent="0.2">
      <c r="A1673" s="32"/>
      <c r="B1673" s="36" t="s">
        <v>2857</v>
      </c>
      <c r="C1673" s="37" t="s">
        <v>2843</v>
      </c>
      <c r="D1673" s="38" t="s">
        <v>2858</v>
      </c>
      <c r="E1673" s="39">
        <v>1</v>
      </c>
      <c r="F1673" s="40">
        <v>107.99</v>
      </c>
      <c r="G1673" s="40">
        <f t="shared" si="26"/>
        <v>107.99</v>
      </c>
      <c r="H1673" s="41" t="s">
        <v>24</v>
      </c>
      <c r="I1673" s="41" t="s">
        <v>58</v>
      </c>
      <c r="J1673" s="32"/>
    </row>
    <row r="1674" spans="1:10" x14ac:dyDescent="0.2">
      <c r="A1674" s="32"/>
      <c r="B1674" s="42" t="s">
        <v>2859</v>
      </c>
      <c r="C1674" s="43" t="s">
        <v>2843</v>
      </c>
      <c r="D1674" s="44" t="s">
        <v>2493</v>
      </c>
      <c r="E1674" s="45">
        <v>1</v>
      </c>
      <c r="F1674" s="46">
        <v>50.99</v>
      </c>
      <c r="G1674" s="46">
        <f t="shared" si="26"/>
        <v>50.99</v>
      </c>
      <c r="H1674" s="47" t="s">
        <v>24</v>
      </c>
      <c r="I1674" s="47" t="s">
        <v>58</v>
      </c>
      <c r="J1674" s="32"/>
    </row>
    <row r="1675" spans="1:10" x14ac:dyDescent="0.2">
      <c r="A1675" s="32"/>
      <c r="B1675" s="36" t="s">
        <v>2860</v>
      </c>
      <c r="C1675" s="37" t="s">
        <v>2843</v>
      </c>
      <c r="D1675" s="38" t="s">
        <v>2861</v>
      </c>
      <c r="E1675" s="39">
        <v>1</v>
      </c>
      <c r="F1675" s="40">
        <v>8.99</v>
      </c>
      <c r="G1675" s="40">
        <f t="shared" si="26"/>
        <v>8.99</v>
      </c>
      <c r="H1675" s="41" t="s">
        <v>24</v>
      </c>
      <c r="I1675" s="41" t="s">
        <v>58</v>
      </c>
      <c r="J1675" s="32"/>
    </row>
    <row r="1676" spans="1:10" x14ac:dyDescent="0.2">
      <c r="A1676" s="32"/>
      <c r="B1676" s="42" t="s">
        <v>2862</v>
      </c>
      <c r="C1676" s="43" t="s">
        <v>2843</v>
      </c>
      <c r="D1676" s="44" t="s">
        <v>2863</v>
      </c>
      <c r="E1676" s="45">
        <v>1</v>
      </c>
      <c r="F1676" s="46">
        <v>15.59</v>
      </c>
      <c r="G1676" s="46">
        <f t="shared" si="26"/>
        <v>15.59</v>
      </c>
      <c r="H1676" s="47" t="s">
        <v>24</v>
      </c>
      <c r="I1676" s="47" t="s">
        <v>58</v>
      </c>
      <c r="J1676" s="32"/>
    </row>
    <row r="1677" spans="1:10" x14ac:dyDescent="0.2">
      <c r="A1677" s="32"/>
      <c r="B1677" s="36" t="s">
        <v>2864</v>
      </c>
      <c r="C1677" s="37" t="s">
        <v>2843</v>
      </c>
      <c r="D1677" s="38" t="s">
        <v>1831</v>
      </c>
      <c r="E1677" s="39">
        <v>1</v>
      </c>
      <c r="F1677" s="40">
        <v>8.99</v>
      </c>
      <c r="G1677" s="40">
        <f t="shared" si="26"/>
        <v>8.99</v>
      </c>
      <c r="H1677" s="41" t="s">
        <v>24</v>
      </c>
      <c r="I1677" s="41" t="s">
        <v>58</v>
      </c>
      <c r="J1677" s="32"/>
    </row>
    <row r="1678" spans="1:10" x14ac:dyDescent="0.2">
      <c r="A1678" s="32"/>
      <c r="B1678" s="42" t="s">
        <v>2865</v>
      </c>
      <c r="C1678" s="43" t="s">
        <v>2843</v>
      </c>
      <c r="D1678" s="44" t="s">
        <v>2866</v>
      </c>
      <c r="E1678" s="45">
        <v>1</v>
      </c>
      <c r="F1678" s="46">
        <v>24.49</v>
      </c>
      <c r="G1678" s="46">
        <f t="shared" si="26"/>
        <v>24.49</v>
      </c>
      <c r="H1678" s="47" t="s">
        <v>24</v>
      </c>
      <c r="I1678" s="47" t="s">
        <v>58</v>
      </c>
      <c r="J1678" s="32"/>
    </row>
    <row r="1679" spans="1:10" x14ac:dyDescent="0.2">
      <c r="A1679" s="32"/>
      <c r="B1679" s="36" t="s">
        <v>2867</v>
      </c>
      <c r="C1679" s="37" t="s">
        <v>2843</v>
      </c>
      <c r="D1679" s="38" t="s">
        <v>2849</v>
      </c>
      <c r="E1679" s="39">
        <v>1</v>
      </c>
      <c r="F1679" s="40">
        <v>3.39</v>
      </c>
      <c r="G1679" s="40">
        <f t="shared" si="26"/>
        <v>3.39</v>
      </c>
      <c r="H1679" s="41" t="s">
        <v>24</v>
      </c>
      <c r="I1679" s="41" t="s">
        <v>58</v>
      </c>
      <c r="J1679" s="32"/>
    </row>
    <row r="1680" spans="1:10" x14ac:dyDescent="0.2">
      <c r="A1680" s="32"/>
      <c r="B1680" s="42" t="s">
        <v>2868</v>
      </c>
      <c r="C1680" s="43" t="s">
        <v>2843</v>
      </c>
      <c r="D1680" s="44" t="s">
        <v>2315</v>
      </c>
      <c r="E1680" s="45">
        <v>1</v>
      </c>
      <c r="F1680" s="46">
        <v>6.59</v>
      </c>
      <c r="G1680" s="46">
        <f t="shared" si="26"/>
        <v>6.59</v>
      </c>
      <c r="H1680" s="47" t="s">
        <v>24</v>
      </c>
      <c r="I1680" s="47" t="s">
        <v>58</v>
      </c>
      <c r="J1680" s="32"/>
    </row>
    <row r="1681" spans="1:10" x14ac:dyDescent="0.2">
      <c r="A1681" s="32"/>
      <c r="B1681" s="36" t="s">
        <v>2869</v>
      </c>
      <c r="C1681" s="37" t="s">
        <v>2843</v>
      </c>
      <c r="D1681" s="38" t="s">
        <v>1478</v>
      </c>
      <c r="E1681" s="39">
        <v>1</v>
      </c>
      <c r="F1681" s="40">
        <v>3.99</v>
      </c>
      <c r="G1681" s="40">
        <f t="shared" si="26"/>
        <v>3.99</v>
      </c>
      <c r="H1681" s="41" t="s">
        <v>24</v>
      </c>
      <c r="I1681" s="41" t="s">
        <v>58</v>
      </c>
      <c r="J1681" s="32"/>
    </row>
    <row r="1682" spans="1:10" x14ac:dyDescent="0.2">
      <c r="A1682" s="32"/>
      <c r="B1682" s="42" t="s">
        <v>2870</v>
      </c>
      <c r="C1682" s="43" t="s">
        <v>2843</v>
      </c>
      <c r="D1682" s="44" t="s">
        <v>2871</v>
      </c>
      <c r="E1682" s="45">
        <v>1</v>
      </c>
      <c r="F1682" s="46">
        <v>10.69</v>
      </c>
      <c r="G1682" s="46">
        <f t="shared" si="26"/>
        <v>10.69</v>
      </c>
      <c r="H1682" s="47" t="s">
        <v>24</v>
      </c>
      <c r="I1682" s="47" t="s">
        <v>58</v>
      </c>
      <c r="J1682" s="32"/>
    </row>
    <row r="1683" spans="1:10" x14ac:dyDescent="0.2">
      <c r="A1683" s="32"/>
      <c r="B1683" s="36" t="s">
        <v>2872</v>
      </c>
      <c r="C1683" s="37" t="s">
        <v>2843</v>
      </c>
      <c r="D1683" s="38" t="s">
        <v>39</v>
      </c>
      <c r="E1683" s="39">
        <v>1</v>
      </c>
      <c r="F1683" s="40">
        <v>13.49</v>
      </c>
      <c r="G1683" s="40">
        <f t="shared" si="26"/>
        <v>13.49</v>
      </c>
      <c r="H1683" s="41" t="s">
        <v>24</v>
      </c>
      <c r="I1683" s="41" t="s">
        <v>58</v>
      </c>
      <c r="J1683" s="32"/>
    </row>
    <row r="1684" spans="1:10" x14ac:dyDescent="0.2">
      <c r="A1684" s="32"/>
      <c r="B1684" s="42" t="s">
        <v>2873</v>
      </c>
      <c r="C1684" s="43" t="s">
        <v>2843</v>
      </c>
      <c r="D1684" s="44" t="s">
        <v>1368</v>
      </c>
      <c r="E1684" s="45">
        <v>1</v>
      </c>
      <c r="F1684" s="46">
        <v>1.43</v>
      </c>
      <c r="G1684" s="46">
        <f t="shared" si="26"/>
        <v>1.43</v>
      </c>
      <c r="H1684" s="47" t="s">
        <v>24</v>
      </c>
      <c r="I1684" s="47" t="s">
        <v>58</v>
      </c>
      <c r="J1684" s="32"/>
    </row>
    <row r="1685" spans="1:10" x14ac:dyDescent="0.2">
      <c r="A1685" s="32"/>
      <c r="B1685" s="36" t="s">
        <v>2874</v>
      </c>
      <c r="C1685" s="37" t="s">
        <v>2843</v>
      </c>
      <c r="D1685" s="38" t="s">
        <v>1898</v>
      </c>
      <c r="E1685" s="39">
        <v>1</v>
      </c>
      <c r="F1685" s="40">
        <v>6.49</v>
      </c>
      <c r="G1685" s="40">
        <f t="shared" si="26"/>
        <v>6.49</v>
      </c>
      <c r="H1685" s="41" t="s">
        <v>24</v>
      </c>
      <c r="I1685" s="41" t="s">
        <v>58</v>
      </c>
      <c r="J1685" s="32"/>
    </row>
    <row r="1686" spans="1:10" x14ac:dyDescent="0.2">
      <c r="A1686" s="32"/>
      <c r="B1686" s="42" t="s">
        <v>2875</v>
      </c>
      <c r="C1686" s="43" t="s">
        <v>2843</v>
      </c>
      <c r="D1686" s="44" t="s">
        <v>2793</v>
      </c>
      <c r="E1686" s="45">
        <v>1</v>
      </c>
      <c r="F1686" s="46">
        <v>7.99</v>
      </c>
      <c r="G1686" s="46">
        <f t="shared" si="26"/>
        <v>7.99</v>
      </c>
      <c r="H1686" s="47" t="s">
        <v>24</v>
      </c>
      <c r="I1686" s="47" t="s">
        <v>58</v>
      </c>
      <c r="J1686" s="32"/>
    </row>
    <row r="1687" spans="1:10" x14ac:dyDescent="0.2">
      <c r="A1687" s="32"/>
      <c r="B1687" s="36" t="s">
        <v>2876</v>
      </c>
      <c r="C1687" s="37" t="s">
        <v>2843</v>
      </c>
      <c r="D1687" s="38" t="s">
        <v>2877</v>
      </c>
      <c r="E1687" s="39">
        <v>1</v>
      </c>
      <c r="F1687" s="40">
        <v>2.19</v>
      </c>
      <c r="G1687" s="40">
        <f t="shared" si="26"/>
        <v>2.19</v>
      </c>
      <c r="H1687" s="41" t="s">
        <v>24</v>
      </c>
      <c r="I1687" s="41" t="s">
        <v>58</v>
      </c>
      <c r="J1687" s="32"/>
    </row>
    <row r="1688" spans="1:10" x14ac:dyDescent="0.2">
      <c r="A1688" s="32"/>
      <c r="B1688" s="42" t="s">
        <v>2878</v>
      </c>
      <c r="C1688" s="43" t="s">
        <v>2843</v>
      </c>
      <c r="D1688" s="44" t="s">
        <v>137</v>
      </c>
      <c r="E1688" s="45">
        <v>1</v>
      </c>
      <c r="F1688" s="46">
        <v>6.49</v>
      </c>
      <c r="G1688" s="46">
        <f t="shared" si="26"/>
        <v>6.49</v>
      </c>
      <c r="H1688" s="47" t="s">
        <v>24</v>
      </c>
      <c r="I1688" s="47" t="s">
        <v>58</v>
      </c>
      <c r="J1688" s="32"/>
    </row>
    <row r="1689" spans="1:10" x14ac:dyDescent="0.2">
      <c r="A1689" s="32"/>
      <c r="B1689" s="36" t="s">
        <v>2879</v>
      </c>
      <c r="C1689" s="37" t="s">
        <v>2843</v>
      </c>
      <c r="D1689" s="38" t="s">
        <v>137</v>
      </c>
      <c r="E1689" s="39">
        <v>1</v>
      </c>
      <c r="F1689" s="40">
        <v>6.49</v>
      </c>
      <c r="G1689" s="40">
        <f t="shared" si="26"/>
        <v>6.49</v>
      </c>
      <c r="H1689" s="41" t="s">
        <v>24</v>
      </c>
      <c r="I1689" s="41" t="s">
        <v>58</v>
      </c>
      <c r="J1689" s="32"/>
    </row>
    <row r="1690" spans="1:10" x14ac:dyDescent="0.2">
      <c r="A1690" s="32"/>
      <c r="B1690" s="42" t="s">
        <v>2880</v>
      </c>
      <c r="C1690" s="43" t="s">
        <v>2843</v>
      </c>
      <c r="D1690" s="44" t="s">
        <v>2881</v>
      </c>
      <c r="E1690" s="45">
        <v>1</v>
      </c>
      <c r="F1690" s="46">
        <v>46.5</v>
      </c>
      <c r="G1690" s="46">
        <f t="shared" si="26"/>
        <v>46.5</v>
      </c>
      <c r="H1690" s="47" t="s">
        <v>24</v>
      </c>
      <c r="I1690" s="47" t="s">
        <v>58</v>
      </c>
      <c r="J1690" s="32"/>
    </row>
    <row r="1691" spans="1:10" x14ac:dyDescent="0.2">
      <c r="A1691" s="32"/>
      <c r="B1691" s="36" t="s">
        <v>2882</v>
      </c>
      <c r="C1691" s="37" t="s">
        <v>2843</v>
      </c>
      <c r="D1691" s="38" t="s">
        <v>2883</v>
      </c>
      <c r="E1691" s="39">
        <v>1</v>
      </c>
      <c r="F1691" s="40">
        <v>59.99</v>
      </c>
      <c r="G1691" s="40">
        <f t="shared" si="26"/>
        <v>59.99</v>
      </c>
      <c r="H1691" s="41" t="s">
        <v>24</v>
      </c>
      <c r="I1691" s="41" t="s">
        <v>58</v>
      </c>
      <c r="J1691" s="32"/>
    </row>
    <row r="1692" spans="1:10" x14ac:dyDescent="0.2">
      <c r="A1692" s="32"/>
      <c r="B1692" s="42" t="s">
        <v>2884</v>
      </c>
      <c r="C1692" s="43" t="s">
        <v>2843</v>
      </c>
      <c r="D1692" s="44" t="s">
        <v>2885</v>
      </c>
      <c r="E1692" s="45">
        <v>1</v>
      </c>
      <c r="F1692" s="46">
        <v>5.79</v>
      </c>
      <c r="G1692" s="46">
        <f t="shared" si="26"/>
        <v>5.79</v>
      </c>
      <c r="H1692" s="47" t="s">
        <v>24</v>
      </c>
      <c r="I1692" s="47" t="s">
        <v>58</v>
      </c>
      <c r="J1692" s="32"/>
    </row>
    <row r="1693" spans="1:10" x14ac:dyDescent="0.2">
      <c r="A1693" s="32"/>
      <c r="B1693" s="36" t="s">
        <v>2886</v>
      </c>
      <c r="C1693" s="37" t="s">
        <v>2843</v>
      </c>
      <c r="D1693" s="38" t="s">
        <v>1871</v>
      </c>
      <c r="E1693" s="39">
        <v>1</v>
      </c>
      <c r="F1693" s="40">
        <v>6.49</v>
      </c>
      <c r="G1693" s="40">
        <f t="shared" si="26"/>
        <v>6.49</v>
      </c>
      <c r="H1693" s="41" t="s">
        <v>24</v>
      </c>
      <c r="I1693" s="41" t="s">
        <v>58</v>
      </c>
      <c r="J1693" s="32"/>
    </row>
    <row r="1694" spans="1:10" x14ac:dyDescent="0.2">
      <c r="A1694" s="32"/>
      <c r="B1694" s="42" t="s">
        <v>2887</v>
      </c>
      <c r="C1694" s="43" t="s">
        <v>2843</v>
      </c>
      <c r="D1694" s="44" t="s">
        <v>1918</v>
      </c>
      <c r="E1694" s="45">
        <v>1</v>
      </c>
      <c r="F1694" s="46">
        <v>4.6900000000000004</v>
      </c>
      <c r="G1694" s="46">
        <f t="shared" si="26"/>
        <v>4.6900000000000004</v>
      </c>
      <c r="H1694" s="47" t="s">
        <v>24</v>
      </c>
      <c r="I1694" s="47" t="s">
        <v>58</v>
      </c>
      <c r="J1694" s="32"/>
    </row>
    <row r="1695" spans="1:10" x14ac:dyDescent="0.2">
      <c r="A1695" s="32"/>
      <c r="B1695" s="36" t="s">
        <v>2888</v>
      </c>
      <c r="C1695" s="37" t="s">
        <v>2843</v>
      </c>
      <c r="D1695" s="38" t="s">
        <v>2889</v>
      </c>
      <c r="E1695" s="39">
        <v>1</v>
      </c>
      <c r="F1695" s="40">
        <v>79.989999999999995</v>
      </c>
      <c r="G1695" s="40">
        <f t="shared" si="26"/>
        <v>79.989999999999995</v>
      </c>
      <c r="H1695" s="41" t="s">
        <v>24</v>
      </c>
      <c r="I1695" s="41" t="s">
        <v>58</v>
      </c>
      <c r="J1695" s="32"/>
    </row>
    <row r="1696" spans="1:10" x14ac:dyDescent="0.2">
      <c r="A1696" s="32"/>
      <c r="B1696" s="42" t="s">
        <v>2890</v>
      </c>
      <c r="C1696" s="43" t="s">
        <v>2843</v>
      </c>
      <c r="D1696" s="44" t="s">
        <v>2891</v>
      </c>
      <c r="E1696" s="45">
        <v>1</v>
      </c>
      <c r="F1696" s="46">
        <v>49.99</v>
      </c>
      <c r="G1696" s="46">
        <f t="shared" si="26"/>
        <v>49.99</v>
      </c>
      <c r="H1696" s="47" t="s">
        <v>24</v>
      </c>
      <c r="I1696" s="47" t="s">
        <v>58</v>
      </c>
      <c r="J1696" s="32"/>
    </row>
    <row r="1697" spans="1:10" x14ac:dyDescent="0.2">
      <c r="A1697" s="32"/>
      <c r="B1697" s="36" t="s">
        <v>2892</v>
      </c>
      <c r="C1697" s="37" t="s">
        <v>2843</v>
      </c>
      <c r="D1697" s="38" t="s">
        <v>2893</v>
      </c>
      <c r="E1697" s="39">
        <v>1</v>
      </c>
      <c r="F1697" s="40">
        <v>5.29</v>
      </c>
      <c r="G1697" s="40">
        <f t="shared" si="26"/>
        <v>5.29</v>
      </c>
      <c r="H1697" s="41" t="s">
        <v>28</v>
      </c>
      <c r="I1697" s="41" t="s">
        <v>58</v>
      </c>
      <c r="J1697" s="32"/>
    </row>
    <row r="1698" spans="1:10" x14ac:dyDescent="0.2">
      <c r="A1698" s="32"/>
      <c r="B1698" s="42" t="s">
        <v>2894</v>
      </c>
      <c r="C1698" s="43" t="s">
        <v>2843</v>
      </c>
      <c r="D1698" s="44" t="s">
        <v>1955</v>
      </c>
      <c r="E1698" s="45">
        <v>1</v>
      </c>
      <c r="F1698" s="46">
        <v>25.79</v>
      </c>
      <c r="G1698" s="46">
        <f t="shared" si="26"/>
        <v>25.79</v>
      </c>
      <c r="H1698" s="47" t="s">
        <v>24</v>
      </c>
      <c r="I1698" s="47" t="s">
        <v>58</v>
      </c>
      <c r="J1698" s="32"/>
    </row>
    <row r="1699" spans="1:10" x14ac:dyDescent="0.2">
      <c r="A1699" s="32"/>
      <c r="B1699" s="36" t="s">
        <v>2895</v>
      </c>
      <c r="C1699" s="37" t="s">
        <v>2843</v>
      </c>
      <c r="D1699" s="38" t="s">
        <v>2896</v>
      </c>
      <c r="E1699" s="39">
        <v>1</v>
      </c>
      <c r="F1699" s="40">
        <v>1.99</v>
      </c>
      <c r="G1699" s="40">
        <f t="shared" si="26"/>
        <v>1.99</v>
      </c>
      <c r="H1699" s="41" t="s">
        <v>24</v>
      </c>
      <c r="I1699" s="41" t="s">
        <v>58</v>
      </c>
      <c r="J1699" s="32"/>
    </row>
    <row r="1700" spans="1:10" x14ac:dyDescent="0.2">
      <c r="A1700" s="32"/>
      <c r="B1700" s="42" t="s">
        <v>2897</v>
      </c>
      <c r="C1700" s="43" t="s">
        <v>2843</v>
      </c>
      <c r="D1700" s="44" t="s">
        <v>2898</v>
      </c>
      <c r="E1700" s="45">
        <v>1</v>
      </c>
      <c r="F1700" s="46">
        <v>14.89</v>
      </c>
      <c r="G1700" s="46">
        <f t="shared" si="26"/>
        <v>14.89</v>
      </c>
      <c r="H1700" s="47" t="s">
        <v>24</v>
      </c>
      <c r="I1700" s="47" t="s">
        <v>58</v>
      </c>
      <c r="J1700" s="32"/>
    </row>
    <row r="1701" spans="1:10" x14ac:dyDescent="0.2">
      <c r="A1701" s="32"/>
      <c r="B1701" s="36" t="s">
        <v>2899</v>
      </c>
      <c r="C1701" s="37" t="s">
        <v>2843</v>
      </c>
      <c r="D1701" s="38" t="s">
        <v>1912</v>
      </c>
      <c r="E1701" s="39">
        <v>1</v>
      </c>
      <c r="F1701" s="40">
        <v>3.19</v>
      </c>
      <c r="G1701" s="40">
        <f t="shared" si="26"/>
        <v>3.19</v>
      </c>
      <c r="H1701" s="41" t="s">
        <v>24</v>
      </c>
      <c r="I1701" s="41" t="s">
        <v>58</v>
      </c>
      <c r="J1701" s="32"/>
    </row>
    <row r="1702" spans="1:10" x14ac:dyDescent="0.2">
      <c r="A1702" s="32"/>
      <c r="B1702" s="42" t="s">
        <v>2900</v>
      </c>
      <c r="C1702" s="43" t="s">
        <v>2843</v>
      </c>
      <c r="D1702" s="44" t="s">
        <v>2901</v>
      </c>
      <c r="E1702" s="45">
        <v>1</v>
      </c>
      <c r="F1702" s="46">
        <v>14.99</v>
      </c>
      <c r="G1702" s="46">
        <f t="shared" si="26"/>
        <v>14.99</v>
      </c>
      <c r="H1702" s="47" t="s">
        <v>25</v>
      </c>
      <c r="I1702" s="47" t="s">
        <v>58</v>
      </c>
      <c r="J1702" s="32"/>
    </row>
    <row r="1703" spans="1:10" x14ac:dyDescent="0.2">
      <c r="A1703" s="32"/>
      <c r="B1703" s="36" t="s">
        <v>2902</v>
      </c>
      <c r="C1703" s="37" t="s">
        <v>2843</v>
      </c>
      <c r="D1703" s="38" t="s">
        <v>2903</v>
      </c>
      <c r="E1703" s="39">
        <v>1</v>
      </c>
      <c r="F1703" s="40">
        <v>12.99</v>
      </c>
      <c r="G1703" s="40">
        <f t="shared" si="26"/>
        <v>12.99</v>
      </c>
      <c r="H1703" s="41" t="s">
        <v>28</v>
      </c>
      <c r="I1703" s="41" t="s">
        <v>58</v>
      </c>
      <c r="J1703" s="32"/>
    </row>
    <row r="1704" spans="1:10" x14ac:dyDescent="0.2">
      <c r="A1704" s="32"/>
      <c r="B1704" s="42" t="s">
        <v>2904</v>
      </c>
      <c r="C1704" s="43" t="s">
        <v>2843</v>
      </c>
      <c r="D1704" s="44" t="s">
        <v>1710</v>
      </c>
      <c r="E1704" s="45">
        <v>1</v>
      </c>
      <c r="F1704" s="46">
        <v>12.99</v>
      </c>
      <c r="G1704" s="46">
        <f t="shared" si="26"/>
        <v>12.99</v>
      </c>
      <c r="H1704" s="47" t="s">
        <v>25</v>
      </c>
      <c r="I1704" s="47" t="s">
        <v>58</v>
      </c>
      <c r="J1704" s="32"/>
    </row>
    <row r="1705" spans="1:10" x14ac:dyDescent="0.2">
      <c r="A1705" s="32"/>
      <c r="B1705" s="36" t="s">
        <v>2905</v>
      </c>
      <c r="C1705" s="37" t="s">
        <v>2843</v>
      </c>
      <c r="D1705" s="38" t="s">
        <v>2906</v>
      </c>
      <c r="E1705" s="39">
        <v>1</v>
      </c>
      <c r="F1705" s="40">
        <v>12.99</v>
      </c>
      <c r="G1705" s="40">
        <f t="shared" si="26"/>
        <v>12.99</v>
      </c>
      <c r="H1705" s="41" t="s">
        <v>25</v>
      </c>
      <c r="I1705" s="41" t="s">
        <v>58</v>
      </c>
      <c r="J1705" s="32"/>
    </row>
    <row r="1706" spans="1:10" x14ac:dyDescent="0.2">
      <c r="A1706" s="32"/>
      <c r="B1706" s="42" t="s">
        <v>2907</v>
      </c>
      <c r="C1706" s="43" t="s">
        <v>2843</v>
      </c>
      <c r="D1706" s="44" t="s">
        <v>2908</v>
      </c>
      <c r="E1706" s="45">
        <v>1</v>
      </c>
      <c r="F1706" s="46">
        <v>15.69</v>
      </c>
      <c r="G1706" s="46">
        <f t="shared" si="26"/>
        <v>15.69</v>
      </c>
      <c r="H1706" s="47" t="s">
        <v>25</v>
      </c>
      <c r="I1706" s="47" t="s">
        <v>58</v>
      </c>
      <c r="J1706" s="32"/>
    </row>
    <row r="1707" spans="1:10" x14ac:dyDescent="0.2">
      <c r="A1707" s="32"/>
      <c r="B1707" s="36" t="s">
        <v>2909</v>
      </c>
      <c r="C1707" s="37" t="s">
        <v>2843</v>
      </c>
      <c r="D1707" s="38" t="s">
        <v>2910</v>
      </c>
      <c r="E1707" s="39">
        <v>1</v>
      </c>
      <c r="F1707" s="40">
        <v>17.989999999999998</v>
      </c>
      <c r="G1707" s="40">
        <f t="shared" si="26"/>
        <v>17.989999999999998</v>
      </c>
      <c r="H1707" s="41" t="s">
        <v>24</v>
      </c>
      <c r="I1707" s="41" t="s">
        <v>58</v>
      </c>
      <c r="J1707" s="32"/>
    </row>
    <row r="1708" spans="1:10" x14ac:dyDescent="0.2">
      <c r="A1708" s="32"/>
      <c r="B1708" s="42" t="s">
        <v>2911</v>
      </c>
      <c r="C1708" s="43" t="s">
        <v>2843</v>
      </c>
      <c r="D1708" s="44" t="s">
        <v>2912</v>
      </c>
      <c r="E1708" s="45">
        <v>1</v>
      </c>
      <c r="F1708" s="46">
        <v>9.99</v>
      </c>
      <c r="G1708" s="46">
        <f t="shared" si="26"/>
        <v>9.99</v>
      </c>
      <c r="H1708" s="47" t="s">
        <v>24</v>
      </c>
      <c r="I1708" s="47" t="s">
        <v>58</v>
      </c>
      <c r="J1708" s="32"/>
    </row>
    <row r="1709" spans="1:10" x14ac:dyDescent="0.2">
      <c r="A1709" s="32"/>
      <c r="B1709" s="36" t="s">
        <v>2913</v>
      </c>
      <c r="C1709" s="37" t="s">
        <v>2843</v>
      </c>
      <c r="D1709" s="38" t="s">
        <v>2620</v>
      </c>
      <c r="E1709" s="39">
        <v>1</v>
      </c>
      <c r="F1709" s="40">
        <v>21.59</v>
      </c>
      <c r="G1709" s="40">
        <f t="shared" si="26"/>
        <v>21.59</v>
      </c>
      <c r="H1709" s="41" t="s">
        <v>24</v>
      </c>
      <c r="I1709" s="41" t="s">
        <v>58</v>
      </c>
      <c r="J1709" s="32"/>
    </row>
    <row r="1710" spans="1:10" x14ac:dyDescent="0.2">
      <c r="A1710" s="32"/>
      <c r="B1710" s="42" t="s">
        <v>2914</v>
      </c>
      <c r="C1710" s="43" t="s">
        <v>2843</v>
      </c>
      <c r="D1710" s="44" t="s">
        <v>2915</v>
      </c>
      <c r="E1710" s="45">
        <v>1</v>
      </c>
      <c r="F1710" s="46">
        <v>6.59</v>
      </c>
      <c r="G1710" s="46">
        <f t="shared" si="26"/>
        <v>6.59</v>
      </c>
      <c r="H1710" s="47" t="s">
        <v>24</v>
      </c>
      <c r="I1710" s="47" t="s">
        <v>58</v>
      </c>
      <c r="J1710" s="32"/>
    </row>
    <row r="1711" spans="1:10" x14ac:dyDescent="0.2">
      <c r="A1711" s="32"/>
      <c r="B1711" s="36" t="s">
        <v>2916</v>
      </c>
      <c r="C1711" s="37" t="s">
        <v>2843</v>
      </c>
      <c r="D1711" s="38" t="s">
        <v>42</v>
      </c>
      <c r="E1711" s="39">
        <v>1</v>
      </c>
      <c r="F1711" s="40">
        <v>4.99</v>
      </c>
      <c r="G1711" s="40">
        <f t="shared" si="26"/>
        <v>4.99</v>
      </c>
      <c r="H1711" s="41" t="s">
        <v>24</v>
      </c>
      <c r="I1711" s="41" t="s">
        <v>58</v>
      </c>
      <c r="J1711" s="32"/>
    </row>
    <row r="1712" spans="1:10" x14ac:dyDescent="0.2">
      <c r="A1712" s="32"/>
      <c r="B1712" s="42" t="s">
        <v>2917</v>
      </c>
      <c r="C1712" s="43" t="s">
        <v>2843</v>
      </c>
      <c r="D1712" s="44" t="s">
        <v>2918</v>
      </c>
      <c r="E1712" s="45">
        <v>1</v>
      </c>
      <c r="F1712" s="46">
        <v>5.39</v>
      </c>
      <c r="G1712" s="46">
        <f t="shared" si="26"/>
        <v>5.39</v>
      </c>
      <c r="H1712" s="47" t="s">
        <v>24</v>
      </c>
      <c r="I1712" s="47" t="s">
        <v>58</v>
      </c>
      <c r="J1712" s="32"/>
    </row>
    <row r="1713" spans="1:10" x14ac:dyDescent="0.2">
      <c r="A1713" s="32"/>
      <c r="B1713" s="36" t="s">
        <v>2919</v>
      </c>
      <c r="C1713" s="37" t="s">
        <v>2843</v>
      </c>
      <c r="D1713" s="38" t="s">
        <v>1678</v>
      </c>
      <c r="E1713" s="39">
        <v>1</v>
      </c>
      <c r="F1713" s="40">
        <v>18.989999999999998</v>
      </c>
      <c r="G1713" s="40">
        <f t="shared" si="26"/>
        <v>18.989999999999998</v>
      </c>
      <c r="H1713" s="41" t="s">
        <v>24</v>
      </c>
      <c r="I1713" s="41" t="s">
        <v>58</v>
      </c>
      <c r="J1713" s="32"/>
    </row>
    <row r="1714" spans="1:10" x14ac:dyDescent="0.2">
      <c r="A1714" s="32"/>
      <c r="B1714" s="42" t="s">
        <v>2920</v>
      </c>
      <c r="C1714" s="43" t="s">
        <v>2921</v>
      </c>
      <c r="D1714" s="44" t="s">
        <v>2767</v>
      </c>
      <c r="E1714" s="45">
        <v>1</v>
      </c>
      <c r="F1714" s="46">
        <v>12.99</v>
      </c>
      <c r="G1714" s="46">
        <f t="shared" si="26"/>
        <v>12.99</v>
      </c>
      <c r="H1714" s="47" t="s">
        <v>24</v>
      </c>
      <c r="I1714" s="47" t="s">
        <v>58</v>
      </c>
      <c r="J1714" s="32"/>
    </row>
    <row r="1715" spans="1:10" x14ac:dyDescent="0.2">
      <c r="A1715" s="32"/>
      <c r="B1715" s="36" t="s">
        <v>2922</v>
      </c>
      <c r="C1715" s="37" t="s">
        <v>2921</v>
      </c>
      <c r="D1715" s="38" t="s">
        <v>2678</v>
      </c>
      <c r="E1715" s="39">
        <v>1</v>
      </c>
      <c r="F1715" s="40">
        <v>3.49</v>
      </c>
      <c r="G1715" s="40">
        <f t="shared" si="26"/>
        <v>3.49</v>
      </c>
      <c r="H1715" s="41" t="s">
        <v>24</v>
      </c>
      <c r="I1715" s="41" t="s">
        <v>58</v>
      </c>
      <c r="J1715" s="32"/>
    </row>
    <row r="1716" spans="1:10" x14ac:dyDescent="0.2">
      <c r="A1716" s="32"/>
      <c r="B1716" s="42" t="s">
        <v>2923</v>
      </c>
      <c r="C1716" s="43" t="s">
        <v>2921</v>
      </c>
      <c r="D1716" s="44" t="s">
        <v>2678</v>
      </c>
      <c r="E1716" s="45">
        <v>1</v>
      </c>
      <c r="F1716" s="46">
        <v>3.49</v>
      </c>
      <c r="G1716" s="46">
        <f t="shared" si="26"/>
        <v>3.49</v>
      </c>
      <c r="H1716" s="47" t="s">
        <v>24</v>
      </c>
      <c r="I1716" s="47" t="s">
        <v>58</v>
      </c>
      <c r="J1716" s="32"/>
    </row>
    <row r="1717" spans="1:10" x14ac:dyDescent="0.2">
      <c r="A1717" s="32"/>
      <c r="B1717" s="36" t="s">
        <v>2924</v>
      </c>
      <c r="C1717" s="37" t="s">
        <v>2921</v>
      </c>
      <c r="D1717" s="38" t="s">
        <v>2925</v>
      </c>
      <c r="E1717" s="39">
        <v>1</v>
      </c>
      <c r="F1717" s="40">
        <v>4.99</v>
      </c>
      <c r="G1717" s="40">
        <f t="shared" si="26"/>
        <v>4.99</v>
      </c>
      <c r="H1717" s="41" t="s">
        <v>24</v>
      </c>
      <c r="I1717" s="41" t="s">
        <v>58</v>
      </c>
      <c r="J1717" s="32"/>
    </row>
    <row r="1718" spans="1:10" x14ac:dyDescent="0.2">
      <c r="A1718" s="32"/>
      <c r="B1718" s="42" t="s">
        <v>2926</v>
      </c>
      <c r="C1718" s="43" t="s">
        <v>2921</v>
      </c>
      <c r="D1718" s="44" t="s">
        <v>2927</v>
      </c>
      <c r="E1718" s="45">
        <v>1</v>
      </c>
      <c r="F1718" s="46">
        <v>3.49</v>
      </c>
      <c r="G1718" s="46">
        <f t="shared" si="26"/>
        <v>3.49</v>
      </c>
      <c r="H1718" s="47" t="s">
        <v>24</v>
      </c>
      <c r="I1718" s="47" t="s">
        <v>58</v>
      </c>
      <c r="J1718" s="32"/>
    </row>
    <row r="1719" spans="1:10" x14ac:dyDescent="0.2">
      <c r="A1719" s="32"/>
      <c r="B1719" s="36" t="s">
        <v>2928</v>
      </c>
      <c r="C1719" s="37" t="s">
        <v>2921</v>
      </c>
      <c r="D1719" s="38" t="s">
        <v>2659</v>
      </c>
      <c r="E1719" s="39">
        <v>1</v>
      </c>
      <c r="F1719" s="40">
        <v>10.69</v>
      </c>
      <c r="G1719" s="40">
        <f t="shared" si="26"/>
        <v>10.69</v>
      </c>
      <c r="H1719" s="41" t="s">
        <v>24</v>
      </c>
      <c r="I1719" s="41" t="s">
        <v>58</v>
      </c>
      <c r="J1719" s="32"/>
    </row>
    <row r="1720" spans="1:10" x14ac:dyDescent="0.2">
      <c r="A1720" s="32"/>
      <c r="B1720" s="42" t="s">
        <v>2929</v>
      </c>
      <c r="C1720" s="43" t="s">
        <v>2921</v>
      </c>
      <c r="D1720" s="44" t="s">
        <v>2930</v>
      </c>
      <c r="E1720" s="45">
        <v>1</v>
      </c>
      <c r="F1720" s="46">
        <v>46.99</v>
      </c>
      <c r="G1720" s="46">
        <f t="shared" si="26"/>
        <v>46.99</v>
      </c>
      <c r="H1720" s="47" t="s">
        <v>24</v>
      </c>
      <c r="I1720" s="47" t="s">
        <v>58</v>
      </c>
      <c r="J1720" s="32"/>
    </row>
    <row r="1721" spans="1:10" x14ac:dyDescent="0.2">
      <c r="A1721" s="32"/>
      <c r="B1721" s="36" t="s">
        <v>2931</v>
      </c>
      <c r="C1721" s="37" t="s">
        <v>2921</v>
      </c>
      <c r="D1721" s="38" t="s">
        <v>2932</v>
      </c>
      <c r="E1721" s="39">
        <v>1</v>
      </c>
      <c r="F1721" s="40">
        <v>6.29</v>
      </c>
      <c r="G1721" s="40">
        <f t="shared" si="26"/>
        <v>6.29</v>
      </c>
      <c r="H1721" s="41" t="s">
        <v>24</v>
      </c>
      <c r="I1721" s="41" t="s">
        <v>58</v>
      </c>
      <c r="J1721" s="32"/>
    </row>
    <row r="1722" spans="1:10" x14ac:dyDescent="0.2">
      <c r="A1722" s="32"/>
      <c r="B1722" s="42" t="s">
        <v>2933</v>
      </c>
      <c r="C1722" s="43" t="s">
        <v>2921</v>
      </c>
      <c r="D1722" s="44" t="s">
        <v>2803</v>
      </c>
      <c r="E1722" s="45">
        <v>1</v>
      </c>
      <c r="F1722" s="46">
        <v>6.29</v>
      </c>
      <c r="G1722" s="46">
        <f t="shared" si="26"/>
        <v>6.29</v>
      </c>
      <c r="H1722" s="47" t="s">
        <v>24</v>
      </c>
      <c r="I1722" s="47" t="s">
        <v>58</v>
      </c>
      <c r="J1722" s="32"/>
    </row>
    <row r="1723" spans="1:10" x14ac:dyDescent="0.2">
      <c r="A1723" s="32"/>
      <c r="B1723" s="36" t="s">
        <v>2934</v>
      </c>
      <c r="C1723" s="37" t="s">
        <v>2921</v>
      </c>
      <c r="D1723" s="38" t="s">
        <v>2935</v>
      </c>
      <c r="E1723" s="39">
        <v>1</v>
      </c>
      <c r="F1723" s="40">
        <v>8.99</v>
      </c>
      <c r="G1723" s="40">
        <f t="shared" si="26"/>
        <v>8.99</v>
      </c>
      <c r="H1723" s="41" t="s">
        <v>24</v>
      </c>
      <c r="I1723" s="41" t="s">
        <v>58</v>
      </c>
      <c r="J1723" s="32"/>
    </row>
    <row r="1724" spans="1:10" x14ac:dyDescent="0.2">
      <c r="A1724" s="32"/>
      <c r="B1724" s="42" t="s">
        <v>2936</v>
      </c>
      <c r="C1724" s="43" t="s">
        <v>2921</v>
      </c>
      <c r="D1724" s="44" t="s">
        <v>2935</v>
      </c>
      <c r="E1724" s="45">
        <v>1</v>
      </c>
      <c r="F1724" s="46">
        <v>8.99</v>
      </c>
      <c r="G1724" s="46">
        <f t="shared" si="26"/>
        <v>8.99</v>
      </c>
      <c r="H1724" s="47" t="s">
        <v>24</v>
      </c>
      <c r="I1724" s="47" t="s">
        <v>58</v>
      </c>
      <c r="J1724" s="32"/>
    </row>
    <row r="1725" spans="1:10" x14ac:dyDescent="0.2">
      <c r="A1725" s="32"/>
      <c r="B1725" s="36" t="s">
        <v>2937</v>
      </c>
      <c r="C1725" s="37" t="s">
        <v>2921</v>
      </c>
      <c r="D1725" s="38" t="s">
        <v>2610</v>
      </c>
      <c r="E1725" s="39">
        <v>1</v>
      </c>
      <c r="F1725" s="40">
        <v>23.99</v>
      </c>
      <c r="G1725" s="40">
        <f t="shared" si="26"/>
        <v>23.99</v>
      </c>
      <c r="H1725" s="41" t="s">
        <v>24</v>
      </c>
      <c r="I1725" s="41" t="s">
        <v>58</v>
      </c>
      <c r="J1725" s="32"/>
    </row>
    <row r="1726" spans="1:10" x14ac:dyDescent="0.2">
      <c r="A1726" s="32"/>
      <c r="B1726" s="42" t="s">
        <v>2938</v>
      </c>
      <c r="C1726" s="43" t="s">
        <v>2921</v>
      </c>
      <c r="D1726" s="44" t="s">
        <v>2486</v>
      </c>
      <c r="E1726" s="45">
        <v>1</v>
      </c>
      <c r="F1726" s="46">
        <v>8.7899999999999991</v>
      </c>
      <c r="G1726" s="46">
        <f t="shared" si="26"/>
        <v>8.7899999999999991</v>
      </c>
      <c r="H1726" s="47" t="s">
        <v>24</v>
      </c>
      <c r="I1726" s="47" t="s">
        <v>58</v>
      </c>
      <c r="J1726" s="32"/>
    </row>
    <row r="1727" spans="1:10" x14ac:dyDescent="0.2">
      <c r="A1727" s="32"/>
      <c r="B1727" s="36" t="s">
        <v>2939</v>
      </c>
      <c r="C1727" s="37" t="s">
        <v>2921</v>
      </c>
      <c r="D1727" s="38" t="s">
        <v>2940</v>
      </c>
      <c r="E1727" s="39">
        <v>1</v>
      </c>
      <c r="F1727" s="40">
        <v>8.59</v>
      </c>
      <c r="G1727" s="40">
        <f t="shared" si="26"/>
        <v>8.59</v>
      </c>
      <c r="H1727" s="41" t="s">
        <v>24</v>
      </c>
      <c r="I1727" s="41" t="s">
        <v>58</v>
      </c>
      <c r="J1727" s="32"/>
    </row>
    <row r="1728" spans="1:10" x14ac:dyDescent="0.2">
      <c r="A1728" s="32"/>
      <c r="B1728" s="42" t="s">
        <v>2941</v>
      </c>
      <c r="C1728" s="43" t="s">
        <v>2921</v>
      </c>
      <c r="D1728" s="44" t="s">
        <v>2499</v>
      </c>
      <c r="E1728" s="45">
        <v>1</v>
      </c>
      <c r="F1728" s="46">
        <v>29.9</v>
      </c>
      <c r="G1728" s="46">
        <f t="shared" si="26"/>
        <v>29.9</v>
      </c>
      <c r="H1728" s="47" t="s">
        <v>24</v>
      </c>
      <c r="I1728" s="47" t="s">
        <v>58</v>
      </c>
      <c r="J1728" s="32"/>
    </row>
    <row r="1729" spans="1:10" x14ac:dyDescent="0.2">
      <c r="A1729" s="32"/>
      <c r="B1729" s="36" t="s">
        <v>2942</v>
      </c>
      <c r="C1729" s="37" t="s">
        <v>2921</v>
      </c>
      <c r="D1729" s="38" t="s">
        <v>2943</v>
      </c>
      <c r="E1729" s="39">
        <v>1</v>
      </c>
      <c r="F1729" s="40">
        <v>17.989999999999998</v>
      </c>
      <c r="G1729" s="40">
        <f t="shared" si="26"/>
        <v>17.989999999999998</v>
      </c>
      <c r="H1729" s="41" t="s">
        <v>24</v>
      </c>
      <c r="I1729" s="41" t="s">
        <v>58</v>
      </c>
      <c r="J1729" s="32"/>
    </row>
    <row r="1730" spans="1:10" x14ac:dyDescent="0.2">
      <c r="A1730" s="32"/>
      <c r="B1730" s="42" t="s">
        <v>2944</v>
      </c>
      <c r="C1730" s="43" t="s">
        <v>2921</v>
      </c>
      <c r="D1730" s="44" t="s">
        <v>2945</v>
      </c>
      <c r="E1730" s="45">
        <v>1</v>
      </c>
      <c r="F1730" s="46">
        <v>15.99</v>
      </c>
      <c r="G1730" s="46">
        <f t="shared" si="26"/>
        <v>15.99</v>
      </c>
      <c r="H1730" s="47" t="s">
        <v>24</v>
      </c>
      <c r="I1730" s="47" t="s">
        <v>58</v>
      </c>
      <c r="J1730" s="32"/>
    </row>
    <row r="1731" spans="1:10" x14ac:dyDescent="0.2">
      <c r="A1731" s="32"/>
      <c r="B1731" s="36" t="s">
        <v>2946</v>
      </c>
      <c r="C1731" s="37" t="s">
        <v>2921</v>
      </c>
      <c r="D1731" s="38" t="s">
        <v>2947</v>
      </c>
      <c r="E1731" s="39">
        <v>1</v>
      </c>
      <c r="F1731" s="40">
        <v>17.989999999999998</v>
      </c>
      <c r="G1731" s="40">
        <f t="shared" si="26"/>
        <v>17.989999999999998</v>
      </c>
      <c r="H1731" s="41" t="s">
        <v>24</v>
      </c>
      <c r="I1731" s="41" t="s">
        <v>58</v>
      </c>
      <c r="J1731" s="32"/>
    </row>
    <row r="1732" spans="1:10" x14ac:dyDescent="0.2">
      <c r="A1732" s="32"/>
      <c r="B1732" s="42" t="s">
        <v>2948</v>
      </c>
      <c r="C1732" s="43" t="s">
        <v>2921</v>
      </c>
      <c r="D1732" s="44" t="s">
        <v>2949</v>
      </c>
      <c r="E1732" s="45">
        <v>1</v>
      </c>
      <c r="F1732" s="46">
        <v>19.39</v>
      </c>
      <c r="G1732" s="46">
        <f t="shared" si="26"/>
        <v>19.39</v>
      </c>
      <c r="H1732" s="47" t="s">
        <v>24</v>
      </c>
      <c r="I1732" s="47" t="s">
        <v>58</v>
      </c>
      <c r="J1732" s="32"/>
    </row>
    <row r="1733" spans="1:10" x14ac:dyDescent="0.2">
      <c r="A1733" s="32"/>
      <c r="B1733" s="36" t="s">
        <v>2950</v>
      </c>
      <c r="C1733" s="37" t="s">
        <v>2921</v>
      </c>
      <c r="D1733" s="38" t="s">
        <v>2951</v>
      </c>
      <c r="E1733" s="39">
        <v>1</v>
      </c>
      <c r="F1733" s="40">
        <v>19.989999999999998</v>
      </c>
      <c r="G1733" s="40">
        <f t="shared" ref="G1733:G1796" si="27">E1733*F1733</f>
        <v>19.989999999999998</v>
      </c>
      <c r="H1733" s="41" t="s">
        <v>24</v>
      </c>
      <c r="I1733" s="41" t="s">
        <v>58</v>
      </c>
      <c r="J1733" s="32"/>
    </row>
    <row r="1734" spans="1:10" x14ac:dyDescent="0.2">
      <c r="A1734" s="32"/>
      <c r="B1734" s="42" t="s">
        <v>2952</v>
      </c>
      <c r="C1734" s="43" t="s">
        <v>2921</v>
      </c>
      <c r="D1734" s="44" t="s">
        <v>2573</v>
      </c>
      <c r="E1734" s="45">
        <v>1</v>
      </c>
      <c r="F1734" s="46">
        <v>16.989999999999998</v>
      </c>
      <c r="G1734" s="46">
        <f t="shared" si="27"/>
        <v>16.989999999999998</v>
      </c>
      <c r="H1734" s="47" t="s">
        <v>24</v>
      </c>
      <c r="I1734" s="47" t="s">
        <v>58</v>
      </c>
      <c r="J1734" s="32"/>
    </row>
    <row r="1735" spans="1:10" x14ac:dyDescent="0.2">
      <c r="A1735" s="32"/>
      <c r="B1735" s="36" t="s">
        <v>2953</v>
      </c>
      <c r="C1735" s="37" t="s">
        <v>2921</v>
      </c>
      <c r="D1735" s="38" t="s">
        <v>2954</v>
      </c>
      <c r="E1735" s="39">
        <v>1</v>
      </c>
      <c r="F1735" s="40">
        <v>3.39</v>
      </c>
      <c r="G1735" s="40">
        <f t="shared" si="27"/>
        <v>3.39</v>
      </c>
      <c r="H1735" s="41" t="s">
        <v>24</v>
      </c>
      <c r="I1735" s="41" t="s">
        <v>58</v>
      </c>
      <c r="J1735" s="32"/>
    </row>
    <row r="1736" spans="1:10" x14ac:dyDescent="0.2">
      <c r="A1736" s="32"/>
      <c r="B1736" s="42" t="s">
        <v>2955</v>
      </c>
      <c r="C1736" s="43" t="s">
        <v>2921</v>
      </c>
      <c r="D1736" s="44" t="s">
        <v>2956</v>
      </c>
      <c r="E1736" s="45">
        <v>1</v>
      </c>
      <c r="F1736" s="46">
        <v>3.39</v>
      </c>
      <c r="G1736" s="46">
        <f t="shared" si="27"/>
        <v>3.39</v>
      </c>
      <c r="H1736" s="47" t="s">
        <v>24</v>
      </c>
      <c r="I1736" s="47" t="s">
        <v>58</v>
      </c>
      <c r="J1736" s="32"/>
    </row>
    <row r="1737" spans="1:10" x14ac:dyDescent="0.2">
      <c r="A1737" s="32"/>
      <c r="B1737" s="36" t="s">
        <v>2957</v>
      </c>
      <c r="C1737" s="37" t="s">
        <v>2921</v>
      </c>
      <c r="D1737" s="38" t="s">
        <v>2954</v>
      </c>
      <c r="E1737" s="39">
        <v>1</v>
      </c>
      <c r="F1737" s="40">
        <v>3.39</v>
      </c>
      <c r="G1737" s="40">
        <f t="shared" si="27"/>
        <v>3.39</v>
      </c>
      <c r="H1737" s="41" t="s">
        <v>24</v>
      </c>
      <c r="I1737" s="41" t="s">
        <v>58</v>
      </c>
      <c r="J1737" s="32"/>
    </row>
    <row r="1738" spans="1:10" x14ac:dyDescent="0.2">
      <c r="A1738" s="32"/>
      <c r="B1738" s="42" t="s">
        <v>2958</v>
      </c>
      <c r="C1738" s="43" t="s">
        <v>2921</v>
      </c>
      <c r="D1738" s="44" t="s">
        <v>39</v>
      </c>
      <c r="E1738" s="45">
        <v>1</v>
      </c>
      <c r="F1738" s="46">
        <v>13.99</v>
      </c>
      <c r="G1738" s="46">
        <f t="shared" si="27"/>
        <v>13.99</v>
      </c>
      <c r="H1738" s="47" t="s">
        <v>24</v>
      </c>
      <c r="I1738" s="47" t="s">
        <v>58</v>
      </c>
      <c r="J1738" s="32"/>
    </row>
    <row r="1739" spans="1:10" x14ac:dyDescent="0.2">
      <c r="A1739" s="32"/>
      <c r="B1739" s="36" t="s">
        <v>2959</v>
      </c>
      <c r="C1739" s="37" t="s">
        <v>2921</v>
      </c>
      <c r="D1739" s="38" t="s">
        <v>39</v>
      </c>
      <c r="E1739" s="39">
        <v>1</v>
      </c>
      <c r="F1739" s="40">
        <v>13.99</v>
      </c>
      <c r="G1739" s="40">
        <f t="shared" si="27"/>
        <v>13.99</v>
      </c>
      <c r="H1739" s="41" t="s">
        <v>24</v>
      </c>
      <c r="I1739" s="41" t="s">
        <v>58</v>
      </c>
      <c r="J1739" s="32"/>
    </row>
    <row r="1740" spans="1:10" x14ac:dyDescent="0.2">
      <c r="A1740" s="32"/>
      <c r="B1740" s="42" t="s">
        <v>2960</v>
      </c>
      <c r="C1740" s="43" t="s">
        <v>2921</v>
      </c>
      <c r="D1740" s="44" t="s">
        <v>2816</v>
      </c>
      <c r="E1740" s="45">
        <v>1</v>
      </c>
      <c r="F1740" s="46">
        <v>3.19</v>
      </c>
      <c r="G1740" s="46">
        <f t="shared" si="27"/>
        <v>3.19</v>
      </c>
      <c r="H1740" s="47" t="s">
        <v>24</v>
      </c>
      <c r="I1740" s="47" t="s">
        <v>58</v>
      </c>
      <c r="J1740" s="32"/>
    </row>
    <row r="1741" spans="1:10" x14ac:dyDescent="0.2">
      <c r="A1741" s="32"/>
      <c r="B1741" s="36" t="s">
        <v>2961</v>
      </c>
      <c r="C1741" s="37" t="s">
        <v>2921</v>
      </c>
      <c r="D1741" s="38" t="s">
        <v>2834</v>
      </c>
      <c r="E1741" s="39">
        <v>1</v>
      </c>
      <c r="F1741" s="40">
        <v>3.19</v>
      </c>
      <c r="G1741" s="40">
        <f t="shared" si="27"/>
        <v>3.19</v>
      </c>
      <c r="H1741" s="41" t="s">
        <v>24</v>
      </c>
      <c r="I1741" s="41" t="s">
        <v>58</v>
      </c>
      <c r="J1741" s="32"/>
    </row>
    <row r="1742" spans="1:10" x14ac:dyDescent="0.2">
      <c r="A1742" s="32"/>
      <c r="B1742" s="42" t="s">
        <v>2962</v>
      </c>
      <c r="C1742" s="43" t="s">
        <v>2921</v>
      </c>
      <c r="D1742" s="44" t="s">
        <v>2323</v>
      </c>
      <c r="E1742" s="45">
        <v>1</v>
      </c>
      <c r="F1742" s="46">
        <v>6.99</v>
      </c>
      <c r="G1742" s="46">
        <f t="shared" si="27"/>
        <v>6.99</v>
      </c>
      <c r="H1742" s="47" t="s">
        <v>24</v>
      </c>
      <c r="I1742" s="47" t="s">
        <v>58</v>
      </c>
      <c r="J1742" s="32"/>
    </row>
    <row r="1743" spans="1:10" x14ac:dyDescent="0.2">
      <c r="A1743" s="32"/>
      <c r="B1743" s="36" t="s">
        <v>2963</v>
      </c>
      <c r="C1743" s="37" t="s">
        <v>2921</v>
      </c>
      <c r="D1743" s="38" t="s">
        <v>2323</v>
      </c>
      <c r="E1743" s="39">
        <v>1</v>
      </c>
      <c r="F1743" s="40">
        <v>6.99</v>
      </c>
      <c r="G1743" s="40">
        <f t="shared" si="27"/>
        <v>6.99</v>
      </c>
      <c r="H1743" s="41" t="s">
        <v>24</v>
      </c>
      <c r="I1743" s="41" t="s">
        <v>58</v>
      </c>
      <c r="J1743" s="32"/>
    </row>
    <row r="1744" spans="1:10" x14ac:dyDescent="0.2">
      <c r="A1744" s="32"/>
      <c r="B1744" s="42" t="s">
        <v>2964</v>
      </c>
      <c r="C1744" s="43" t="s">
        <v>2921</v>
      </c>
      <c r="D1744" s="44" t="s">
        <v>2965</v>
      </c>
      <c r="E1744" s="45">
        <v>1</v>
      </c>
      <c r="F1744" s="46">
        <v>8.39</v>
      </c>
      <c r="G1744" s="46">
        <f t="shared" si="27"/>
        <v>8.39</v>
      </c>
      <c r="H1744" s="47" t="s">
        <v>24</v>
      </c>
      <c r="I1744" s="47" t="s">
        <v>58</v>
      </c>
      <c r="J1744" s="32"/>
    </row>
    <row r="1745" spans="1:10" x14ac:dyDescent="0.2">
      <c r="A1745" s="32"/>
      <c r="B1745" s="36" t="s">
        <v>2966</v>
      </c>
      <c r="C1745" s="37" t="s">
        <v>2921</v>
      </c>
      <c r="D1745" s="38" t="s">
        <v>2793</v>
      </c>
      <c r="E1745" s="39">
        <v>1</v>
      </c>
      <c r="F1745" s="40">
        <v>7.99</v>
      </c>
      <c r="G1745" s="40">
        <f t="shared" si="27"/>
        <v>7.99</v>
      </c>
      <c r="H1745" s="41" t="s">
        <v>24</v>
      </c>
      <c r="I1745" s="41" t="s">
        <v>58</v>
      </c>
      <c r="J1745" s="32"/>
    </row>
    <row r="1746" spans="1:10" x14ac:dyDescent="0.2">
      <c r="A1746" s="32"/>
      <c r="B1746" s="42" t="s">
        <v>2967</v>
      </c>
      <c r="C1746" s="43" t="s">
        <v>2921</v>
      </c>
      <c r="D1746" s="44" t="s">
        <v>2589</v>
      </c>
      <c r="E1746" s="45">
        <v>1</v>
      </c>
      <c r="F1746" s="46">
        <v>8.99</v>
      </c>
      <c r="G1746" s="46">
        <f t="shared" si="27"/>
        <v>8.99</v>
      </c>
      <c r="H1746" s="47" t="s">
        <v>24</v>
      </c>
      <c r="I1746" s="47" t="s">
        <v>58</v>
      </c>
      <c r="J1746" s="32"/>
    </row>
    <row r="1747" spans="1:10" x14ac:dyDescent="0.2">
      <c r="A1747" s="32"/>
      <c r="B1747" s="36" t="s">
        <v>2968</v>
      </c>
      <c r="C1747" s="37" t="s">
        <v>2921</v>
      </c>
      <c r="D1747" s="38" t="s">
        <v>1925</v>
      </c>
      <c r="E1747" s="39">
        <v>1</v>
      </c>
      <c r="F1747" s="40">
        <v>6.99</v>
      </c>
      <c r="G1747" s="40">
        <f t="shared" si="27"/>
        <v>6.99</v>
      </c>
      <c r="H1747" s="41" t="s">
        <v>24</v>
      </c>
      <c r="I1747" s="41" t="s">
        <v>58</v>
      </c>
      <c r="J1747" s="32"/>
    </row>
    <row r="1748" spans="1:10" x14ac:dyDescent="0.2">
      <c r="A1748" s="32"/>
      <c r="B1748" s="42" t="s">
        <v>2969</v>
      </c>
      <c r="C1748" s="43" t="s">
        <v>2921</v>
      </c>
      <c r="D1748" s="44" t="s">
        <v>2317</v>
      </c>
      <c r="E1748" s="45">
        <v>1</v>
      </c>
      <c r="F1748" s="46">
        <v>7.29</v>
      </c>
      <c r="G1748" s="46">
        <f t="shared" si="27"/>
        <v>7.29</v>
      </c>
      <c r="H1748" s="47" t="s">
        <v>24</v>
      </c>
      <c r="I1748" s="47" t="s">
        <v>58</v>
      </c>
      <c r="J1748" s="32"/>
    </row>
    <row r="1749" spans="1:10" x14ac:dyDescent="0.2">
      <c r="A1749" s="32"/>
      <c r="B1749" s="36" t="s">
        <v>2970</v>
      </c>
      <c r="C1749" s="37" t="s">
        <v>2921</v>
      </c>
      <c r="D1749" s="38" t="s">
        <v>2688</v>
      </c>
      <c r="E1749" s="39">
        <v>1</v>
      </c>
      <c r="F1749" s="40">
        <v>6.79</v>
      </c>
      <c r="G1749" s="40">
        <f t="shared" si="27"/>
        <v>6.79</v>
      </c>
      <c r="H1749" s="41" t="s">
        <v>24</v>
      </c>
      <c r="I1749" s="41" t="s">
        <v>58</v>
      </c>
      <c r="J1749" s="32"/>
    </row>
    <row r="1750" spans="1:10" x14ac:dyDescent="0.2">
      <c r="A1750" s="32"/>
      <c r="B1750" s="42" t="s">
        <v>2971</v>
      </c>
      <c r="C1750" s="43" t="s">
        <v>2921</v>
      </c>
      <c r="D1750" s="44" t="s">
        <v>1012</v>
      </c>
      <c r="E1750" s="45">
        <v>1</v>
      </c>
      <c r="F1750" s="46">
        <v>7.49</v>
      </c>
      <c r="G1750" s="46">
        <f t="shared" si="27"/>
        <v>7.49</v>
      </c>
      <c r="H1750" s="47" t="s">
        <v>24</v>
      </c>
      <c r="I1750" s="47" t="s">
        <v>58</v>
      </c>
      <c r="J1750" s="32"/>
    </row>
    <row r="1751" spans="1:10" x14ac:dyDescent="0.2">
      <c r="A1751" s="32"/>
      <c r="B1751" s="36" t="s">
        <v>2972</v>
      </c>
      <c r="C1751" s="37" t="s">
        <v>2921</v>
      </c>
      <c r="D1751" s="38" t="s">
        <v>2881</v>
      </c>
      <c r="E1751" s="39">
        <v>1</v>
      </c>
      <c r="F1751" s="40">
        <v>46.5</v>
      </c>
      <c r="G1751" s="40">
        <f t="shared" si="27"/>
        <v>46.5</v>
      </c>
      <c r="H1751" s="41" t="s">
        <v>24</v>
      </c>
      <c r="I1751" s="41" t="s">
        <v>58</v>
      </c>
      <c r="J1751" s="32"/>
    </row>
    <row r="1752" spans="1:10" x14ac:dyDescent="0.2">
      <c r="A1752" s="32"/>
      <c r="B1752" s="42" t="s">
        <v>2973</v>
      </c>
      <c r="C1752" s="43" t="s">
        <v>2921</v>
      </c>
      <c r="D1752" s="44" t="s">
        <v>2311</v>
      </c>
      <c r="E1752" s="45">
        <v>1</v>
      </c>
      <c r="F1752" s="46">
        <v>4.29</v>
      </c>
      <c r="G1752" s="46">
        <f t="shared" si="27"/>
        <v>4.29</v>
      </c>
      <c r="H1752" s="47" t="s">
        <v>24</v>
      </c>
      <c r="I1752" s="47" t="s">
        <v>58</v>
      </c>
      <c r="J1752" s="32"/>
    </row>
    <row r="1753" spans="1:10" x14ac:dyDescent="0.2">
      <c r="A1753" s="32"/>
      <c r="B1753" s="36" t="s">
        <v>2974</v>
      </c>
      <c r="C1753" s="37" t="s">
        <v>2921</v>
      </c>
      <c r="D1753" s="38" t="s">
        <v>2811</v>
      </c>
      <c r="E1753" s="39">
        <v>1</v>
      </c>
      <c r="F1753" s="40">
        <v>10.99</v>
      </c>
      <c r="G1753" s="40">
        <f t="shared" si="27"/>
        <v>10.99</v>
      </c>
      <c r="H1753" s="41" t="s">
        <v>24</v>
      </c>
      <c r="I1753" s="41" t="s">
        <v>58</v>
      </c>
      <c r="J1753" s="32"/>
    </row>
    <row r="1754" spans="1:10" x14ac:dyDescent="0.2">
      <c r="A1754" s="32"/>
      <c r="B1754" s="42" t="s">
        <v>2975</v>
      </c>
      <c r="C1754" s="43" t="s">
        <v>2921</v>
      </c>
      <c r="D1754" s="44" t="s">
        <v>2976</v>
      </c>
      <c r="E1754" s="45">
        <v>1</v>
      </c>
      <c r="F1754" s="46">
        <v>92.89</v>
      </c>
      <c r="G1754" s="46">
        <f t="shared" si="27"/>
        <v>92.89</v>
      </c>
      <c r="H1754" s="47" t="s">
        <v>24</v>
      </c>
      <c r="I1754" s="47" t="s">
        <v>58</v>
      </c>
      <c r="J1754" s="32"/>
    </row>
    <row r="1755" spans="1:10" x14ac:dyDescent="0.2">
      <c r="A1755" s="32"/>
      <c r="B1755" s="36" t="s">
        <v>2977</v>
      </c>
      <c r="C1755" s="37" t="s">
        <v>2921</v>
      </c>
      <c r="D1755" s="38" t="s">
        <v>2309</v>
      </c>
      <c r="E1755" s="39">
        <v>1</v>
      </c>
      <c r="F1755" s="40">
        <v>21.99</v>
      </c>
      <c r="G1755" s="40">
        <f t="shared" si="27"/>
        <v>21.99</v>
      </c>
      <c r="H1755" s="41" t="s">
        <v>24</v>
      </c>
      <c r="I1755" s="41" t="s">
        <v>58</v>
      </c>
      <c r="J1755" s="32"/>
    </row>
    <row r="1756" spans="1:10" x14ac:dyDescent="0.2">
      <c r="A1756" s="32"/>
      <c r="B1756" s="42" t="s">
        <v>2978</v>
      </c>
      <c r="C1756" s="43" t="s">
        <v>2921</v>
      </c>
      <c r="D1756" s="44" t="s">
        <v>2570</v>
      </c>
      <c r="E1756" s="45">
        <v>1</v>
      </c>
      <c r="F1756" s="46">
        <v>10.49</v>
      </c>
      <c r="G1756" s="46">
        <f t="shared" si="27"/>
        <v>10.49</v>
      </c>
      <c r="H1756" s="47" t="s">
        <v>24</v>
      </c>
      <c r="I1756" s="47" t="s">
        <v>58</v>
      </c>
      <c r="J1756" s="32"/>
    </row>
    <row r="1757" spans="1:10" x14ac:dyDescent="0.2">
      <c r="A1757" s="32"/>
      <c r="B1757" s="36" t="s">
        <v>2979</v>
      </c>
      <c r="C1757" s="37" t="s">
        <v>2921</v>
      </c>
      <c r="D1757" s="38" t="s">
        <v>81</v>
      </c>
      <c r="E1757" s="39">
        <v>1</v>
      </c>
      <c r="F1757" s="40">
        <v>4.99</v>
      </c>
      <c r="G1757" s="40">
        <f t="shared" si="27"/>
        <v>4.99</v>
      </c>
      <c r="H1757" s="41" t="s">
        <v>24</v>
      </c>
      <c r="I1757" s="41" t="s">
        <v>58</v>
      </c>
      <c r="J1757" s="32"/>
    </row>
    <row r="1758" spans="1:10" x14ac:dyDescent="0.2">
      <c r="A1758" s="32"/>
      <c r="B1758" s="42" t="s">
        <v>2980</v>
      </c>
      <c r="C1758" s="43" t="s">
        <v>2921</v>
      </c>
      <c r="D1758" s="44" t="s">
        <v>982</v>
      </c>
      <c r="E1758" s="45">
        <v>1</v>
      </c>
      <c r="F1758" s="46">
        <v>6.99</v>
      </c>
      <c r="G1758" s="46">
        <f t="shared" si="27"/>
        <v>6.99</v>
      </c>
      <c r="H1758" s="47" t="s">
        <v>24</v>
      </c>
      <c r="I1758" s="47" t="s">
        <v>58</v>
      </c>
      <c r="J1758" s="32"/>
    </row>
    <row r="1759" spans="1:10" x14ac:dyDescent="0.2">
      <c r="A1759" s="32"/>
      <c r="B1759" s="36" t="s">
        <v>2981</v>
      </c>
      <c r="C1759" s="37" t="s">
        <v>2921</v>
      </c>
      <c r="D1759" s="38" t="s">
        <v>2982</v>
      </c>
      <c r="E1759" s="39">
        <v>1</v>
      </c>
      <c r="F1759" s="40">
        <v>18.989999999999998</v>
      </c>
      <c r="G1759" s="40">
        <f t="shared" si="27"/>
        <v>18.989999999999998</v>
      </c>
      <c r="H1759" s="41" t="s">
        <v>24</v>
      </c>
      <c r="I1759" s="41" t="s">
        <v>58</v>
      </c>
      <c r="J1759" s="32"/>
    </row>
    <row r="1760" spans="1:10" x14ac:dyDescent="0.2">
      <c r="A1760" s="32"/>
      <c r="B1760" s="42" t="s">
        <v>2983</v>
      </c>
      <c r="C1760" s="43" t="s">
        <v>2921</v>
      </c>
      <c r="D1760" s="44" t="s">
        <v>2570</v>
      </c>
      <c r="E1760" s="45">
        <v>1</v>
      </c>
      <c r="F1760" s="46">
        <v>10.49</v>
      </c>
      <c r="G1760" s="46">
        <f t="shared" si="27"/>
        <v>10.49</v>
      </c>
      <c r="H1760" s="47" t="s">
        <v>24</v>
      </c>
      <c r="I1760" s="47" t="s">
        <v>58</v>
      </c>
      <c r="J1760" s="32"/>
    </row>
    <row r="1761" spans="1:10" x14ac:dyDescent="0.2">
      <c r="A1761" s="32"/>
      <c r="B1761" s="36" t="s">
        <v>2984</v>
      </c>
      <c r="C1761" s="37" t="s">
        <v>2921</v>
      </c>
      <c r="D1761" s="38" t="s">
        <v>76</v>
      </c>
      <c r="E1761" s="39">
        <v>1</v>
      </c>
      <c r="F1761" s="40">
        <v>6.99</v>
      </c>
      <c r="G1761" s="40">
        <f t="shared" si="27"/>
        <v>6.99</v>
      </c>
      <c r="H1761" s="41" t="s">
        <v>24</v>
      </c>
      <c r="I1761" s="41" t="s">
        <v>58</v>
      </c>
      <c r="J1761" s="32"/>
    </row>
    <row r="1762" spans="1:10" x14ac:dyDescent="0.2">
      <c r="A1762" s="32"/>
      <c r="B1762" s="42" t="s">
        <v>2985</v>
      </c>
      <c r="C1762" s="43" t="s">
        <v>2921</v>
      </c>
      <c r="D1762" s="44" t="s">
        <v>38</v>
      </c>
      <c r="E1762" s="45">
        <v>1</v>
      </c>
      <c r="F1762" s="46">
        <v>7.99</v>
      </c>
      <c r="G1762" s="46">
        <f t="shared" si="27"/>
        <v>7.99</v>
      </c>
      <c r="H1762" s="47" t="s">
        <v>24</v>
      </c>
      <c r="I1762" s="47" t="s">
        <v>58</v>
      </c>
      <c r="J1762" s="32"/>
    </row>
    <row r="1763" spans="1:10" x14ac:dyDescent="0.2">
      <c r="A1763" s="32"/>
      <c r="B1763" s="36" t="s">
        <v>2986</v>
      </c>
      <c r="C1763" s="37" t="s">
        <v>2921</v>
      </c>
      <c r="D1763" s="38" t="s">
        <v>43</v>
      </c>
      <c r="E1763" s="39">
        <v>1</v>
      </c>
      <c r="F1763" s="40">
        <v>2.4900000000000002</v>
      </c>
      <c r="G1763" s="40">
        <f t="shared" si="27"/>
        <v>2.4900000000000002</v>
      </c>
      <c r="H1763" s="41" t="s">
        <v>24</v>
      </c>
      <c r="I1763" s="41" t="s">
        <v>58</v>
      </c>
      <c r="J1763" s="32"/>
    </row>
    <row r="1764" spans="1:10" x14ac:dyDescent="0.2">
      <c r="A1764" s="32"/>
      <c r="B1764" s="42" t="s">
        <v>2987</v>
      </c>
      <c r="C1764" s="43" t="s">
        <v>2921</v>
      </c>
      <c r="D1764" s="44" t="s">
        <v>2582</v>
      </c>
      <c r="E1764" s="45">
        <v>1</v>
      </c>
      <c r="F1764" s="46">
        <v>5.99</v>
      </c>
      <c r="G1764" s="46">
        <f t="shared" si="27"/>
        <v>5.99</v>
      </c>
      <c r="H1764" s="47" t="s">
        <v>24</v>
      </c>
      <c r="I1764" s="47" t="s">
        <v>58</v>
      </c>
      <c r="J1764" s="32"/>
    </row>
    <row r="1765" spans="1:10" x14ac:dyDescent="0.2">
      <c r="A1765" s="32"/>
      <c r="B1765" s="36" t="s">
        <v>2988</v>
      </c>
      <c r="C1765" s="37" t="s">
        <v>2921</v>
      </c>
      <c r="D1765" s="38" t="s">
        <v>2989</v>
      </c>
      <c r="E1765" s="39">
        <v>1</v>
      </c>
      <c r="F1765" s="40">
        <v>49.99</v>
      </c>
      <c r="G1765" s="40">
        <f t="shared" si="27"/>
        <v>49.99</v>
      </c>
      <c r="H1765" s="41" t="s">
        <v>24</v>
      </c>
      <c r="I1765" s="41" t="s">
        <v>58</v>
      </c>
      <c r="J1765" s="32"/>
    </row>
    <row r="1766" spans="1:10" x14ac:dyDescent="0.2">
      <c r="A1766" s="32"/>
      <c r="B1766" s="42" t="s">
        <v>2990</v>
      </c>
      <c r="C1766" s="43" t="s">
        <v>2921</v>
      </c>
      <c r="D1766" s="44" t="s">
        <v>2991</v>
      </c>
      <c r="E1766" s="45">
        <v>1</v>
      </c>
      <c r="F1766" s="46">
        <v>25.69</v>
      </c>
      <c r="G1766" s="46">
        <f t="shared" si="27"/>
        <v>25.69</v>
      </c>
      <c r="H1766" s="47" t="s">
        <v>24</v>
      </c>
      <c r="I1766" s="47" t="s">
        <v>58</v>
      </c>
      <c r="J1766" s="32"/>
    </row>
    <row r="1767" spans="1:10" x14ac:dyDescent="0.2">
      <c r="A1767" s="32"/>
      <c r="B1767" s="36" t="s">
        <v>2992</v>
      </c>
      <c r="C1767" s="37" t="s">
        <v>2921</v>
      </c>
      <c r="D1767" s="38" t="s">
        <v>2993</v>
      </c>
      <c r="E1767" s="39">
        <v>1</v>
      </c>
      <c r="F1767" s="40">
        <v>2.29</v>
      </c>
      <c r="G1767" s="40">
        <f t="shared" si="27"/>
        <v>2.29</v>
      </c>
      <c r="H1767" s="41" t="s">
        <v>24</v>
      </c>
      <c r="I1767" s="41" t="s">
        <v>58</v>
      </c>
      <c r="J1767" s="32"/>
    </row>
    <row r="1768" spans="1:10" x14ac:dyDescent="0.2">
      <c r="A1768" s="32"/>
      <c r="B1768" s="42" t="s">
        <v>2994</v>
      </c>
      <c r="C1768" s="43" t="s">
        <v>2921</v>
      </c>
      <c r="D1768" s="44" t="s">
        <v>2507</v>
      </c>
      <c r="E1768" s="45">
        <v>1</v>
      </c>
      <c r="F1768" s="46">
        <v>17.989999999999998</v>
      </c>
      <c r="G1768" s="46">
        <f t="shared" si="27"/>
        <v>17.989999999999998</v>
      </c>
      <c r="H1768" s="47" t="s">
        <v>25</v>
      </c>
      <c r="I1768" s="47" t="s">
        <v>58</v>
      </c>
      <c r="J1768" s="32"/>
    </row>
    <row r="1769" spans="1:10" x14ac:dyDescent="0.2">
      <c r="A1769" s="32"/>
      <c r="B1769" s="36" t="s">
        <v>2995</v>
      </c>
      <c r="C1769" s="37" t="s">
        <v>2921</v>
      </c>
      <c r="D1769" s="38" t="s">
        <v>2996</v>
      </c>
      <c r="E1769" s="39">
        <v>1</v>
      </c>
      <c r="F1769" s="40">
        <v>19.989999999999998</v>
      </c>
      <c r="G1769" s="40">
        <f t="shared" si="27"/>
        <v>19.989999999999998</v>
      </c>
      <c r="H1769" s="41" t="s">
        <v>24</v>
      </c>
      <c r="I1769" s="41" t="s">
        <v>58</v>
      </c>
      <c r="J1769" s="32"/>
    </row>
    <row r="1770" spans="1:10" x14ac:dyDescent="0.2">
      <c r="A1770" s="32"/>
      <c r="B1770" s="42" t="s">
        <v>2997</v>
      </c>
      <c r="C1770" s="43" t="s">
        <v>2921</v>
      </c>
      <c r="D1770" s="44" t="s">
        <v>2840</v>
      </c>
      <c r="E1770" s="45">
        <v>1</v>
      </c>
      <c r="F1770" s="46">
        <v>59.99</v>
      </c>
      <c r="G1770" s="46">
        <f t="shared" si="27"/>
        <v>59.99</v>
      </c>
      <c r="H1770" s="47" t="s">
        <v>24</v>
      </c>
      <c r="I1770" s="47" t="s">
        <v>58</v>
      </c>
      <c r="J1770" s="32"/>
    </row>
    <row r="1771" spans="1:10" x14ac:dyDescent="0.2">
      <c r="A1771" s="32"/>
      <c r="B1771" s="36" t="s">
        <v>2998</v>
      </c>
      <c r="C1771" s="37" t="s">
        <v>2921</v>
      </c>
      <c r="D1771" s="38" t="s">
        <v>2999</v>
      </c>
      <c r="E1771" s="39">
        <v>1</v>
      </c>
      <c r="F1771" s="40">
        <v>8.39</v>
      </c>
      <c r="G1771" s="40">
        <f t="shared" si="27"/>
        <v>8.39</v>
      </c>
      <c r="H1771" s="41" t="s">
        <v>24</v>
      </c>
      <c r="I1771" s="41" t="s">
        <v>58</v>
      </c>
      <c r="J1771" s="32"/>
    </row>
    <row r="1772" spans="1:10" x14ac:dyDescent="0.2">
      <c r="A1772" s="32"/>
      <c r="B1772" s="42" t="s">
        <v>3000</v>
      </c>
      <c r="C1772" s="43" t="s">
        <v>2921</v>
      </c>
      <c r="D1772" s="44" t="s">
        <v>2620</v>
      </c>
      <c r="E1772" s="45">
        <v>1</v>
      </c>
      <c r="F1772" s="46">
        <v>21.59</v>
      </c>
      <c r="G1772" s="46">
        <f t="shared" si="27"/>
        <v>21.59</v>
      </c>
      <c r="H1772" s="47" t="s">
        <v>24</v>
      </c>
      <c r="I1772" s="47" t="s">
        <v>58</v>
      </c>
      <c r="J1772" s="32"/>
    </row>
    <row r="1773" spans="1:10" x14ac:dyDescent="0.2">
      <c r="A1773" s="32"/>
      <c r="B1773" s="36" t="s">
        <v>3001</v>
      </c>
      <c r="C1773" s="37" t="s">
        <v>3002</v>
      </c>
      <c r="D1773" s="38" t="s">
        <v>3003</v>
      </c>
      <c r="E1773" s="39">
        <v>1</v>
      </c>
      <c r="F1773" s="40">
        <v>12.9</v>
      </c>
      <c r="G1773" s="40">
        <f t="shared" si="27"/>
        <v>12.9</v>
      </c>
      <c r="H1773" s="41" t="s">
        <v>24</v>
      </c>
      <c r="I1773" s="41" t="s">
        <v>58</v>
      </c>
      <c r="J1773" s="32"/>
    </row>
    <row r="1774" spans="1:10" x14ac:dyDescent="0.2">
      <c r="A1774" s="32"/>
      <c r="B1774" s="42" t="s">
        <v>3004</v>
      </c>
      <c r="C1774" s="43" t="s">
        <v>3002</v>
      </c>
      <c r="D1774" s="44" t="s">
        <v>3005</v>
      </c>
      <c r="E1774" s="45">
        <v>1</v>
      </c>
      <c r="F1774" s="46">
        <v>4</v>
      </c>
      <c r="G1774" s="46">
        <f t="shared" si="27"/>
        <v>4</v>
      </c>
      <c r="H1774" s="47" t="s">
        <v>24</v>
      </c>
      <c r="I1774" s="47" t="s">
        <v>3006</v>
      </c>
      <c r="J1774" s="32"/>
    </row>
    <row r="1775" spans="1:10" x14ac:dyDescent="0.2">
      <c r="A1775" s="32"/>
      <c r="B1775" s="36" t="s">
        <v>3007</v>
      </c>
      <c r="C1775" s="37" t="s">
        <v>3002</v>
      </c>
      <c r="D1775" s="38" t="s">
        <v>3008</v>
      </c>
      <c r="E1775" s="39">
        <v>1</v>
      </c>
      <c r="F1775" s="40">
        <v>3.75</v>
      </c>
      <c r="G1775" s="40">
        <f t="shared" si="27"/>
        <v>3.75</v>
      </c>
      <c r="H1775" s="41" t="s">
        <v>24</v>
      </c>
      <c r="I1775" s="41" t="s">
        <v>58</v>
      </c>
      <c r="J1775" s="32"/>
    </row>
    <row r="1776" spans="1:10" x14ac:dyDescent="0.2">
      <c r="A1776" s="32"/>
      <c r="B1776" s="42" t="s">
        <v>3009</v>
      </c>
      <c r="C1776" s="43" t="s">
        <v>3002</v>
      </c>
      <c r="D1776" s="44" t="s">
        <v>3010</v>
      </c>
      <c r="E1776" s="45">
        <v>1</v>
      </c>
      <c r="F1776" s="46">
        <v>1.1499999999999999</v>
      </c>
      <c r="G1776" s="46">
        <f t="shared" si="27"/>
        <v>1.1499999999999999</v>
      </c>
      <c r="H1776" s="47" t="s">
        <v>24</v>
      </c>
      <c r="I1776" s="47" t="s">
        <v>58</v>
      </c>
      <c r="J1776" s="32"/>
    </row>
    <row r="1777" spans="1:10" x14ac:dyDescent="0.2">
      <c r="A1777" s="32"/>
      <c r="B1777" s="36" t="s">
        <v>3011</v>
      </c>
      <c r="C1777" s="37" t="s">
        <v>3002</v>
      </c>
      <c r="D1777" s="38" t="s">
        <v>3012</v>
      </c>
      <c r="E1777" s="39">
        <v>1</v>
      </c>
      <c r="F1777" s="40">
        <v>7.1</v>
      </c>
      <c r="G1777" s="40">
        <f t="shared" si="27"/>
        <v>7.1</v>
      </c>
      <c r="H1777" s="41" t="s">
        <v>24</v>
      </c>
      <c r="I1777" s="41" t="s">
        <v>3006</v>
      </c>
      <c r="J1777" s="32"/>
    </row>
    <row r="1778" spans="1:10" x14ac:dyDescent="0.2">
      <c r="A1778" s="32"/>
      <c r="B1778" s="42" t="s">
        <v>3013</v>
      </c>
      <c r="C1778" s="43" t="s">
        <v>3002</v>
      </c>
      <c r="D1778" s="44" t="s">
        <v>3003</v>
      </c>
      <c r="E1778" s="45">
        <v>1</v>
      </c>
      <c r="F1778" s="46">
        <v>12.9</v>
      </c>
      <c r="G1778" s="46">
        <f t="shared" si="27"/>
        <v>12.9</v>
      </c>
      <c r="H1778" s="47" t="s">
        <v>24</v>
      </c>
      <c r="I1778" s="47" t="s">
        <v>58</v>
      </c>
      <c r="J1778" s="32"/>
    </row>
    <row r="1779" spans="1:10" x14ac:dyDescent="0.2">
      <c r="A1779" s="32"/>
      <c r="B1779" s="36" t="s">
        <v>3014</v>
      </c>
      <c r="C1779" s="37" t="s">
        <v>3002</v>
      </c>
      <c r="D1779" s="38" t="s">
        <v>3008</v>
      </c>
      <c r="E1779" s="39">
        <v>1</v>
      </c>
      <c r="F1779" s="40">
        <v>3.75</v>
      </c>
      <c r="G1779" s="40">
        <f t="shared" si="27"/>
        <v>3.75</v>
      </c>
      <c r="H1779" s="41" t="s">
        <v>24</v>
      </c>
      <c r="I1779" s="41" t="s">
        <v>58</v>
      </c>
      <c r="J1779" s="32"/>
    </row>
    <row r="1780" spans="1:10" x14ac:dyDescent="0.2">
      <c r="A1780" s="32"/>
      <c r="B1780" s="42" t="s">
        <v>3015</v>
      </c>
      <c r="C1780" s="43" t="s">
        <v>3002</v>
      </c>
      <c r="D1780" s="44" t="s">
        <v>3010</v>
      </c>
      <c r="E1780" s="45">
        <v>1</v>
      </c>
      <c r="F1780" s="46">
        <v>1.1499999999999999</v>
      </c>
      <c r="G1780" s="46">
        <f t="shared" si="27"/>
        <v>1.1499999999999999</v>
      </c>
      <c r="H1780" s="47" t="s">
        <v>24</v>
      </c>
      <c r="I1780" s="47" t="s">
        <v>58</v>
      </c>
      <c r="J1780" s="32"/>
    </row>
    <row r="1781" spans="1:10" x14ac:dyDescent="0.2">
      <c r="A1781" s="32"/>
      <c r="B1781" s="36" t="s">
        <v>3016</v>
      </c>
      <c r="C1781" s="37" t="s">
        <v>3002</v>
      </c>
      <c r="D1781" s="38" t="s">
        <v>3012</v>
      </c>
      <c r="E1781" s="39">
        <v>1</v>
      </c>
      <c r="F1781" s="40">
        <v>7.1</v>
      </c>
      <c r="G1781" s="40">
        <f t="shared" si="27"/>
        <v>7.1</v>
      </c>
      <c r="H1781" s="41" t="s">
        <v>24</v>
      </c>
      <c r="I1781" s="41" t="s">
        <v>3006</v>
      </c>
      <c r="J1781" s="32"/>
    </row>
    <row r="1782" spans="1:10" x14ac:dyDescent="0.2">
      <c r="A1782" s="32"/>
      <c r="B1782" s="42" t="s">
        <v>3017</v>
      </c>
      <c r="C1782" s="43" t="s">
        <v>3002</v>
      </c>
      <c r="D1782" s="44" t="s">
        <v>3018</v>
      </c>
      <c r="E1782" s="45">
        <v>1</v>
      </c>
      <c r="F1782" s="46">
        <v>5</v>
      </c>
      <c r="G1782" s="46">
        <f t="shared" si="27"/>
        <v>5</v>
      </c>
      <c r="H1782" s="47" t="s">
        <v>24</v>
      </c>
      <c r="I1782" s="47" t="s">
        <v>3006</v>
      </c>
      <c r="J1782" s="32"/>
    </row>
    <row r="1783" spans="1:10" x14ac:dyDescent="0.2">
      <c r="A1783" s="32"/>
      <c r="B1783" s="36" t="s">
        <v>3019</v>
      </c>
      <c r="C1783" s="37" t="s">
        <v>3002</v>
      </c>
      <c r="D1783" s="38" t="s">
        <v>3020</v>
      </c>
      <c r="E1783" s="39">
        <v>1</v>
      </c>
      <c r="F1783" s="40">
        <v>15</v>
      </c>
      <c r="G1783" s="40">
        <f t="shared" si="27"/>
        <v>15</v>
      </c>
      <c r="H1783" s="41" t="s">
        <v>24</v>
      </c>
      <c r="I1783" s="41" t="s">
        <v>58</v>
      </c>
      <c r="J1783" s="32"/>
    </row>
    <row r="1784" spans="1:10" x14ac:dyDescent="0.2">
      <c r="A1784" s="32"/>
      <c r="B1784" s="42" t="s">
        <v>3021</v>
      </c>
      <c r="C1784" s="43" t="s">
        <v>3002</v>
      </c>
      <c r="D1784" s="44" t="s">
        <v>3022</v>
      </c>
      <c r="E1784" s="45">
        <v>1</v>
      </c>
      <c r="F1784" s="46">
        <v>15.5</v>
      </c>
      <c r="G1784" s="46">
        <f t="shared" si="27"/>
        <v>15.5</v>
      </c>
      <c r="H1784" s="47" t="s">
        <v>24</v>
      </c>
      <c r="I1784" s="47" t="s">
        <v>3006</v>
      </c>
      <c r="J1784" s="32"/>
    </row>
    <row r="1785" spans="1:10" x14ac:dyDescent="0.2">
      <c r="A1785" s="32"/>
      <c r="B1785" s="36" t="s">
        <v>3023</v>
      </c>
      <c r="C1785" s="37" t="s">
        <v>3002</v>
      </c>
      <c r="D1785" s="38" t="s">
        <v>3024</v>
      </c>
      <c r="E1785" s="39">
        <v>1</v>
      </c>
      <c r="F1785" s="40">
        <v>5.5</v>
      </c>
      <c r="G1785" s="40">
        <f t="shared" si="27"/>
        <v>5.5</v>
      </c>
      <c r="H1785" s="41" t="s">
        <v>24</v>
      </c>
      <c r="I1785" s="41" t="s">
        <v>58</v>
      </c>
      <c r="J1785" s="32"/>
    </row>
    <row r="1786" spans="1:10" x14ac:dyDescent="0.2">
      <c r="A1786" s="32"/>
      <c r="B1786" s="42" t="s">
        <v>3025</v>
      </c>
      <c r="C1786" s="43" t="s">
        <v>3002</v>
      </c>
      <c r="D1786" s="44" t="s">
        <v>3026</v>
      </c>
      <c r="E1786" s="45">
        <v>1</v>
      </c>
      <c r="F1786" s="46">
        <v>15.9</v>
      </c>
      <c r="G1786" s="46">
        <f t="shared" si="27"/>
        <v>15.9</v>
      </c>
      <c r="H1786" s="47" t="s">
        <v>24</v>
      </c>
      <c r="I1786" s="47" t="s">
        <v>58</v>
      </c>
      <c r="J1786" s="32"/>
    </row>
    <row r="1787" spans="1:10" x14ac:dyDescent="0.2">
      <c r="A1787" s="32"/>
      <c r="B1787" s="36" t="s">
        <v>3027</v>
      </c>
      <c r="C1787" s="37" t="s">
        <v>3002</v>
      </c>
      <c r="D1787" s="38" t="s">
        <v>3022</v>
      </c>
      <c r="E1787" s="39">
        <v>1</v>
      </c>
      <c r="F1787" s="40">
        <v>15.5</v>
      </c>
      <c r="G1787" s="40">
        <f t="shared" si="27"/>
        <v>15.5</v>
      </c>
      <c r="H1787" s="41" t="s">
        <v>24</v>
      </c>
      <c r="I1787" s="41" t="s">
        <v>3006</v>
      </c>
      <c r="J1787" s="32"/>
    </row>
    <row r="1788" spans="1:10" x14ac:dyDescent="0.2">
      <c r="A1788" s="32"/>
      <c r="B1788" s="42" t="s">
        <v>3028</v>
      </c>
      <c r="C1788" s="43" t="s">
        <v>3002</v>
      </c>
      <c r="D1788" s="44" t="s">
        <v>3024</v>
      </c>
      <c r="E1788" s="45">
        <v>1</v>
      </c>
      <c r="F1788" s="46">
        <v>5.5</v>
      </c>
      <c r="G1788" s="46">
        <f t="shared" si="27"/>
        <v>5.5</v>
      </c>
      <c r="H1788" s="47" t="s">
        <v>24</v>
      </c>
      <c r="I1788" s="47" t="s">
        <v>58</v>
      </c>
      <c r="J1788" s="32"/>
    </row>
    <row r="1789" spans="1:10" x14ac:dyDescent="0.2">
      <c r="A1789" s="32"/>
      <c r="B1789" s="36" t="s">
        <v>3029</v>
      </c>
      <c r="C1789" s="37" t="s">
        <v>3002</v>
      </c>
      <c r="D1789" s="38" t="s">
        <v>3030</v>
      </c>
      <c r="E1789" s="39">
        <v>1</v>
      </c>
      <c r="F1789" s="40">
        <v>14.9</v>
      </c>
      <c r="G1789" s="40">
        <f t="shared" si="27"/>
        <v>14.9</v>
      </c>
      <c r="H1789" s="41" t="s">
        <v>24</v>
      </c>
      <c r="I1789" s="41" t="s">
        <v>58</v>
      </c>
      <c r="J1789" s="32"/>
    </row>
    <row r="1790" spans="1:10" x14ac:dyDescent="0.2">
      <c r="A1790" s="32"/>
      <c r="B1790" s="42" t="s">
        <v>3031</v>
      </c>
      <c r="C1790" s="43" t="s">
        <v>3002</v>
      </c>
      <c r="D1790" s="44" t="s">
        <v>3022</v>
      </c>
      <c r="E1790" s="45">
        <v>1</v>
      </c>
      <c r="F1790" s="46">
        <v>15.5</v>
      </c>
      <c r="G1790" s="46">
        <f t="shared" si="27"/>
        <v>15.5</v>
      </c>
      <c r="H1790" s="47" t="s">
        <v>24</v>
      </c>
      <c r="I1790" s="47" t="s">
        <v>3006</v>
      </c>
      <c r="J1790" s="32"/>
    </row>
    <row r="1791" spans="1:10" x14ac:dyDescent="0.2">
      <c r="A1791" s="32"/>
      <c r="B1791" s="36" t="s">
        <v>3032</v>
      </c>
      <c r="C1791" s="37" t="s">
        <v>3002</v>
      </c>
      <c r="D1791" s="38" t="s">
        <v>3024</v>
      </c>
      <c r="E1791" s="39">
        <v>1</v>
      </c>
      <c r="F1791" s="40">
        <v>5.5</v>
      </c>
      <c r="G1791" s="40">
        <f t="shared" si="27"/>
        <v>5.5</v>
      </c>
      <c r="H1791" s="41" t="s">
        <v>24</v>
      </c>
      <c r="I1791" s="41" t="s">
        <v>58</v>
      </c>
      <c r="J1791" s="32"/>
    </row>
    <row r="1792" spans="1:10" x14ac:dyDescent="0.2">
      <c r="A1792" s="32"/>
      <c r="B1792" s="42" t="s">
        <v>3033</v>
      </c>
      <c r="C1792" s="43" t="s">
        <v>3002</v>
      </c>
      <c r="D1792" s="44" t="s">
        <v>3034</v>
      </c>
      <c r="E1792" s="45">
        <v>1</v>
      </c>
      <c r="F1792" s="46">
        <v>14.9</v>
      </c>
      <c r="G1792" s="46">
        <f t="shared" si="27"/>
        <v>14.9</v>
      </c>
      <c r="H1792" s="47" t="s">
        <v>24</v>
      </c>
      <c r="I1792" s="47" t="s">
        <v>58</v>
      </c>
      <c r="J1792" s="32"/>
    </row>
    <row r="1793" spans="1:10" x14ac:dyDescent="0.2">
      <c r="A1793" s="32"/>
      <c r="B1793" s="36" t="s">
        <v>3035</v>
      </c>
      <c r="C1793" s="37" t="s">
        <v>2744</v>
      </c>
      <c r="D1793" s="38" t="s">
        <v>3036</v>
      </c>
      <c r="E1793" s="39">
        <v>1</v>
      </c>
      <c r="F1793" s="40">
        <v>51.28</v>
      </c>
      <c r="G1793" s="40">
        <f t="shared" si="27"/>
        <v>51.28</v>
      </c>
      <c r="H1793" s="41" t="s">
        <v>25</v>
      </c>
      <c r="I1793" s="41" t="s">
        <v>58</v>
      </c>
      <c r="J1793" s="32"/>
    </row>
    <row r="1794" spans="1:10" x14ac:dyDescent="0.2">
      <c r="A1794" s="32"/>
      <c r="B1794" s="42" t="s">
        <v>3037</v>
      </c>
      <c r="C1794" s="43" t="s">
        <v>3038</v>
      </c>
      <c r="D1794" s="44" t="s">
        <v>2289</v>
      </c>
      <c r="E1794" s="45">
        <v>1</v>
      </c>
      <c r="F1794" s="46">
        <v>53.9</v>
      </c>
      <c r="G1794" s="46">
        <f t="shared" si="27"/>
        <v>53.9</v>
      </c>
      <c r="H1794" s="47" t="s">
        <v>24</v>
      </c>
      <c r="I1794" s="47" t="s">
        <v>58</v>
      </c>
      <c r="J1794" s="32"/>
    </row>
    <row r="1795" spans="1:10" x14ac:dyDescent="0.2">
      <c r="A1795" s="32"/>
      <c r="B1795" s="36" t="s">
        <v>3039</v>
      </c>
      <c r="C1795" s="37" t="s">
        <v>3038</v>
      </c>
      <c r="D1795" s="38" t="s">
        <v>3040</v>
      </c>
      <c r="E1795" s="39">
        <v>1</v>
      </c>
      <c r="F1795" s="40">
        <v>13</v>
      </c>
      <c r="G1795" s="40">
        <f t="shared" si="27"/>
        <v>13</v>
      </c>
      <c r="H1795" s="41" t="s">
        <v>24</v>
      </c>
      <c r="I1795" s="41" t="s">
        <v>58</v>
      </c>
      <c r="J1795" s="32"/>
    </row>
    <row r="1796" spans="1:10" x14ac:dyDescent="0.2">
      <c r="A1796" s="32"/>
      <c r="B1796" s="42" t="s">
        <v>3041</v>
      </c>
      <c r="C1796" s="43" t="s">
        <v>3038</v>
      </c>
      <c r="D1796" s="44" t="s">
        <v>3042</v>
      </c>
      <c r="E1796" s="45">
        <v>1</v>
      </c>
      <c r="F1796" s="46">
        <v>53.9</v>
      </c>
      <c r="G1796" s="46">
        <f t="shared" si="27"/>
        <v>53.9</v>
      </c>
      <c r="H1796" s="47" t="s">
        <v>24</v>
      </c>
      <c r="I1796" s="47" t="s">
        <v>58</v>
      </c>
      <c r="J1796" s="32"/>
    </row>
    <row r="1797" spans="1:10" x14ac:dyDescent="0.2">
      <c r="A1797" s="32"/>
      <c r="B1797" s="36" t="s">
        <v>3043</v>
      </c>
      <c r="C1797" s="37" t="s">
        <v>3044</v>
      </c>
      <c r="D1797" s="38" t="s">
        <v>2289</v>
      </c>
      <c r="E1797" s="39">
        <v>1</v>
      </c>
      <c r="F1797" s="40">
        <v>53.9</v>
      </c>
      <c r="G1797" s="40">
        <f t="shared" ref="G1797:G1860" si="28">E1797*F1797</f>
        <v>53.9</v>
      </c>
      <c r="H1797" s="41" t="s">
        <v>24</v>
      </c>
      <c r="I1797" s="41" t="s">
        <v>58</v>
      </c>
      <c r="J1797" s="32"/>
    </row>
    <row r="1798" spans="1:10" x14ac:dyDescent="0.2">
      <c r="A1798" s="32"/>
      <c r="B1798" s="42" t="s">
        <v>3045</v>
      </c>
      <c r="C1798" s="43" t="s">
        <v>3044</v>
      </c>
      <c r="D1798" s="44" t="s">
        <v>2291</v>
      </c>
      <c r="E1798" s="45">
        <v>1</v>
      </c>
      <c r="F1798" s="46">
        <v>53.9</v>
      </c>
      <c r="G1798" s="46">
        <f t="shared" si="28"/>
        <v>53.9</v>
      </c>
      <c r="H1798" s="47" t="s">
        <v>24</v>
      </c>
      <c r="I1798" s="47" t="s">
        <v>58</v>
      </c>
      <c r="J1798" s="32"/>
    </row>
    <row r="1799" spans="1:10" x14ac:dyDescent="0.2">
      <c r="A1799" s="32"/>
      <c r="B1799" s="36" t="s">
        <v>3046</v>
      </c>
      <c r="C1799" s="37" t="s">
        <v>3044</v>
      </c>
      <c r="D1799" s="38" t="s">
        <v>3040</v>
      </c>
      <c r="E1799" s="39">
        <v>1</v>
      </c>
      <c r="F1799" s="40">
        <v>13</v>
      </c>
      <c r="G1799" s="40">
        <f t="shared" si="28"/>
        <v>13</v>
      </c>
      <c r="H1799" s="41" t="s">
        <v>24</v>
      </c>
      <c r="I1799" s="41" t="s">
        <v>58</v>
      </c>
      <c r="J1799" s="32"/>
    </row>
    <row r="1800" spans="1:10" x14ac:dyDescent="0.2">
      <c r="A1800" s="32"/>
      <c r="B1800" s="42" t="s">
        <v>3047</v>
      </c>
      <c r="C1800" s="43" t="s">
        <v>3048</v>
      </c>
      <c r="D1800" s="44" t="s">
        <v>2289</v>
      </c>
      <c r="E1800" s="45">
        <v>1</v>
      </c>
      <c r="F1800" s="46">
        <v>53.9</v>
      </c>
      <c r="G1800" s="46">
        <f t="shared" si="28"/>
        <v>53.9</v>
      </c>
      <c r="H1800" s="47" t="s">
        <v>24</v>
      </c>
      <c r="I1800" s="47" t="s">
        <v>58</v>
      </c>
      <c r="J1800" s="32"/>
    </row>
    <row r="1801" spans="1:10" x14ac:dyDescent="0.2">
      <c r="A1801" s="32"/>
      <c r="B1801" s="36" t="s">
        <v>3049</v>
      </c>
      <c r="C1801" s="37" t="s">
        <v>3048</v>
      </c>
      <c r="D1801" s="38" t="s">
        <v>2291</v>
      </c>
      <c r="E1801" s="39">
        <v>1</v>
      </c>
      <c r="F1801" s="40">
        <v>53.9</v>
      </c>
      <c r="G1801" s="40">
        <f t="shared" si="28"/>
        <v>53.9</v>
      </c>
      <c r="H1801" s="41" t="s">
        <v>24</v>
      </c>
      <c r="I1801" s="41" t="s">
        <v>58</v>
      </c>
      <c r="J1801" s="32"/>
    </row>
    <row r="1802" spans="1:10" x14ac:dyDescent="0.2">
      <c r="A1802" s="32"/>
      <c r="B1802" s="42" t="s">
        <v>3050</v>
      </c>
      <c r="C1802" s="43" t="s">
        <v>3048</v>
      </c>
      <c r="D1802" s="44" t="s">
        <v>3040</v>
      </c>
      <c r="E1802" s="45">
        <v>1</v>
      </c>
      <c r="F1802" s="46">
        <v>13</v>
      </c>
      <c r="G1802" s="46">
        <f t="shared" si="28"/>
        <v>13</v>
      </c>
      <c r="H1802" s="47" t="s">
        <v>24</v>
      </c>
      <c r="I1802" s="47" t="s">
        <v>58</v>
      </c>
      <c r="J1802" s="32"/>
    </row>
    <row r="1803" spans="1:10" x14ac:dyDescent="0.2">
      <c r="A1803" s="32"/>
      <c r="B1803" s="36" t="s">
        <v>3051</v>
      </c>
      <c r="C1803" s="37" t="s">
        <v>3052</v>
      </c>
      <c r="D1803" s="38" t="s">
        <v>3053</v>
      </c>
      <c r="E1803" s="39">
        <v>1</v>
      </c>
      <c r="F1803" s="40">
        <v>3.64</v>
      </c>
      <c r="G1803" s="40">
        <f t="shared" si="28"/>
        <v>3.64</v>
      </c>
      <c r="H1803" s="41" t="s">
        <v>24</v>
      </c>
      <c r="I1803" s="41" t="s">
        <v>58</v>
      </c>
      <c r="J1803" s="32"/>
    </row>
    <row r="1804" spans="1:10" x14ac:dyDescent="0.2">
      <c r="A1804" s="32"/>
      <c r="B1804" s="42" t="s">
        <v>3054</v>
      </c>
      <c r="C1804" s="43" t="s">
        <v>3052</v>
      </c>
      <c r="D1804" s="44" t="s">
        <v>43</v>
      </c>
      <c r="E1804" s="45">
        <v>1</v>
      </c>
      <c r="F1804" s="46">
        <v>2.4900000000000002</v>
      </c>
      <c r="G1804" s="46">
        <f t="shared" si="28"/>
        <v>2.4900000000000002</v>
      </c>
      <c r="H1804" s="47" t="s">
        <v>24</v>
      </c>
      <c r="I1804" s="47" t="s">
        <v>58</v>
      </c>
      <c r="J1804" s="32"/>
    </row>
    <row r="1805" spans="1:10" x14ac:dyDescent="0.2">
      <c r="A1805" s="32"/>
      <c r="B1805" s="36" t="s">
        <v>3055</v>
      </c>
      <c r="C1805" s="37" t="s">
        <v>3052</v>
      </c>
      <c r="D1805" s="38" t="s">
        <v>2564</v>
      </c>
      <c r="E1805" s="39">
        <v>1</v>
      </c>
      <c r="F1805" s="40">
        <v>21.99</v>
      </c>
      <c r="G1805" s="40">
        <f t="shared" si="28"/>
        <v>21.99</v>
      </c>
      <c r="H1805" s="41" t="s">
        <v>24</v>
      </c>
      <c r="I1805" s="41" t="s">
        <v>58</v>
      </c>
      <c r="J1805" s="32"/>
    </row>
    <row r="1806" spans="1:10" x14ac:dyDescent="0.2">
      <c r="A1806" s="32"/>
      <c r="B1806" s="42" t="s">
        <v>3056</v>
      </c>
      <c r="C1806" s="43" t="s">
        <v>3052</v>
      </c>
      <c r="D1806" s="44" t="s">
        <v>2767</v>
      </c>
      <c r="E1806" s="45">
        <v>1</v>
      </c>
      <c r="F1806" s="46">
        <v>12.99</v>
      </c>
      <c r="G1806" s="46">
        <f t="shared" si="28"/>
        <v>12.99</v>
      </c>
      <c r="H1806" s="47" t="s">
        <v>24</v>
      </c>
      <c r="I1806" s="47" t="s">
        <v>58</v>
      </c>
      <c r="J1806" s="32"/>
    </row>
    <row r="1807" spans="1:10" x14ac:dyDescent="0.2">
      <c r="A1807" s="32"/>
      <c r="B1807" s="36" t="s">
        <v>3057</v>
      </c>
      <c r="C1807" s="37" t="s">
        <v>3052</v>
      </c>
      <c r="D1807" s="38" t="s">
        <v>2678</v>
      </c>
      <c r="E1807" s="39">
        <v>1</v>
      </c>
      <c r="F1807" s="40">
        <v>3.99</v>
      </c>
      <c r="G1807" s="40">
        <f t="shared" si="28"/>
        <v>3.99</v>
      </c>
      <c r="H1807" s="41" t="s">
        <v>24</v>
      </c>
      <c r="I1807" s="41" t="s">
        <v>58</v>
      </c>
      <c r="J1807" s="32"/>
    </row>
    <row r="1808" spans="1:10" x14ac:dyDescent="0.2">
      <c r="A1808" s="32"/>
      <c r="B1808" s="42" t="s">
        <v>3058</v>
      </c>
      <c r="C1808" s="43" t="s">
        <v>3052</v>
      </c>
      <c r="D1808" s="44" t="s">
        <v>1340</v>
      </c>
      <c r="E1808" s="45">
        <v>1</v>
      </c>
      <c r="F1808" s="46">
        <v>47.99</v>
      </c>
      <c r="G1808" s="46">
        <f t="shared" si="28"/>
        <v>47.99</v>
      </c>
      <c r="H1808" s="47" t="s">
        <v>24</v>
      </c>
      <c r="I1808" s="47" t="s">
        <v>58</v>
      </c>
      <c r="J1808" s="32"/>
    </row>
    <row r="1809" spans="1:10" x14ac:dyDescent="0.2">
      <c r="A1809" s="32"/>
      <c r="B1809" s="36" t="s">
        <v>3059</v>
      </c>
      <c r="C1809" s="37" t="s">
        <v>3052</v>
      </c>
      <c r="D1809" s="38" t="s">
        <v>3060</v>
      </c>
      <c r="E1809" s="39">
        <v>1</v>
      </c>
      <c r="F1809" s="40">
        <v>3.99</v>
      </c>
      <c r="G1809" s="40">
        <f t="shared" si="28"/>
        <v>3.99</v>
      </c>
      <c r="H1809" s="41" t="s">
        <v>24</v>
      </c>
      <c r="I1809" s="41" t="s">
        <v>58</v>
      </c>
      <c r="J1809" s="32"/>
    </row>
    <row r="1810" spans="1:10" x14ac:dyDescent="0.2">
      <c r="A1810" s="32"/>
      <c r="B1810" s="42" t="s">
        <v>3061</v>
      </c>
      <c r="C1810" s="43" t="s">
        <v>3052</v>
      </c>
      <c r="D1810" s="44" t="s">
        <v>3062</v>
      </c>
      <c r="E1810" s="45">
        <v>1</v>
      </c>
      <c r="F1810" s="46">
        <v>3.99</v>
      </c>
      <c r="G1810" s="46">
        <f t="shared" si="28"/>
        <v>3.99</v>
      </c>
      <c r="H1810" s="47" t="s">
        <v>24</v>
      </c>
      <c r="I1810" s="47" t="s">
        <v>58</v>
      </c>
      <c r="J1810" s="32"/>
    </row>
    <row r="1811" spans="1:10" x14ac:dyDescent="0.2">
      <c r="A1811" s="32"/>
      <c r="B1811" s="36" t="s">
        <v>3063</v>
      </c>
      <c r="C1811" s="37" t="s">
        <v>3052</v>
      </c>
      <c r="D1811" s="38" t="s">
        <v>2577</v>
      </c>
      <c r="E1811" s="39">
        <v>1</v>
      </c>
      <c r="F1811" s="40">
        <v>6.99</v>
      </c>
      <c r="G1811" s="40">
        <f t="shared" si="28"/>
        <v>6.99</v>
      </c>
      <c r="H1811" s="41" t="s">
        <v>24</v>
      </c>
      <c r="I1811" s="41" t="s">
        <v>58</v>
      </c>
      <c r="J1811" s="32"/>
    </row>
    <row r="1812" spans="1:10" x14ac:dyDescent="0.2">
      <c r="A1812" s="32"/>
      <c r="B1812" s="42" t="s">
        <v>3064</v>
      </c>
      <c r="C1812" s="43" t="s">
        <v>3052</v>
      </c>
      <c r="D1812" s="44" t="s">
        <v>2982</v>
      </c>
      <c r="E1812" s="45">
        <v>1</v>
      </c>
      <c r="F1812" s="46">
        <v>18.989999999999998</v>
      </c>
      <c r="G1812" s="46">
        <f t="shared" si="28"/>
        <v>18.989999999999998</v>
      </c>
      <c r="H1812" s="47" t="s">
        <v>24</v>
      </c>
      <c r="I1812" s="47" t="s">
        <v>58</v>
      </c>
      <c r="J1812" s="32"/>
    </row>
    <row r="1813" spans="1:10" x14ac:dyDescent="0.2">
      <c r="A1813" s="32"/>
      <c r="B1813" s="36" t="s">
        <v>3065</v>
      </c>
      <c r="C1813" s="37" t="s">
        <v>3052</v>
      </c>
      <c r="D1813" s="38" t="s">
        <v>2685</v>
      </c>
      <c r="E1813" s="39">
        <v>1</v>
      </c>
      <c r="F1813" s="40">
        <v>4.49</v>
      </c>
      <c r="G1813" s="40">
        <f t="shared" si="28"/>
        <v>4.49</v>
      </c>
      <c r="H1813" s="41" t="s">
        <v>24</v>
      </c>
      <c r="I1813" s="41" t="s">
        <v>58</v>
      </c>
      <c r="J1813" s="32"/>
    </row>
    <row r="1814" spans="1:10" x14ac:dyDescent="0.2">
      <c r="A1814" s="32"/>
      <c r="B1814" s="42" t="s">
        <v>3066</v>
      </c>
      <c r="C1814" s="43" t="s">
        <v>3052</v>
      </c>
      <c r="D1814" s="44" t="s">
        <v>3067</v>
      </c>
      <c r="E1814" s="45">
        <v>1</v>
      </c>
      <c r="F1814" s="46">
        <v>4.99</v>
      </c>
      <c r="G1814" s="46">
        <f t="shared" si="28"/>
        <v>4.99</v>
      </c>
      <c r="H1814" s="47" t="s">
        <v>24</v>
      </c>
      <c r="I1814" s="47" t="s">
        <v>58</v>
      </c>
      <c r="J1814" s="32"/>
    </row>
    <row r="1815" spans="1:10" x14ac:dyDescent="0.2">
      <c r="A1815" s="32"/>
      <c r="B1815" s="36" t="s">
        <v>3068</v>
      </c>
      <c r="C1815" s="37" t="s">
        <v>3052</v>
      </c>
      <c r="D1815" s="38" t="s">
        <v>2587</v>
      </c>
      <c r="E1815" s="39">
        <v>1</v>
      </c>
      <c r="F1815" s="40">
        <v>4.99</v>
      </c>
      <c r="G1815" s="40">
        <f t="shared" si="28"/>
        <v>4.99</v>
      </c>
      <c r="H1815" s="41" t="s">
        <v>24</v>
      </c>
      <c r="I1815" s="41" t="s">
        <v>58</v>
      </c>
      <c r="J1815" s="32"/>
    </row>
    <row r="1816" spans="1:10" x14ac:dyDescent="0.2">
      <c r="A1816" s="32"/>
      <c r="B1816" s="42" t="s">
        <v>3069</v>
      </c>
      <c r="C1816" s="43" t="s">
        <v>3052</v>
      </c>
      <c r="D1816" s="44" t="s">
        <v>3070</v>
      </c>
      <c r="E1816" s="45">
        <v>1</v>
      </c>
      <c r="F1816" s="46">
        <v>3.39</v>
      </c>
      <c r="G1816" s="46">
        <f t="shared" si="28"/>
        <v>3.39</v>
      </c>
      <c r="H1816" s="47" t="s">
        <v>24</v>
      </c>
      <c r="I1816" s="47" t="s">
        <v>58</v>
      </c>
      <c r="J1816" s="32"/>
    </row>
    <row r="1817" spans="1:10" x14ac:dyDescent="0.2">
      <c r="A1817" s="32"/>
      <c r="B1817" s="36" t="s">
        <v>3071</v>
      </c>
      <c r="C1817" s="37" t="s">
        <v>3052</v>
      </c>
      <c r="D1817" s="38" t="s">
        <v>3072</v>
      </c>
      <c r="E1817" s="39">
        <v>1</v>
      </c>
      <c r="F1817" s="40">
        <v>4.99</v>
      </c>
      <c r="G1817" s="40">
        <f t="shared" si="28"/>
        <v>4.99</v>
      </c>
      <c r="H1817" s="41" t="s">
        <v>24</v>
      </c>
      <c r="I1817" s="41" t="s">
        <v>58</v>
      </c>
      <c r="J1817" s="32"/>
    </row>
    <row r="1818" spans="1:10" x14ac:dyDescent="0.2">
      <c r="A1818" s="32"/>
      <c r="B1818" s="42" t="s">
        <v>3073</v>
      </c>
      <c r="C1818" s="43" t="s">
        <v>3052</v>
      </c>
      <c r="D1818" s="44" t="s">
        <v>3074</v>
      </c>
      <c r="E1818" s="45">
        <v>1</v>
      </c>
      <c r="F1818" s="46">
        <v>4.99</v>
      </c>
      <c r="G1818" s="46">
        <f t="shared" si="28"/>
        <v>4.99</v>
      </c>
      <c r="H1818" s="47" t="s">
        <v>24</v>
      </c>
      <c r="I1818" s="47" t="s">
        <v>58</v>
      </c>
      <c r="J1818" s="32"/>
    </row>
    <row r="1819" spans="1:10" x14ac:dyDescent="0.2">
      <c r="A1819" s="32"/>
      <c r="B1819" s="36" t="s">
        <v>3075</v>
      </c>
      <c r="C1819" s="37" t="s">
        <v>3052</v>
      </c>
      <c r="D1819" s="38" t="s">
        <v>2954</v>
      </c>
      <c r="E1819" s="39">
        <v>1</v>
      </c>
      <c r="F1819" s="40">
        <v>3.39</v>
      </c>
      <c r="G1819" s="40">
        <f t="shared" si="28"/>
        <v>3.39</v>
      </c>
      <c r="H1819" s="41" t="s">
        <v>24</v>
      </c>
      <c r="I1819" s="41" t="s">
        <v>58</v>
      </c>
      <c r="J1819" s="32"/>
    </row>
    <row r="1820" spans="1:10" x14ac:dyDescent="0.2">
      <c r="A1820" s="32"/>
      <c r="B1820" s="42" t="s">
        <v>3076</v>
      </c>
      <c r="C1820" s="43" t="s">
        <v>3052</v>
      </c>
      <c r="D1820" s="44" t="s">
        <v>2834</v>
      </c>
      <c r="E1820" s="45">
        <v>1</v>
      </c>
      <c r="F1820" s="46">
        <v>3.19</v>
      </c>
      <c r="G1820" s="46">
        <f t="shared" si="28"/>
        <v>3.19</v>
      </c>
      <c r="H1820" s="47" t="s">
        <v>24</v>
      </c>
      <c r="I1820" s="47" t="s">
        <v>58</v>
      </c>
      <c r="J1820" s="32"/>
    </row>
    <row r="1821" spans="1:10" x14ac:dyDescent="0.2">
      <c r="A1821" s="32"/>
      <c r="B1821" s="36" t="s">
        <v>3077</v>
      </c>
      <c r="C1821" s="37" t="s">
        <v>3052</v>
      </c>
      <c r="D1821" s="38" t="s">
        <v>2816</v>
      </c>
      <c r="E1821" s="39">
        <v>1</v>
      </c>
      <c r="F1821" s="40">
        <v>3.19</v>
      </c>
      <c r="G1821" s="40">
        <f t="shared" si="28"/>
        <v>3.19</v>
      </c>
      <c r="H1821" s="41" t="s">
        <v>24</v>
      </c>
      <c r="I1821" s="41" t="s">
        <v>58</v>
      </c>
      <c r="J1821" s="32"/>
    </row>
    <row r="1822" spans="1:10" x14ac:dyDescent="0.2">
      <c r="A1822" s="32"/>
      <c r="B1822" s="42" t="s">
        <v>3078</v>
      </c>
      <c r="C1822" s="43" t="s">
        <v>3052</v>
      </c>
      <c r="D1822" s="44" t="s">
        <v>1368</v>
      </c>
      <c r="E1822" s="45">
        <v>1</v>
      </c>
      <c r="F1822" s="46">
        <v>1.43</v>
      </c>
      <c r="G1822" s="46">
        <f t="shared" si="28"/>
        <v>1.43</v>
      </c>
      <c r="H1822" s="47" t="s">
        <v>24</v>
      </c>
      <c r="I1822" s="47" t="s">
        <v>58</v>
      </c>
      <c r="J1822" s="32"/>
    </row>
    <row r="1823" spans="1:10" x14ac:dyDescent="0.2">
      <c r="A1823" s="32"/>
      <c r="B1823" s="36" t="s">
        <v>3079</v>
      </c>
      <c r="C1823" s="37" t="s">
        <v>3052</v>
      </c>
      <c r="D1823" s="38" t="s">
        <v>3080</v>
      </c>
      <c r="E1823" s="39">
        <v>1</v>
      </c>
      <c r="F1823" s="40">
        <v>5.29</v>
      </c>
      <c r="G1823" s="40">
        <f t="shared" si="28"/>
        <v>5.29</v>
      </c>
      <c r="H1823" s="41" t="s">
        <v>24</v>
      </c>
      <c r="I1823" s="41" t="s">
        <v>58</v>
      </c>
      <c r="J1823" s="32"/>
    </row>
    <row r="1824" spans="1:10" x14ac:dyDescent="0.2">
      <c r="A1824" s="32"/>
      <c r="B1824" s="42" t="s">
        <v>3081</v>
      </c>
      <c r="C1824" s="43" t="s">
        <v>3052</v>
      </c>
      <c r="D1824" s="44" t="s">
        <v>2918</v>
      </c>
      <c r="E1824" s="45">
        <v>1</v>
      </c>
      <c r="F1824" s="46">
        <v>5.39</v>
      </c>
      <c r="G1824" s="46">
        <f t="shared" si="28"/>
        <v>5.39</v>
      </c>
      <c r="H1824" s="47" t="s">
        <v>24</v>
      </c>
      <c r="I1824" s="47" t="s">
        <v>58</v>
      </c>
      <c r="J1824" s="32"/>
    </row>
    <row r="1825" spans="1:10" x14ac:dyDescent="0.2">
      <c r="A1825" s="32"/>
      <c r="B1825" s="36" t="s">
        <v>3082</v>
      </c>
      <c r="C1825" s="37" t="s">
        <v>3052</v>
      </c>
      <c r="D1825" s="38" t="s">
        <v>2828</v>
      </c>
      <c r="E1825" s="39">
        <v>1</v>
      </c>
      <c r="F1825" s="40">
        <v>7.99</v>
      </c>
      <c r="G1825" s="40">
        <f t="shared" si="28"/>
        <v>7.99</v>
      </c>
      <c r="H1825" s="41" t="s">
        <v>24</v>
      </c>
      <c r="I1825" s="41" t="s">
        <v>58</v>
      </c>
      <c r="J1825" s="32"/>
    </row>
    <row r="1826" spans="1:10" x14ac:dyDescent="0.2">
      <c r="A1826" s="32"/>
      <c r="B1826" s="42" t="s">
        <v>3083</v>
      </c>
      <c r="C1826" s="43" t="s">
        <v>3052</v>
      </c>
      <c r="D1826" s="44" t="s">
        <v>1368</v>
      </c>
      <c r="E1826" s="45">
        <v>1</v>
      </c>
      <c r="F1826" s="46">
        <v>1.43</v>
      </c>
      <c r="G1826" s="46">
        <f t="shared" si="28"/>
        <v>1.43</v>
      </c>
      <c r="H1826" s="47" t="s">
        <v>24</v>
      </c>
      <c r="I1826" s="47" t="s">
        <v>58</v>
      </c>
      <c r="J1826" s="32"/>
    </row>
    <row r="1827" spans="1:10" x14ac:dyDescent="0.2">
      <c r="A1827" s="32"/>
      <c r="B1827" s="36" t="s">
        <v>3084</v>
      </c>
      <c r="C1827" s="37" t="s">
        <v>3052</v>
      </c>
      <c r="D1827" s="38" t="s">
        <v>2589</v>
      </c>
      <c r="E1827" s="39">
        <v>1</v>
      </c>
      <c r="F1827" s="40">
        <v>8.99</v>
      </c>
      <c r="G1827" s="40">
        <f t="shared" si="28"/>
        <v>8.99</v>
      </c>
      <c r="H1827" s="41" t="s">
        <v>24</v>
      </c>
      <c r="I1827" s="41" t="s">
        <v>58</v>
      </c>
      <c r="J1827" s="32"/>
    </row>
    <row r="1828" spans="1:10" x14ac:dyDescent="0.2">
      <c r="A1828" s="32"/>
      <c r="B1828" s="42" t="s">
        <v>3085</v>
      </c>
      <c r="C1828" s="43" t="s">
        <v>3052</v>
      </c>
      <c r="D1828" s="44" t="s">
        <v>3086</v>
      </c>
      <c r="E1828" s="45">
        <v>1</v>
      </c>
      <c r="F1828" s="46">
        <v>5.99</v>
      </c>
      <c r="G1828" s="46">
        <f t="shared" si="28"/>
        <v>5.99</v>
      </c>
      <c r="H1828" s="47" t="s">
        <v>24</v>
      </c>
      <c r="I1828" s="47" t="s">
        <v>58</v>
      </c>
      <c r="J1828" s="32"/>
    </row>
    <row r="1829" spans="1:10" x14ac:dyDescent="0.2">
      <c r="A1829" s="32"/>
      <c r="B1829" s="36" t="s">
        <v>3087</v>
      </c>
      <c r="C1829" s="37" t="s">
        <v>3052</v>
      </c>
      <c r="D1829" s="38" t="s">
        <v>3088</v>
      </c>
      <c r="E1829" s="39">
        <v>1</v>
      </c>
      <c r="F1829" s="40">
        <v>8.49</v>
      </c>
      <c r="G1829" s="40">
        <f t="shared" si="28"/>
        <v>8.49</v>
      </c>
      <c r="H1829" s="41" t="s">
        <v>24</v>
      </c>
      <c r="I1829" s="41" t="s">
        <v>58</v>
      </c>
      <c r="J1829" s="32"/>
    </row>
    <row r="1830" spans="1:10" x14ac:dyDescent="0.2">
      <c r="A1830" s="32"/>
      <c r="B1830" s="42" t="s">
        <v>3089</v>
      </c>
      <c r="C1830" s="43" t="s">
        <v>3052</v>
      </c>
      <c r="D1830" s="44" t="s">
        <v>3090</v>
      </c>
      <c r="E1830" s="45">
        <v>1</v>
      </c>
      <c r="F1830" s="46">
        <v>8.49</v>
      </c>
      <c r="G1830" s="46">
        <f t="shared" si="28"/>
        <v>8.49</v>
      </c>
      <c r="H1830" s="47" t="s">
        <v>24</v>
      </c>
      <c r="I1830" s="47" t="s">
        <v>58</v>
      </c>
      <c r="J1830" s="32"/>
    </row>
    <row r="1831" spans="1:10" x14ac:dyDescent="0.2">
      <c r="A1831" s="32"/>
      <c r="B1831" s="36" t="s">
        <v>3091</v>
      </c>
      <c r="C1831" s="37" t="s">
        <v>3052</v>
      </c>
      <c r="D1831" s="38" t="s">
        <v>2497</v>
      </c>
      <c r="E1831" s="39">
        <v>1</v>
      </c>
      <c r="F1831" s="40">
        <v>12.59</v>
      </c>
      <c r="G1831" s="40">
        <f t="shared" si="28"/>
        <v>12.59</v>
      </c>
      <c r="H1831" s="41" t="s">
        <v>24</v>
      </c>
      <c r="I1831" s="41" t="s">
        <v>58</v>
      </c>
      <c r="J1831" s="32"/>
    </row>
    <row r="1832" spans="1:10" x14ac:dyDescent="0.2">
      <c r="A1832" s="32"/>
      <c r="B1832" s="42" t="s">
        <v>3092</v>
      </c>
      <c r="C1832" s="43" t="s">
        <v>3052</v>
      </c>
      <c r="D1832" s="44" t="s">
        <v>1676</v>
      </c>
      <c r="E1832" s="45">
        <v>1</v>
      </c>
      <c r="F1832" s="46">
        <v>21.98</v>
      </c>
      <c r="G1832" s="46">
        <f t="shared" si="28"/>
        <v>21.98</v>
      </c>
      <c r="H1832" s="47" t="s">
        <v>24</v>
      </c>
      <c r="I1832" s="47" t="s">
        <v>58</v>
      </c>
      <c r="J1832" s="32"/>
    </row>
    <row r="1833" spans="1:10" x14ac:dyDescent="0.2">
      <c r="A1833" s="32"/>
      <c r="B1833" s="36" t="s">
        <v>3093</v>
      </c>
      <c r="C1833" s="37" t="s">
        <v>3052</v>
      </c>
      <c r="D1833" s="38" t="s">
        <v>3094</v>
      </c>
      <c r="E1833" s="39">
        <v>1</v>
      </c>
      <c r="F1833" s="40">
        <v>6.99</v>
      </c>
      <c r="G1833" s="40">
        <f t="shared" si="28"/>
        <v>6.99</v>
      </c>
      <c r="H1833" s="41" t="s">
        <v>24</v>
      </c>
      <c r="I1833" s="41" t="s">
        <v>58</v>
      </c>
      <c r="J1833" s="32"/>
    </row>
    <row r="1834" spans="1:10" x14ac:dyDescent="0.2">
      <c r="A1834" s="32"/>
      <c r="B1834" s="42" t="s">
        <v>3095</v>
      </c>
      <c r="C1834" s="43" t="s">
        <v>3052</v>
      </c>
      <c r="D1834" s="44" t="s">
        <v>2811</v>
      </c>
      <c r="E1834" s="45">
        <v>1</v>
      </c>
      <c r="F1834" s="46">
        <v>10.99</v>
      </c>
      <c r="G1834" s="46">
        <f t="shared" si="28"/>
        <v>10.99</v>
      </c>
      <c r="H1834" s="47" t="s">
        <v>24</v>
      </c>
      <c r="I1834" s="47" t="s">
        <v>58</v>
      </c>
      <c r="J1834" s="32"/>
    </row>
    <row r="1835" spans="1:10" x14ac:dyDescent="0.2">
      <c r="A1835" s="32"/>
      <c r="B1835" s="36" t="s">
        <v>3096</v>
      </c>
      <c r="C1835" s="37" t="s">
        <v>3052</v>
      </c>
      <c r="D1835" s="38" t="s">
        <v>3097</v>
      </c>
      <c r="E1835" s="39">
        <v>1</v>
      </c>
      <c r="F1835" s="40">
        <v>17.989999999999998</v>
      </c>
      <c r="G1835" s="40">
        <f t="shared" si="28"/>
        <v>17.989999999999998</v>
      </c>
      <c r="H1835" s="41" t="s">
        <v>24</v>
      </c>
      <c r="I1835" s="41" t="s">
        <v>58</v>
      </c>
      <c r="J1835" s="32"/>
    </row>
    <row r="1836" spans="1:10" x14ac:dyDescent="0.2">
      <c r="A1836" s="32"/>
      <c r="B1836" s="42" t="s">
        <v>3098</v>
      </c>
      <c r="C1836" s="43" t="s">
        <v>3052</v>
      </c>
      <c r="D1836" s="44" t="s">
        <v>1831</v>
      </c>
      <c r="E1836" s="45">
        <v>1</v>
      </c>
      <c r="F1836" s="46">
        <v>8.99</v>
      </c>
      <c r="G1836" s="46">
        <f t="shared" si="28"/>
        <v>8.99</v>
      </c>
      <c r="H1836" s="47" t="s">
        <v>24</v>
      </c>
      <c r="I1836" s="47" t="s">
        <v>58</v>
      </c>
      <c r="J1836" s="32"/>
    </row>
    <row r="1837" spans="1:10" x14ac:dyDescent="0.2">
      <c r="A1837" s="32"/>
      <c r="B1837" s="36" t="s">
        <v>3099</v>
      </c>
      <c r="C1837" s="37" t="s">
        <v>3052</v>
      </c>
      <c r="D1837" s="38" t="s">
        <v>2486</v>
      </c>
      <c r="E1837" s="39">
        <v>1</v>
      </c>
      <c r="F1837" s="40">
        <v>8.7899999999999991</v>
      </c>
      <c r="G1837" s="40">
        <f t="shared" si="28"/>
        <v>8.7899999999999991</v>
      </c>
      <c r="H1837" s="41" t="s">
        <v>24</v>
      </c>
      <c r="I1837" s="41" t="s">
        <v>58</v>
      </c>
      <c r="J1837" s="32"/>
    </row>
    <row r="1838" spans="1:10" x14ac:dyDescent="0.2">
      <c r="A1838" s="32"/>
      <c r="B1838" s="42" t="s">
        <v>3100</v>
      </c>
      <c r="C1838" s="43" t="s">
        <v>3052</v>
      </c>
      <c r="D1838" s="44" t="s">
        <v>1463</v>
      </c>
      <c r="E1838" s="45">
        <v>1</v>
      </c>
      <c r="F1838" s="46">
        <v>5.69</v>
      </c>
      <c r="G1838" s="46">
        <f t="shared" si="28"/>
        <v>5.69</v>
      </c>
      <c r="H1838" s="47" t="s">
        <v>24</v>
      </c>
      <c r="I1838" s="47" t="s">
        <v>58</v>
      </c>
      <c r="J1838" s="32"/>
    </row>
    <row r="1839" spans="1:10" x14ac:dyDescent="0.2">
      <c r="A1839" s="32"/>
      <c r="B1839" s="36" t="s">
        <v>3101</v>
      </c>
      <c r="C1839" s="37" t="s">
        <v>3052</v>
      </c>
      <c r="D1839" s="38" t="s">
        <v>2932</v>
      </c>
      <c r="E1839" s="39">
        <v>1</v>
      </c>
      <c r="F1839" s="40">
        <v>6.29</v>
      </c>
      <c r="G1839" s="40">
        <f t="shared" si="28"/>
        <v>6.29</v>
      </c>
      <c r="H1839" s="41" t="s">
        <v>24</v>
      </c>
      <c r="I1839" s="41" t="s">
        <v>58</v>
      </c>
      <c r="J1839" s="32"/>
    </row>
    <row r="1840" spans="1:10" x14ac:dyDescent="0.2">
      <c r="A1840" s="32"/>
      <c r="B1840" s="42" t="s">
        <v>3102</v>
      </c>
      <c r="C1840" s="43" t="s">
        <v>3052</v>
      </c>
      <c r="D1840" s="44" t="s">
        <v>2493</v>
      </c>
      <c r="E1840" s="45">
        <v>1</v>
      </c>
      <c r="F1840" s="46">
        <v>50.99</v>
      </c>
      <c r="G1840" s="46">
        <f t="shared" si="28"/>
        <v>50.99</v>
      </c>
      <c r="H1840" s="47" t="s">
        <v>24</v>
      </c>
      <c r="I1840" s="47" t="s">
        <v>58</v>
      </c>
      <c r="J1840" s="32"/>
    </row>
    <row r="1841" spans="1:10" x14ac:dyDescent="0.2">
      <c r="A1841" s="32"/>
      <c r="B1841" s="36" t="s">
        <v>3103</v>
      </c>
      <c r="C1841" s="37" t="s">
        <v>3052</v>
      </c>
      <c r="D1841" s="38" t="s">
        <v>3104</v>
      </c>
      <c r="E1841" s="39">
        <v>1</v>
      </c>
      <c r="F1841" s="40">
        <v>44.99</v>
      </c>
      <c r="G1841" s="40">
        <f t="shared" si="28"/>
        <v>44.99</v>
      </c>
      <c r="H1841" s="41" t="s">
        <v>24</v>
      </c>
      <c r="I1841" s="41" t="s">
        <v>58</v>
      </c>
      <c r="J1841" s="32"/>
    </row>
    <row r="1842" spans="1:10" x14ac:dyDescent="0.2">
      <c r="A1842" s="32"/>
      <c r="B1842" s="42" t="s">
        <v>3105</v>
      </c>
      <c r="C1842" s="43" t="s">
        <v>3052</v>
      </c>
      <c r="D1842" s="44" t="s">
        <v>1321</v>
      </c>
      <c r="E1842" s="45">
        <v>1</v>
      </c>
      <c r="F1842" s="46">
        <v>28.99</v>
      </c>
      <c r="G1842" s="46">
        <f t="shared" si="28"/>
        <v>28.99</v>
      </c>
      <c r="H1842" s="47" t="s">
        <v>24</v>
      </c>
      <c r="I1842" s="47" t="s">
        <v>58</v>
      </c>
      <c r="J1842" s="32"/>
    </row>
    <row r="1843" spans="1:10" x14ac:dyDescent="0.2">
      <c r="A1843" s="32"/>
      <c r="B1843" s="36" t="s">
        <v>3106</v>
      </c>
      <c r="C1843" s="37" t="s">
        <v>3052</v>
      </c>
      <c r="D1843" s="38" t="s">
        <v>1458</v>
      </c>
      <c r="E1843" s="39">
        <v>1</v>
      </c>
      <c r="F1843" s="40">
        <v>19.89</v>
      </c>
      <c r="G1843" s="40">
        <f t="shared" si="28"/>
        <v>19.89</v>
      </c>
      <c r="H1843" s="41" t="s">
        <v>24</v>
      </c>
      <c r="I1843" s="41" t="s">
        <v>58</v>
      </c>
      <c r="J1843" s="32"/>
    </row>
    <row r="1844" spans="1:10" x14ac:dyDescent="0.2">
      <c r="A1844" s="32"/>
      <c r="B1844" s="42" t="s">
        <v>3107</v>
      </c>
      <c r="C1844" s="43" t="s">
        <v>3052</v>
      </c>
      <c r="D1844" s="44" t="s">
        <v>137</v>
      </c>
      <c r="E1844" s="45">
        <v>1</v>
      </c>
      <c r="F1844" s="46">
        <v>6.49</v>
      </c>
      <c r="G1844" s="46">
        <f t="shared" si="28"/>
        <v>6.49</v>
      </c>
      <c r="H1844" s="47" t="s">
        <v>24</v>
      </c>
      <c r="I1844" s="47" t="s">
        <v>58</v>
      </c>
      <c r="J1844" s="32"/>
    </row>
    <row r="1845" spans="1:10" x14ac:dyDescent="0.2">
      <c r="A1845" s="32"/>
      <c r="B1845" s="36" t="s">
        <v>3108</v>
      </c>
      <c r="C1845" s="37" t="s">
        <v>3052</v>
      </c>
      <c r="D1845" s="38" t="s">
        <v>3109</v>
      </c>
      <c r="E1845" s="39">
        <v>1</v>
      </c>
      <c r="F1845" s="40">
        <v>3.59</v>
      </c>
      <c r="G1845" s="40">
        <f t="shared" si="28"/>
        <v>3.59</v>
      </c>
      <c r="H1845" s="41" t="s">
        <v>24</v>
      </c>
      <c r="I1845" s="41" t="s">
        <v>58</v>
      </c>
      <c r="J1845" s="32"/>
    </row>
    <row r="1846" spans="1:10" x14ac:dyDescent="0.2">
      <c r="A1846" s="32"/>
      <c r="B1846" s="42" t="s">
        <v>3110</v>
      </c>
      <c r="C1846" s="43" t="s">
        <v>3052</v>
      </c>
      <c r="D1846" s="44" t="s">
        <v>2840</v>
      </c>
      <c r="E1846" s="45">
        <v>1</v>
      </c>
      <c r="F1846" s="46">
        <v>59.99</v>
      </c>
      <c r="G1846" s="46">
        <f t="shared" si="28"/>
        <v>59.99</v>
      </c>
      <c r="H1846" s="47" t="s">
        <v>24</v>
      </c>
      <c r="I1846" s="47" t="s">
        <v>58</v>
      </c>
      <c r="J1846" s="32"/>
    </row>
    <row r="1847" spans="1:10" x14ac:dyDescent="0.2">
      <c r="A1847" s="32"/>
      <c r="B1847" s="36" t="s">
        <v>3111</v>
      </c>
      <c r="C1847" s="37" t="s">
        <v>3052</v>
      </c>
      <c r="D1847" s="38" t="s">
        <v>3112</v>
      </c>
      <c r="E1847" s="39">
        <v>1</v>
      </c>
      <c r="F1847" s="40">
        <v>19.989999999999998</v>
      </c>
      <c r="G1847" s="40">
        <f t="shared" si="28"/>
        <v>19.989999999999998</v>
      </c>
      <c r="H1847" s="41" t="s">
        <v>24</v>
      </c>
      <c r="I1847" s="41" t="s">
        <v>58</v>
      </c>
      <c r="J1847" s="32"/>
    </row>
    <row r="1848" spans="1:10" x14ac:dyDescent="0.2">
      <c r="A1848" s="32"/>
      <c r="B1848" s="42" t="s">
        <v>3113</v>
      </c>
      <c r="C1848" s="43" t="s">
        <v>3052</v>
      </c>
      <c r="D1848" s="44" t="s">
        <v>3114</v>
      </c>
      <c r="E1848" s="45">
        <v>1</v>
      </c>
      <c r="F1848" s="46">
        <v>3.29</v>
      </c>
      <c r="G1848" s="46">
        <f t="shared" si="28"/>
        <v>3.29</v>
      </c>
      <c r="H1848" s="47" t="s">
        <v>24</v>
      </c>
      <c r="I1848" s="47" t="s">
        <v>58</v>
      </c>
      <c r="J1848" s="32"/>
    </row>
    <row r="1849" spans="1:10" x14ac:dyDescent="0.2">
      <c r="A1849" s="32"/>
      <c r="B1849" s="36" t="s">
        <v>3115</v>
      </c>
      <c r="C1849" s="37" t="s">
        <v>3052</v>
      </c>
      <c r="D1849" s="38" t="s">
        <v>40</v>
      </c>
      <c r="E1849" s="39">
        <v>1</v>
      </c>
      <c r="F1849" s="40">
        <v>12.99</v>
      </c>
      <c r="G1849" s="40">
        <f t="shared" si="28"/>
        <v>12.99</v>
      </c>
      <c r="H1849" s="41" t="s">
        <v>25</v>
      </c>
      <c r="I1849" s="41" t="s">
        <v>58</v>
      </c>
      <c r="J1849" s="32"/>
    </row>
    <row r="1850" spans="1:10" x14ac:dyDescent="0.2">
      <c r="A1850" s="32"/>
      <c r="B1850" s="42" t="s">
        <v>3116</v>
      </c>
      <c r="C1850" s="43" t="s">
        <v>3052</v>
      </c>
      <c r="D1850" s="44" t="s">
        <v>1710</v>
      </c>
      <c r="E1850" s="45">
        <v>1</v>
      </c>
      <c r="F1850" s="46">
        <v>12.99</v>
      </c>
      <c r="G1850" s="46">
        <f t="shared" si="28"/>
        <v>12.99</v>
      </c>
      <c r="H1850" s="47" t="s">
        <v>25</v>
      </c>
      <c r="I1850" s="47" t="s">
        <v>58</v>
      </c>
      <c r="J1850" s="32"/>
    </row>
    <row r="1851" spans="1:10" x14ac:dyDescent="0.2">
      <c r="A1851" s="32"/>
      <c r="B1851" s="36" t="s">
        <v>3117</v>
      </c>
      <c r="C1851" s="37" t="s">
        <v>3052</v>
      </c>
      <c r="D1851" s="38" t="s">
        <v>3118</v>
      </c>
      <c r="E1851" s="39">
        <v>1</v>
      </c>
      <c r="F1851" s="40">
        <v>21.99</v>
      </c>
      <c r="G1851" s="40">
        <f t="shared" si="28"/>
        <v>21.99</v>
      </c>
      <c r="H1851" s="41" t="s">
        <v>24</v>
      </c>
      <c r="I1851" s="41" t="s">
        <v>58</v>
      </c>
      <c r="J1851" s="32"/>
    </row>
    <row r="1852" spans="1:10" x14ac:dyDescent="0.2">
      <c r="A1852" s="32"/>
      <c r="B1852" s="42" t="s">
        <v>3119</v>
      </c>
      <c r="C1852" s="43" t="s">
        <v>3052</v>
      </c>
      <c r="D1852" s="44" t="s">
        <v>2542</v>
      </c>
      <c r="E1852" s="45">
        <v>1</v>
      </c>
      <c r="F1852" s="46">
        <v>7.89</v>
      </c>
      <c r="G1852" s="46">
        <f t="shared" si="28"/>
        <v>7.89</v>
      </c>
      <c r="H1852" s="47" t="s">
        <v>25</v>
      </c>
      <c r="I1852" s="47" t="s">
        <v>58</v>
      </c>
      <c r="J1852" s="32"/>
    </row>
    <row r="1853" spans="1:10" x14ac:dyDescent="0.2">
      <c r="A1853" s="32"/>
      <c r="B1853" s="36" t="s">
        <v>3120</v>
      </c>
      <c r="C1853" s="37" t="s">
        <v>3052</v>
      </c>
      <c r="D1853" s="38" t="s">
        <v>3121</v>
      </c>
      <c r="E1853" s="39">
        <v>1</v>
      </c>
      <c r="F1853" s="40">
        <v>12.99</v>
      </c>
      <c r="G1853" s="40">
        <f t="shared" si="28"/>
        <v>12.99</v>
      </c>
      <c r="H1853" s="41" t="s">
        <v>24</v>
      </c>
      <c r="I1853" s="41" t="s">
        <v>58</v>
      </c>
      <c r="J1853" s="32"/>
    </row>
    <row r="1854" spans="1:10" x14ac:dyDescent="0.2">
      <c r="A1854" s="32"/>
      <c r="B1854" s="42" t="s">
        <v>3122</v>
      </c>
      <c r="C1854" s="43" t="s">
        <v>3052</v>
      </c>
      <c r="D1854" s="44" t="s">
        <v>3123</v>
      </c>
      <c r="E1854" s="45">
        <v>1</v>
      </c>
      <c r="F1854" s="46">
        <v>12.99</v>
      </c>
      <c r="G1854" s="46">
        <f t="shared" si="28"/>
        <v>12.99</v>
      </c>
      <c r="H1854" s="47" t="s">
        <v>24</v>
      </c>
      <c r="I1854" s="47" t="s">
        <v>58</v>
      </c>
      <c r="J1854" s="32"/>
    </row>
    <row r="1855" spans="1:10" x14ac:dyDescent="0.2">
      <c r="A1855" s="32"/>
      <c r="B1855" s="36" t="s">
        <v>3124</v>
      </c>
      <c r="C1855" s="37" t="s">
        <v>3052</v>
      </c>
      <c r="D1855" s="38" t="s">
        <v>3125</v>
      </c>
      <c r="E1855" s="39">
        <v>1</v>
      </c>
      <c r="F1855" s="40">
        <v>10.49</v>
      </c>
      <c r="G1855" s="40">
        <f t="shared" si="28"/>
        <v>10.49</v>
      </c>
      <c r="H1855" s="41" t="s">
        <v>24</v>
      </c>
      <c r="I1855" s="41" t="s">
        <v>58</v>
      </c>
      <c r="J1855" s="32"/>
    </row>
    <row r="1856" spans="1:10" x14ac:dyDescent="0.2">
      <c r="A1856" s="32"/>
      <c r="B1856" s="42" t="s">
        <v>3126</v>
      </c>
      <c r="C1856" s="43" t="s">
        <v>3052</v>
      </c>
      <c r="D1856" s="44" t="s">
        <v>2335</v>
      </c>
      <c r="E1856" s="45">
        <v>1</v>
      </c>
      <c r="F1856" s="46">
        <v>5.49</v>
      </c>
      <c r="G1856" s="46">
        <f t="shared" si="28"/>
        <v>5.49</v>
      </c>
      <c r="H1856" s="47" t="s">
        <v>28</v>
      </c>
      <c r="I1856" s="47" t="s">
        <v>58</v>
      </c>
      <c r="J1856" s="32"/>
    </row>
    <row r="1857" spans="1:10" x14ac:dyDescent="0.2">
      <c r="A1857" s="32"/>
      <c r="B1857" s="36" t="s">
        <v>3127</v>
      </c>
      <c r="C1857" s="37" t="s">
        <v>3052</v>
      </c>
      <c r="D1857" s="38" t="s">
        <v>3128</v>
      </c>
      <c r="E1857" s="39">
        <v>1</v>
      </c>
      <c r="F1857" s="40">
        <v>7.99</v>
      </c>
      <c r="G1857" s="40">
        <f t="shared" si="28"/>
        <v>7.99</v>
      </c>
      <c r="H1857" s="41" t="s">
        <v>24</v>
      </c>
      <c r="I1857" s="41" t="s">
        <v>58</v>
      </c>
      <c r="J1857" s="32"/>
    </row>
    <row r="1858" spans="1:10" x14ac:dyDescent="0.2">
      <c r="A1858" s="32"/>
      <c r="B1858" s="42" t="s">
        <v>3129</v>
      </c>
      <c r="C1858" s="43" t="s">
        <v>3052</v>
      </c>
      <c r="D1858" s="44" t="s">
        <v>3130</v>
      </c>
      <c r="E1858" s="45">
        <v>1</v>
      </c>
      <c r="F1858" s="46">
        <v>37.49</v>
      </c>
      <c r="G1858" s="46">
        <f t="shared" si="28"/>
        <v>37.49</v>
      </c>
      <c r="H1858" s="47" t="s">
        <v>24</v>
      </c>
      <c r="I1858" s="47" t="s">
        <v>58</v>
      </c>
      <c r="J1858" s="32"/>
    </row>
    <row r="1859" spans="1:10" x14ac:dyDescent="0.2">
      <c r="A1859" s="32"/>
      <c r="B1859" s="36" t="s">
        <v>3131</v>
      </c>
      <c r="C1859" s="37" t="s">
        <v>3052</v>
      </c>
      <c r="D1859" s="38" t="s">
        <v>3132</v>
      </c>
      <c r="E1859" s="39">
        <v>1</v>
      </c>
      <c r="F1859" s="40">
        <v>36.99</v>
      </c>
      <c r="G1859" s="40">
        <f t="shared" si="28"/>
        <v>36.99</v>
      </c>
      <c r="H1859" s="41" t="s">
        <v>24</v>
      </c>
      <c r="I1859" s="41" t="s">
        <v>58</v>
      </c>
      <c r="J1859" s="32"/>
    </row>
    <row r="1860" spans="1:10" x14ac:dyDescent="0.2">
      <c r="A1860" s="32"/>
      <c r="B1860" s="42" t="s">
        <v>3133</v>
      </c>
      <c r="C1860" s="43" t="s">
        <v>3052</v>
      </c>
      <c r="D1860" s="44" t="s">
        <v>3134</v>
      </c>
      <c r="E1860" s="45">
        <v>1</v>
      </c>
      <c r="F1860" s="46">
        <v>29.49</v>
      </c>
      <c r="G1860" s="46">
        <f t="shared" si="28"/>
        <v>29.49</v>
      </c>
      <c r="H1860" s="47" t="s">
        <v>24</v>
      </c>
      <c r="I1860" s="47" t="s">
        <v>58</v>
      </c>
      <c r="J1860" s="32"/>
    </row>
    <row r="1861" spans="1:10" x14ac:dyDescent="0.2">
      <c r="A1861" s="32"/>
      <c r="B1861" s="36" t="s">
        <v>3135</v>
      </c>
      <c r="C1861" s="37" t="s">
        <v>3052</v>
      </c>
      <c r="D1861" s="38" t="s">
        <v>2343</v>
      </c>
      <c r="E1861" s="39">
        <v>1</v>
      </c>
      <c r="F1861" s="40">
        <v>4.79</v>
      </c>
      <c r="G1861" s="40">
        <f t="shared" ref="G1861:G1924" si="29">E1861*F1861</f>
        <v>4.79</v>
      </c>
      <c r="H1861" s="41" t="s">
        <v>24</v>
      </c>
      <c r="I1861" s="41" t="s">
        <v>58</v>
      </c>
      <c r="J1861" s="32"/>
    </row>
    <row r="1862" spans="1:10" x14ac:dyDescent="0.2">
      <c r="A1862" s="32"/>
      <c r="B1862" s="42" t="s">
        <v>3136</v>
      </c>
      <c r="C1862" s="43" t="s">
        <v>3137</v>
      </c>
      <c r="D1862" s="44" t="s">
        <v>1862</v>
      </c>
      <c r="E1862" s="45">
        <v>1</v>
      </c>
      <c r="F1862" s="46">
        <v>10.99</v>
      </c>
      <c r="G1862" s="46">
        <f t="shared" si="29"/>
        <v>10.99</v>
      </c>
      <c r="H1862" s="47" t="s">
        <v>24</v>
      </c>
      <c r="I1862" s="47" t="s">
        <v>58</v>
      </c>
      <c r="J1862" s="32"/>
    </row>
    <row r="1863" spans="1:10" x14ac:dyDescent="0.2">
      <c r="A1863" s="32"/>
      <c r="B1863" s="36" t="s">
        <v>3138</v>
      </c>
      <c r="C1863" s="37" t="s">
        <v>3137</v>
      </c>
      <c r="D1863" s="38" t="s">
        <v>3139</v>
      </c>
      <c r="E1863" s="39">
        <v>1</v>
      </c>
      <c r="F1863" s="40">
        <v>15.59</v>
      </c>
      <c r="G1863" s="40">
        <f t="shared" si="29"/>
        <v>15.59</v>
      </c>
      <c r="H1863" s="41" t="s">
        <v>24</v>
      </c>
      <c r="I1863" s="41" t="s">
        <v>58</v>
      </c>
      <c r="J1863" s="32"/>
    </row>
    <row r="1864" spans="1:10" x14ac:dyDescent="0.2">
      <c r="A1864" s="32"/>
      <c r="B1864" s="42" t="s">
        <v>3140</v>
      </c>
      <c r="C1864" s="43" t="s">
        <v>3137</v>
      </c>
      <c r="D1864" s="44" t="s">
        <v>2767</v>
      </c>
      <c r="E1864" s="45">
        <v>1</v>
      </c>
      <c r="F1864" s="46">
        <v>12.99</v>
      </c>
      <c r="G1864" s="46">
        <f t="shared" si="29"/>
        <v>12.99</v>
      </c>
      <c r="H1864" s="47" t="s">
        <v>24</v>
      </c>
      <c r="I1864" s="47" t="s">
        <v>58</v>
      </c>
      <c r="J1864" s="32"/>
    </row>
    <row r="1865" spans="1:10" x14ac:dyDescent="0.2">
      <c r="A1865" s="32"/>
      <c r="B1865" s="36" t="s">
        <v>3141</v>
      </c>
      <c r="C1865" s="37" t="s">
        <v>3137</v>
      </c>
      <c r="D1865" s="38" t="s">
        <v>1862</v>
      </c>
      <c r="E1865" s="39">
        <v>1</v>
      </c>
      <c r="F1865" s="40">
        <v>10.99</v>
      </c>
      <c r="G1865" s="40">
        <f t="shared" si="29"/>
        <v>10.99</v>
      </c>
      <c r="H1865" s="41" t="s">
        <v>24</v>
      </c>
      <c r="I1865" s="41" t="s">
        <v>58</v>
      </c>
      <c r="J1865" s="32"/>
    </row>
    <row r="1866" spans="1:10" x14ac:dyDescent="0.2">
      <c r="A1866" s="32"/>
      <c r="B1866" s="42" t="s">
        <v>3142</v>
      </c>
      <c r="C1866" s="43" t="s">
        <v>3137</v>
      </c>
      <c r="D1866" s="44" t="s">
        <v>2767</v>
      </c>
      <c r="E1866" s="45">
        <v>1</v>
      </c>
      <c r="F1866" s="46">
        <v>12.99</v>
      </c>
      <c r="G1866" s="46">
        <f t="shared" si="29"/>
        <v>12.99</v>
      </c>
      <c r="H1866" s="47" t="s">
        <v>24</v>
      </c>
      <c r="I1866" s="47" t="s">
        <v>58</v>
      </c>
      <c r="J1866" s="32"/>
    </row>
    <row r="1867" spans="1:10" x14ac:dyDescent="0.2">
      <c r="A1867" s="32"/>
      <c r="B1867" s="36" t="s">
        <v>3143</v>
      </c>
      <c r="C1867" s="37" t="s">
        <v>3137</v>
      </c>
      <c r="D1867" s="38" t="s">
        <v>2767</v>
      </c>
      <c r="E1867" s="39">
        <v>1</v>
      </c>
      <c r="F1867" s="40">
        <v>12.99</v>
      </c>
      <c r="G1867" s="40">
        <f t="shared" si="29"/>
        <v>12.99</v>
      </c>
      <c r="H1867" s="41" t="s">
        <v>24</v>
      </c>
      <c r="I1867" s="41" t="s">
        <v>58</v>
      </c>
      <c r="J1867" s="32"/>
    </row>
    <row r="1868" spans="1:10" x14ac:dyDescent="0.2">
      <c r="A1868" s="32"/>
      <c r="B1868" s="42" t="s">
        <v>3144</v>
      </c>
      <c r="C1868" s="43" t="s">
        <v>3137</v>
      </c>
      <c r="D1868" s="44" t="s">
        <v>3145</v>
      </c>
      <c r="E1868" s="45">
        <v>1</v>
      </c>
      <c r="F1868" s="46">
        <v>6.39</v>
      </c>
      <c r="G1868" s="46">
        <f t="shared" si="29"/>
        <v>6.39</v>
      </c>
      <c r="H1868" s="47" t="s">
        <v>24</v>
      </c>
      <c r="I1868" s="47" t="s">
        <v>58</v>
      </c>
      <c r="J1868" s="32"/>
    </row>
    <row r="1869" spans="1:10" x14ac:dyDescent="0.2">
      <c r="A1869" s="32"/>
      <c r="B1869" s="36" t="s">
        <v>3146</v>
      </c>
      <c r="C1869" s="37" t="s">
        <v>3137</v>
      </c>
      <c r="D1869" s="38" t="s">
        <v>2803</v>
      </c>
      <c r="E1869" s="39">
        <v>1</v>
      </c>
      <c r="F1869" s="40">
        <v>6.29</v>
      </c>
      <c r="G1869" s="40">
        <f t="shared" si="29"/>
        <v>6.29</v>
      </c>
      <c r="H1869" s="41" t="s">
        <v>24</v>
      </c>
      <c r="I1869" s="41" t="s">
        <v>58</v>
      </c>
      <c r="J1869" s="32"/>
    </row>
    <row r="1870" spans="1:10" x14ac:dyDescent="0.2">
      <c r="A1870" s="32"/>
      <c r="B1870" s="42" t="s">
        <v>3147</v>
      </c>
      <c r="C1870" s="43" t="s">
        <v>3137</v>
      </c>
      <c r="D1870" s="44" t="s">
        <v>2610</v>
      </c>
      <c r="E1870" s="45">
        <v>1</v>
      </c>
      <c r="F1870" s="46">
        <v>21.59</v>
      </c>
      <c r="G1870" s="46">
        <f t="shared" si="29"/>
        <v>21.59</v>
      </c>
      <c r="H1870" s="47" t="s">
        <v>24</v>
      </c>
      <c r="I1870" s="47" t="s">
        <v>58</v>
      </c>
      <c r="J1870" s="32"/>
    </row>
    <row r="1871" spans="1:10" x14ac:dyDescent="0.2">
      <c r="A1871" s="32"/>
      <c r="B1871" s="36" t="s">
        <v>3148</v>
      </c>
      <c r="C1871" s="37" t="s">
        <v>3137</v>
      </c>
      <c r="D1871" s="38" t="s">
        <v>2610</v>
      </c>
      <c r="E1871" s="39">
        <v>1</v>
      </c>
      <c r="F1871" s="40">
        <v>21.59</v>
      </c>
      <c r="G1871" s="40">
        <f t="shared" si="29"/>
        <v>21.59</v>
      </c>
      <c r="H1871" s="41" t="s">
        <v>24</v>
      </c>
      <c r="I1871" s="41" t="s">
        <v>58</v>
      </c>
      <c r="J1871" s="32"/>
    </row>
    <row r="1872" spans="1:10" x14ac:dyDescent="0.2">
      <c r="A1872" s="32"/>
      <c r="B1872" s="42" t="s">
        <v>3149</v>
      </c>
      <c r="C1872" s="43" t="s">
        <v>3137</v>
      </c>
      <c r="D1872" s="44" t="s">
        <v>2930</v>
      </c>
      <c r="E1872" s="45">
        <v>1</v>
      </c>
      <c r="F1872" s="46">
        <v>38.99</v>
      </c>
      <c r="G1872" s="46">
        <f t="shared" si="29"/>
        <v>38.99</v>
      </c>
      <c r="H1872" s="47" t="s">
        <v>24</v>
      </c>
      <c r="I1872" s="47" t="s">
        <v>58</v>
      </c>
      <c r="J1872" s="32"/>
    </row>
    <row r="1873" spans="1:10" x14ac:dyDescent="0.2">
      <c r="A1873" s="32"/>
      <c r="B1873" s="36" t="s">
        <v>3150</v>
      </c>
      <c r="C1873" s="37" t="s">
        <v>3137</v>
      </c>
      <c r="D1873" s="38" t="s">
        <v>2930</v>
      </c>
      <c r="E1873" s="39">
        <v>1</v>
      </c>
      <c r="F1873" s="40">
        <v>38.99</v>
      </c>
      <c r="G1873" s="40">
        <f t="shared" si="29"/>
        <v>38.99</v>
      </c>
      <c r="H1873" s="41" t="s">
        <v>24</v>
      </c>
      <c r="I1873" s="41" t="s">
        <v>58</v>
      </c>
      <c r="J1873" s="32"/>
    </row>
    <row r="1874" spans="1:10" x14ac:dyDescent="0.2">
      <c r="A1874" s="32"/>
      <c r="B1874" s="42" t="s">
        <v>3151</v>
      </c>
      <c r="C1874" s="43" t="s">
        <v>3137</v>
      </c>
      <c r="D1874" s="44" t="s">
        <v>3152</v>
      </c>
      <c r="E1874" s="45">
        <v>1</v>
      </c>
      <c r="F1874" s="46">
        <v>6.29</v>
      </c>
      <c r="G1874" s="46">
        <f t="shared" si="29"/>
        <v>6.29</v>
      </c>
      <c r="H1874" s="47" t="s">
        <v>24</v>
      </c>
      <c r="I1874" s="47" t="s">
        <v>58</v>
      </c>
      <c r="J1874" s="32"/>
    </row>
    <row r="1875" spans="1:10" x14ac:dyDescent="0.2">
      <c r="A1875" s="32"/>
      <c r="B1875" s="36" t="s">
        <v>3153</v>
      </c>
      <c r="C1875" s="37" t="s">
        <v>3137</v>
      </c>
      <c r="D1875" s="38" t="s">
        <v>2861</v>
      </c>
      <c r="E1875" s="39">
        <v>1</v>
      </c>
      <c r="F1875" s="40">
        <v>8.99</v>
      </c>
      <c r="G1875" s="40">
        <f t="shared" si="29"/>
        <v>8.99</v>
      </c>
      <c r="H1875" s="41" t="s">
        <v>24</v>
      </c>
      <c r="I1875" s="41" t="s">
        <v>58</v>
      </c>
      <c r="J1875" s="32"/>
    </row>
    <row r="1876" spans="1:10" x14ac:dyDescent="0.2">
      <c r="A1876" s="32"/>
      <c r="B1876" s="42" t="s">
        <v>3154</v>
      </c>
      <c r="C1876" s="43" t="s">
        <v>3137</v>
      </c>
      <c r="D1876" s="44" t="s">
        <v>2659</v>
      </c>
      <c r="E1876" s="45">
        <v>1</v>
      </c>
      <c r="F1876" s="46">
        <v>8.49</v>
      </c>
      <c r="G1876" s="46">
        <f t="shared" si="29"/>
        <v>8.49</v>
      </c>
      <c r="H1876" s="47" t="s">
        <v>24</v>
      </c>
      <c r="I1876" s="47" t="s">
        <v>58</v>
      </c>
      <c r="J1876" s="32"/>
    </row>
    <row r="1877" spans="1:10" x14ac:dyDescent="0.2">
      <c r="A1877" s="32"/>
      <c r="B1877" s="36" t="s">
        <v>3155</v>
      </c>
      <c r="C1877" s="37" t="s">
        <v>3137</v>
      </c>
      <c r="D1877" s="38" t="s">
        <v>1831</v>
      </c>
      <c r="E1877" s="39">
        <v>1</v>
      </c>
      <c r="F1877" s="40">
        <v>8.99</v>
      </c>
      <c r="G1877" s="40">
        <f t="shared" si="29"/>
        <v>8.99</v>
      </c>
      <c r="H1877" s="41" t="s">
        <v>24</v>
      </c>
      <c r="I1877" s="41" t="s">
        <v>58</v>
      </c>
      <c r="J1877" s="32"/>
    </row>
    <row r="1878" spans="1:10" x14ac:dyDescent="0.2">
      <c r="A1878" s="32"/>
      <c r="B1878" s="42" t="s">
        <v>3156</v>
      </c>
      <c r="C1878" s="43" t="s">
        <v>3137</v>
      </c>
      <c r="D1878" s="44" t="s">
        <v>735</v>
      </c>
      <c r="E1878" s="45">
        <v>1</v>
      </c>
      <c r="F1878" s="46">
        <v>5.49</v>
      </c>
      <c r="G1878" s="46">
        <f t="shared" si="29"/>
        <v>5.49</v>
      </c>
      <c r="H1878" s="47" t="s">
        <v>24</v>
      </c>
      <c r="I1878" s="47" t="s">
        <v>58</v>
      </c>
      <c r="J1878" s="32"/>
    </row>
    <row r="1879" spans="1:10" x14ac:dyDescent="0.2">
      <c r="A1879" s="32"/>
      <c r="B1879" s="36" t="s">
        <v>3157</v>
      </c>
      <c r="C1879" s="37" t="s">
        <v>3137</v>
      </c>
      <c r="D1879" s="38" t="s">
        <v>3158</v>
      </c>
      <c r="E1879" s="39">
        <v>1</v>
      </c>
      <c r="F1879" s="40">
        <v>2.59</v>
      </c>
      <c r="G1879" s="40">
        <f t="shared" si="29"/>
        <v>2.59</v>
      </c>
      <c r="H1879" s="41" t="s">
        <v>24</v>
      </c>
      <c r="I1879" s="41" t="s">
        <v>58</v>
      </c>
      <c r="J1879" s="32"/>
    </row>
    <row r="1880" spans="1:10" x14ac:dyDescent="0.2">
      <c r="A1880" s="32"/>
      <c r="B1880" s="42" t="s">
        <v>3159</v>
      </c>
      <c r="C1880" s="43" t="s">
        <v>3137</v>
      </c>
      <c r="D1880" s="44" t="s">
        <v>982</v>
      </c>
      <c r="E1880" s="45">
        <v>1</v>
      </c>
      <c r="F1880" s="46">
        <v>8.2899999999999991</v>
      </c>
      <c r="G1880" s="46">
        <f t="shared" si="29"/>
        <v>8.2899999999999991</v>
      </c>
      <c r="H1880" s="47" t="s">
        <v>24</v>
      </c>
      <c r="I1880" s="47" t="s">
        <v>58</v>
      </c>
      <c r="J1880" s="32"/>
    </row>
    <row r="1881" spans="1:10" x14ac:dyDescent="0.2">
      <c r="A1881" s="32"/>
      <c r="B1881" s="36" t="s">
        <v>3160</v>
      </c>
      <c r="C1881" s="37" t="s">
        <v>3137</v>
      </c>
      <c r="D1881" s="38" t="s">
        <v>3161</v>
      </c>
      <c r="E1881" s="39">
        <v>1</v>
      </c>
      <c r="F1881" s="40">
        <v>3.99</v>
      </c>
      <c r="G1881" s="40">
        <f t="shared" si="29"/>
        <v>3.99</v>
      </c>
      <c r="H1881" s="41" t="s">
        <v>24</v>
      </c>
      <c r="I1881" s="41" t="s">
        <v>58</v>
      </c>
      <c r="J1881" s="32"/>
    </row>
    <row r="1882" spans="1:10" x14ac:dyDescent="0.2">
      <c r="A1882" s="32"/>
      <c r="B1882" s="42" t="s">
        <v>3162</v>
      </c>
      <c r="C1882" s="43" t="s">
        <v>3137</v>
      </c>
      <c r="D1882" s="44" t="s">
        <v>2672</v>
      </c>
      <c r="E1882" s="45">
        <v>1</v>
      </c>
      <c r="F1882" s="46">
        <v>3.99</v>
      </c>
      <c r="G1882" s="46">
        <f t="shared" si="29"/>
        <v>3.99</v>
      </c>
      <c r="H1882" s="47" t="s">
        <v>24</v>
      </c>
      <c r="I1882" s="47" t="s">
        <v>58</v>
      </c>
      <c r="J1882" s="32"/>
    </row>
    <row r="1883" spans="1:10" x14ac:dyDescent="0.2">
      <c r="A1883" s="32"/>
      <c r="B1883" s="36" t="s">
        <v>3163</v>
      </c>
      <c r="C1883" s="37" t="s">
        <v>3137</v>
      </c>
      <c r="D1883" s="38" t="s">
        <v>3158</v>
      </c>
      <c r="E1883" s="39">
        <v>1</v>
      </c>
      <c r="F1883" s="40">
        <v>2.59</v>
      </c>
      <c r="G1883" s="40">
        <f t="shared" si="29"/>
        <v>2.59</v>
      </c>
      <c r="H1883" s="41" t="s">
        <v>24</v>
      </c>
      <c r="I1883" s="41" t="s">
        <v>58</v>
      </c>
      <c r="J1883" s="32"/>
    </row>
    <row r="1884" spans="1:10" x14ac:dyDescent="0.2">
      <c r="A1884" s="32"/>
      <c r="B1884" s="42" t="s">
        <v>3164</v>
      </c>
      <c r="C1884" s="43" t="s">
        <v>3137</v>
      </c>
      <c r="D1884" s="44" t="s">
        <v>2582</v>
      </c>
      <c r="E1884" s="45">
        <v>1</v>
      </c>
      <c r="F1884" s="46">
        <v>5.99</v>
      </c>
      <c r="G1884" s="46">
        <f t="shared" si="29"/>
        <v>5.99</v>
      </c>
      <c r="H1884" s="47" t="s">
        <v>24</v>
      </c>
      <c r="I1884" s="47" t="s">
        <v>58</v>
      </c>
      <c r="J1884" s="32"/>
    </row>
    <row r="1885" spans="1:10" x14ac:dyDescent="0.2">
      <c r="A1885" s="32"/>
      <c r="B1885" s="36" t="s">
        <v>3165</v>
      </c>
      <c r="C1885" s="37" t="s">
        <v>3137</v>
      </c>
      <c r="D1885" s="38" t="s">
        <v>2982</v>
      </c>
      <c r="E1885" s="39">
        <v>1</v>
      </c>
      <c r="F1885" s="40">
        <v>18.989999999999998</v>
      </c>
      <c r="G1885" s="40">
        <f t="shared" si="29"/>
        <v>18.989999999999998</v>
      </c>
      <c r="H1885" s="41" t="s">
        <v>24</v>
      </c>
      <c r="I1885" s="41" t="s">
        <v>58</v>
      </c>
      <c r="J1885" s="32"/>
    </row>
    <row r="1886" spans="1:10" x14ac:dyDescent="0.2">
      <c r="A1886" s="32"/>
      <c r="B1886" s="42" t="s">
        <v>3166</v>
      </c>
      <c r="C1886" s="43" t="s">
        <v>3137</v>
      </c>
      <c r="D1886" s="44" t="s">
        <v>982</v>
      </c>
      <c r="E1886" s="45">
        <v>1</v>
      </c>
      <c r="F1886" s="46">
        <v>8.2899999999999991</v>
      </c>
      <c r="G1886" s="46">
        <f t="shared" si="29"/>
        <v>8.2899999999999991</v>
      </c>
      <c r="H1886" s="47" t="s">
        <v>24</v>
      </c>
      <c r="I1886" s="47" t="s">
        <v>58</v>
      </c>
      <c r="J1886" s="32"/>
    </row>
    <row r="1887" spans="1:10" x14ac:dyDescent="0.2">
      <c r="A1887" s="32"/>
      <c r="B1887" s="36" t="s">
        <v>3167</v>
      </c>
      <c r="C1887" s="37" t="s">
        <v>3137</v>
      </c>
      <c r="D1887" s="38" t="s">
        <v>81</v>
      </c>
      <c r="E1887" s="39">
        <v>1</v>
      </c>
      <c r="F1887" s="40">
        <v>3.99</v>
      </c>
      <c r="G1887" s="40">
        <f t="shared" si="29"/>
        <v>3.99</v>
      </c>
      <c r="H1887" s="41" t="s">
        <v>24</v>
      </c>
      <c r="I1887" s="41" t="s">
        <v>58</v>
      </c>
      <c r="J1887" s="32"/>
    </row>
    <row r="1888" spans="1:10" x14ac:dyDescent="0.2">
      <c r="A1888" s="32"/>
      <c r="B1888" s="42" t="s">
        <v>3168</v>
      </c>
      <c r="C1888" s="43" t="s">
        <v>3137</v>
      </c>
      <c r="D1888" s="44" t="s">
        <v>76</v>
      </c>
      <c r="E1888" s="45">
        <v>1</v>
      </c>
      <c r="F1888" s="46">
        <v>6.99</v>
      </c>
      <c r="G1888" s="46">
        <f t="shared" si="29"/>
        <v>6.99</v>
      </c>
      <c r="H1888" s="47" t="s">
        <v>24</v>
      </c>
      <c r="I1888" s="47" t="s">
        <v>58</v>
      </c>
      <c r="J1888" s="32"/>
    </row>
    <row r="1889" spans="1:10" x14ac:dyDescent="0.2">
      <c r="A1889" s="32"/>
      <c r="B1889" s="36" t="s">
        <v>3169</v>
      </c>
      <c r="C1889" s="37" t="s">
        <v>3137</v>
      </c>
      <c r="D1889" s="38" t="s">
        <v>3170</v>
      </c>
      <c r="E1889" s="39">
        <v>1</v>
      </c>
      <c r="F1889" s="40">
        <v>4.99</v>
      </c>
      <c r="G1889" s="40">
        <f t="shared" si="29"/>
        <v>4.99</v>
      </c>
      <c r="H1889" s="41" t="s">
        <v>24</v>
      </c>
      <c r="I1889" s="41" t="s">
        <v>58</v>
      </c>
      <c r="J1889" s="32"/>
    </row>
    <row r="1890" spans="1:10" x14ac:dyDescent="0.2">
      <c r="A1890" s="32"/>
      <c r="B1890" s="42" t="s">
        <v>3171</v>
      </c>
      <c r="C1890" s="43" t="s">
        <v>3137</v>
      </c>
      <c r="D1890" s="44" t="s">
        <v>982</v>
      </c>
      <c r="E1890" s="45">
        <v>1</v>
      </c>
      <c r="F1890" s="46">
        <v>8.2899999999999991</v>
      </c>
      <c r="G1890" s="46">
        <f t="shared" si="29"/>
        <v>8.2899999999999991</v>
      </c>
      <c r="H1890" s="47" t="s">
        <v>24</v>
      </c>
      <c r="I1890" s="47" t="s">
        <v>58</v>
      </c>
      <c r="J1890" s="32"/>
    </row>
    <row r="1891" spans="1:10" x14ac:dyDescent="0.2">
      <c r="A1891" s="32"/>
      <c r="B1891" s="36" t="s">
        <v>3172</v>
      </c>
      <c r="C1891" s="37" t="s">
        <v>3137</v>
      </c>
      <c r="D1891" s="38" t="s">
        <v>2945</v>
      </c>
      <c r="E1891" s="39">
        <v>1</v>
      </c>
      <c r="F1891" s="40">
        <v>13.99</v>
      </c>
      <c r="G1891" s="40">
        <f t="shared" si="29"/>
        <v>13.99</v>
      </c>
      <c r="H1891" s="41" t="s">
        <v>24</v>
      </c>
      <c r="I1891" s="41" t="s">
        <v>58</v>
      </c>
      <c r="J1891" s="32"/>
    </row>
    <row r="1892" spans="1:10" x14ac:dyDescent="0.2">
      <c r="A1892" s="32"/>
      <c r="B1892" s="42" t="s">
        <v>3173</v>
      </c>
      <c r="C1892" s="43" t="s">
        <v>3137</v>
      </c>
      <c r="D1892" s="44" t="s">
        <v>2858</v>
      </c>
      <c r="E1892" s="45">
        <v>1</v>
      </c>
      <c r="F1892" s="46">
        <v>117.99</v>
      </c>
      <c r="G1892" s="46">
        <f t="shared" si="29"/>
        <v>117.99</v>
      </c>
      <c r="H1892" s="47" t="s">
        <v>24</v>
      </c>
      <c r="I1892" s="47" t="s">
        <v>58</v>
      </c>
      <c r="J1892" s="32"/>
    </row>
    <row r="1893" spans="1:10" x14ac:dyDescent="0.2">
      <c r="A1893" s="32"/>
      <c r="B1893" s="36" t="s">
        <v>3174</v>
      </c>
      <c r="C1893" s="37" t="s">
        <v>3137</v>
      </c>
      <c r="D1893" s="38" t="s">
        <v>42</v>
      </c>
      <c r="E1893" s="39">
        <v>1</v>
      </c>
      <c r="F1893" s="40">
        <v>5.99</v>
      </c>
      <c r="G1893" s="40">
        <f t="shared" si="29"/>
        <v>5.99</v>
      </c>
      <c r="H1893" s="41" t="s">
        <v>24</v>
      </c>
      <c r="I1893" s="41" t="s">
        <v>58</v>
      </c>
      <c r="J1893" s="32"/>
    </row>
    <row r="1894" spans="1:10" x14ac:dyDescent="0.2">
      <c r="A1894" s="32"/>
      <c r="B1894" s="42" t="s">
        <v>3175</v>
      </c>
      <c r="C1894" s="43" t="s">
        <v>3137</v>
      </c>
      <c r="D1894" s="44" t="s">
        <v>2856</v>
      </c>
      <c r="E1894" s="45">
        <v>1</v>
      </c>
      <c r="F1894" s="46">
        <v>10.99</v>
      </c>
      <c r="G1894" s="46">
        <f t="shared" si="29"/>
        <v>10.99</v>
      </c>
      <c r="H1894" s="47" t="s">
        <v>24</v>
      </c>
      <c r="I1894" s="47" t="s">
        <v>58</v>
      </c>
      <c r="J1894" s="32"/>
    </row>
    <row r="1895" spans="1:10" x14ac:dyDescent="0.2">
      <c r="A1895" s="32"/>
      <c r="B1895" s="36" t="s">
        <v>3176</v>
      </c>
      <c r="C1895" s="37" t="s">
        <v>3137</v>
      </c>
      <c r="D1895" s="38" t="s">
        <v>38</v>
      </c>
      <c r="E1895" s="39">
        <v>1</v>
      </c>
      <c r="F1895" s="40">
        <v>8.99</v>
      </c>
      <c r="G1895" s="40">
        <f t="shared" si="29"/>
        <v>8.99</v>
      </c>
      <c r="H1895" s="41" t="s">
        <v>24</v>
      </c>
      <c r="I1895" s="41" t="s">
        <v>58</v>
      </c>
      <c r="J1895" s="32"/>
    </row>
    <row r="1896" spans="1:10" x14ac:dyDescent="0.2">
      <c r="A1896" s="32"/>
      <c r="B1896" s="42" t="s">
        <v>3177</v>
      </c>
      <c r="C1896" s="43" t="s">
        <v>3137</v>
      </c>
      <c r="D1896" s="44" t="s">
        <v>2497</v>
      </c>
      <c r="E1896" s="45">
        <v>1</v>
      </c>
      <c r="F1896" s="46">
        <v>11.99</v>
      </c>
      <c r="G1896" s="46">
        <f t="shared" si="29"/>
        <v>11.99</v>
      </c>
      <c r="H1896" s="47" t="s">
        <v>24</v>
      </c>
      <c r="I1896" s="47" t="s">
        <v>58</v>
      </c>
      <c r="J1896" s="32"/>
    </row>
    <row r="1897" spans="1:10" x14ac:dyDescent="0.2">
      <c r="A1897" s="32"/>
      <c r="B1897" s="36" t="s">
        <v>3178</v>
      </c>
      <c r="C1897" s="37" t="s">
        <v>3137</v>
      </c>
      <c r="D1897" s="38" t="s">
        <v>1368</v>
      </c>
      <c r="E1897" s="39">
        <v>1</v>
      </c>
      <c r="F1897" s="40">
        <v>1.43</v>
      </c>
      <c r="G1897" s="40">
        <f t="shared" si="29"/>
        <v>1.43</v>
      </c>
      <c r="H1897" s="41" t="s">
        <v>24</v>
      </c>
      <c r="I1897" s="41" t="s">
        <v>58</v>
      </c>
      <c r="J1897" s="32"/>
    </row>
    <row r="1898" spans="1:10" x14ac:dyDescent="0.2">
      <c r="A1898" s="32"/>
      <c r="B1898" s="42" t="s">
        <v>3179</v>
      </c>
      <c r="C1898" s="43" t="s">
        <v>3137</v>
      </c>
      <c r="D1898" s="44" t="s">
        <v>3180</v>
      </c>
      <c r="E1898" s="45">
        <v>1</v>
      </c>
      <c r="F1898" s="46">
        <v>37.99</v>
      </c>
      <c r="G1898" s="46">
        <f t="shared" si="29"/>
        <v>37.99</v>
      </c>
      <c r="H1898" s="47" t="s">
        <v>24</v>
      </c>
      <c r="I1898" s="47" t="s">
        <v>58</v>
      </c>
      <c r="J1898" s="32"/>
    </row>
    <row r="1899" spans="1:10" x14ac:dyDescent="0.2">
      <c r="A1899" s="32"/>
      <c r="B1899" s="36" t="s">
        <v>3181</v>
      </c>
      <c r="C1899" s="37" t="s">
        <v>3137</v>
      </c>
      <c r="D1899" s="38" t="s">
        <v>3182</v>
      </c>
      <c r="E1899" s="39">
        <v>1</v>
      </c>
      <c r="F1899" s="40">
        <v>25.99</v>
      </c>
      <c r="G1899" s="40">
        <f t="shared" si="29"/>
        <v>25.99</v>
      </c>
      <c r="H1899" s="41" t="s">
        <v>24</v>
      </c>
      <c r="I1899" s="41" t="s">
        <v>58</v>
      </c>
      <c r="J1899" s="32"/>
    </row>
    <row r="1900" spans="1:10" x14ac:dyDescent="0.2">
      <c r="A1900" s="32"/>
      <c r="B1900" s="42" t="s">
        <v>3183</v>
      </c>
      <c r="C1900" s="43" t="s">
        <v>3137</v>
      </c>
      <c r="D1900" s="44" t="s">
        <v>3184</v>
      </c>
      <c r="E1900" s="45">
        <v>1</v>
      </c>
      <c r="F1900" s="46">
        <v>4.6900000000000004</v>
      </c>
      <c r="G1900" s="46">
        <f t="shared" si="29"/>
        <v>4.6900000000000004</v>
      </c>
      <c r="H1900" s="47" t="s">
        <v>24</v>
      </c>
      <c r="I1900" s="47" t="s">
        <v>58</v>
      </c>
      <c r="J1900" s="32"/>
    </row>
    <row r="1901" spans="1:10" x14ac:dyDescent="0.2">
      <c r="A1901" s="32"/>
      <c r="B1901" s="36" t="s">
        <v>3185</v>
      </c>
      <c r="C1901" s="37" t="s">
        <v>3137</v>
      </c>
      <c r="D1901" s="38" t="s">
        <v>3186</v>
      </c>
      <c r="E1901" s="39">
        <v>1</v>
      </c>
      <c r="F1901" s="40">
        <v>4.68</v>
      </c>
      <c r="G1901" s="40">
        <f t="shared" si="29"/>
        <v>4.68</v>
      </c>
      <c r="H1901" s="41" t="s">
        <v>24</v>
      </c>
      <c r="I1901" s="41" t="s">
        <v>58</v>
      </c>
      <c r="J1901" s="32"/>
    </row>
    <row r="1902" spans="1:10" x14ac:dyDescent="0.2">
      <c r="A1902" s="32"/>
      <c r="B1902" s="42" t="s">
        <v>3187</v>
      </c>
      <c r="C1902" s="43" t="s">
        <v>3137</v>
      </c>
      <c r="D1902" s="44" t="s">
        <v>1368</v>
      </c>
      <c r="E1902" s="45">
        <v>1</v>
      </c>
      <c r="F1902" s="46">
        <v>1.43</v>
      </c>
      <c r="G1902" s="46">
        <f t="shared" si="29"/>
        <v>1.43</v>
      </c>
      <c r="H1902" s="47" t="s">
        <v>24</v>
      </c>
      <c r="I1902" s="47" t="s">
        <v>58</v>
      </c>
      <c r="J1902" s="32"/>
    </row>
    <row r="1903" spans="1:10" x14ac:dyDescent="0.2">
      <c r="A1903" s="32"/>
      <c r="B1903" s="36" t="s">
        <v>3188</v>
      </c>
      <c r="C1903" s="37" t="s">
        <v>3137</v>
      </c>
      <c r="D1903" s="38" t="s">
        <v>2589</v>
      </c>
      <c r="E1903" s="39">
        <v>1</v>
      </c>
      <c r="F1903" s="40">
        <v>8.99</v>
      </c>
      <c r="G1903" s="40">
        <f t="shared" si="29"/>
        <v>8.99</v>
      </c>
      <c r="H1903" s="41" t="s">
        <v>24</v>
      </c>
      <c r="I1903" s="41" t="s">
        <v>58</v>
      </c>
      <c r="J1903" s="32"/>
    </row>
    <row r="1904" spans="1:10" x14ac:dyDescent="0.2">
      <c r="A1904" s="32"/>
      <c r="B1904" s="42" t="s">
        <v>3189</v>
      </c>
      <c r="C1904" s="43" t="s">
        <v>3137</v>
      </c>
      <c r="D1904" s="44" t="s">
        <v>2589</v>
      </c>
      <c r="E1904" s="45">
        <v>1</v>
      </c>
      <c r="F1904" s="46">
        <v>8.99</v>
      </c>
      <c r="G1904" s="46">
        <f t="shared" si="29"/>
        <v>8.99</v>
      </c>
      <c r="H1904" s="47" t="s">
        <v>24</v>
      </c>
      <c r="I1904" s="47" t="s">
        <v>58</v>
      </c>
      <c r="J1904" s="32"/>
    </row>
    <row r="1905" spans="1:10" x14ac:dyDescent="0.2">
      <c r="A1905" s="32"/>
      <c r="B1905" s="36" t="s">
        <v>3190</v>
      </c>
      <c r="C1905" s="37" t="s">
        <v>3137</v>
      </c>
      <c r="D1905" s="38" t="s">
        <v>2834</v>
      </c>
      <c r="E1905" s="39">
        <v>1</v>
      </c>
      <c r="F1905" s="40">
        <v>3.19</v>
      </c>
      <c r="G1905" s="40">
        <f t="shared" si="29"/>
        <v>3.19</v>
      </c>
      <c r="H1905" s="41" t="s">
        <v>24</v>
      </c>
      <c r="I1905" s="41" t="s">
        <v>58</v>
      </c>
      <c r="J1905" s="32"/>
    </row>
    <row r="1906" spans="1:10" x14ac:dyDescent="0.2">
      <c r="A1906" s="32"/>
      <c r="B1906" s="42" t="s">
        <v>3191</v>
      </c>
      <c r="C1906" s="43" t="s">
        <v>3137</v>
      </c>
      <c r="D1906" s="44" t="s">
        <v>2834</v>
      </c>
      <c r="E1906" s="45">
        <v>1</v>
      </c>
      <c r="F1906" s="46">
        <v>3.19</v>
      </c>
      <c r="G1906" s="46">
        <f t="shared" si="29"/>
        <v>3.19</v>
      </c>
      <c r="H1906" s="47" t="s">
        <v>24</v>
      </c>
      <c r="I1906" s="47" t="s">
        <v>58</v>
      </c>
      <c r="J1906" s="32"/>
    </row>
    <row r="1907" spans="1:10" x14ac:dyDescent="0.2">
      <c r="A1907" s="32"/>
      <c r="B1907" s="36" t="s">
        <v>3192</v>
      </c>
      <c r="C1907" s="37" t="s">
        <v>3137</v>
      </c>
      <c r="D1907" s="38" t="s">
        <v>137</v>
      </c>
      <c r="E1907" s="39">
        <v>1</v>
      </c>
      <c r="F1907" s="40">
        <v>6.49</v>
      </c>
      <c r="G1907" s="40">
        <f t="shared" si="29"/>
        <v>6.49</v>
      </c>
      <c r="H1907" s="41" t="s">
        <v>24</v>
      </c>
      <c r="I1907" s="41" t="s">
        <v>58</v>
      </c>
      <c r="J1907" s="32"/>
    </row>
    <row r="1908" spans="1:10" x14ac:dyDescent="0.2">
      <c r="A1908" s="32"/>
      <c r="B1908" s="42" t="s">
        <v>3193</v>
      </c>
      <c r="C1908" s="43" t="s">
        <v>3137</v>
      </c>
      <c r="D1908" s="44" t="s">
        <v>43</v>
      </c>
      <c r="E1908" s="45">
        <v>1</v>
      </c>
      <c r="F1908" s="46">
        <v>2.59</v>
      </c>
      <c r="G1908" s="46">
        <f t="shared" si="29"/>
        <v>2.59</v>
      </c>
      <c r="H1908" s="47" t="s">
        <v>24</v>
      </c>
      <c r="I1908" s="47" t="s">
        <v>58</v>
      </c>
      <c r="J1908" s="32"/>
    </row>
    <row r="1909" spans="1:10" x14ac:dyDescent="0.2">
      <c r="A1909" s="32"/>
      <c r="B1909" s="36" t="s">
        <v>3194</v>
      </c>
      <c r="C1909" s="37" t="s">
        <v>3137</v>
      </c>
      <c r="D1909" s="38" t="s">
        <v>3184</v>
      </c>
      <c r="E1909" s="39">
        <v>1</v>
      </c>
      <c r="F1909" s="40">
        <v>4.6900000000000004</v>
      </c>
      <c r="G1909" s="40">
        <f t="shared" si="29"/>
        <v>4.6900000000000004</v>
      </c>
      <c r="H1909" s="41" t="s">
        <v>24</v>
      </c>
      <c r="I1909" s="41" t="s">
        <v>58</v>
      </c>
      <c r="J1909" s="32"/>
    </row>
    <row r="1910" spans="1:10" x14ac:dyDescent="0.2">
      <c r="A1910" s="32"/>
      <c r="B1910" s="42" t="s">
        <v>3195</v>
      </c>
      <c r="C1910" s="43" t="s">
        <v>3137</v>
      </c>
      <c r="D1910" s="44" t="s">
        <v>1387</v>
      </c>
      <c r="E1910" s="45">
        <v>1</v>
      </c>
      <c r="F1910" s="46">
        <v>33.99</v>
      </c>
      <c r="G1910" s="46">
        <f t="shared" si="29"/>
        <v>33.99</v>
      </c>
      <c r="H1910" s="47" t="s">
        <v>24</v>
      </c>
      <c r="I1910" s="47" t="s">
        <v>58</v>
      </c>
      <c r="J1910" s="32"/>
    </row>
    <row r="1911" spans="1:10" x14ac:dyDescent="0.2">
      <c r="A1911" s="32"/>
      <c r="B1911" s="36" t="s">
        <v>3196</v>
      </c>
      <c r="C1911" s="37" t="s">
        <v>3137</v>
      </c>
      <c r="D1911" s="38" t="s">
        <v>3197</v>
      </c>
      <c r="E1911" s="39">
        <v>1</v>
      </c>
      <c r="F1911" s="40">
        <v>10.59</v>
      </c>
      <c r="G1911" s="40">
        <f t="shared" si="29"/>
        <v>10.59</v>
      </c>
      <c r="H1911" s="41" t="s">
        <v>24</v>
      </c>
      <c r="I1911" s="41" t="s">
        <v>58</v>
      </c>
      <c r="J1911" s="32"/>
    </row>
    <row r="1912" spans="1:10" x14ac:dyDescent="0.2">
      <c r="A1912" s="32"/>
      <c r="B1912" s="42" t="s">
        <v>3198</v>
      </c>
      <c r="C1912" s="43" t="s">
        <v>3137</v>
      </c>
      <c r="D1912" s="44" t="s">
        <v>3199</v>
      </c>
      <c r="E1912" s="45">
        <v>1</v>
      </c>
      <c r="F1912" s="46">
        <v>6.39</v>
      </c>
      <c r="G1912" s="46">
        <f t="shared" si="29"/>
        <v>6.39</v>
      </c>
      <c r="H1912" s="47" t="s">
        <v>24</v>
      </c>
      <c r="I1912" s="47" t="s">
        <v>58</v>
      </c>
      <c r="J1912" s="32"/>
    </row>
    <row r="1913" spans="1:10" x14ac:dyDescent="0.2">
      <c r="A1913" s="32"/>
      <c r="B1913" s="36" t="s">
        <v>3200</v>
      </c>
      <c r="C1913" s="37" t="s">
        <v>3137</v>
      </c>
      <c r="D1913" s="38" t="s">
        <v>3199</v>
      </c>
      <c r="E1913" s="39">
        <v>1</v>
      </c>
      <c r="F1913" s="40">
        <v>6.39</v>
      </c>
      <c r="G1913" s="40">
        <f t="shared" si="29"/>
        <v>6.39</v>
      </c>
      <c r="H1913" s="41" t="s">
        <v>24</v>
      </c>
      <c r="I1913" s="41" t="s">
        <v>58</v>
      </c>
      <c r="J1913" s="32"/>
    </row>
    <row r="1914" spans="1:10" x14ac:dyDescent="0.2">
      <c r="A1914" s="32"/>
      <c r="B1914" s="42" t="s">
        <v>3201</v>
      </c>
      <c r="C1914" s="43" t="s">
        <v>3137</v>
      </c>
      <c r="D1914" s="44" t="s">
        <v>3202</v>
      </c>
      <c r="E1914" s="45">
        <v>1</v>
      </c>
      <c r="F1914" s="46">
        <v>15.49</v>
      </c>
      <c r="G1914" s="46">
        <f t="shared" si="29"/>
        <v>15.49</v>
      </c>
      <c r="H1914" s="47" t="s">
        <v>25</v>
      </c>
      <c r="I1914" s="47" t="s">
        <v>58</v>
      </c>
      <c r="J1914" s="32"/>
    </row>
    <row r="1915" spans="1:10" x14ac:dyDescent="0.2">
      <c r="A1915" s="32"/>
      <c r="B1915" s="36" t="s">
        <v>3203</v>
      </c>
      <c r="C1915" s="37" t="s">
        <v>3137</v>
      </c>
      <c r="D1915" s="38" t="s">
        <v>1501</v>
      </c>
      <c r="E1915" s="39">
        <v>1</v>
      </c>
      <c r="F1915" s="40">
        <v>5.99</v>
      </c>
      <c r="G1915" s="40">
        <f t="shared" si="29"/>
        <v>5.99</v>
      </c>
      <c r="H1915" s="41" t="s">
        <v>24</v>
      </c>
      <c r="I1915" s="41" t="s">
        <v>58</v>
      </c>
      <c r="J1915" s="32"/>
    </row>
    <row r="1916" spans="1:10" x14ac:dyDescent="0.2">
      <c r="A1916" s="32"/>
      <c r="B1916" s="42" t="s">
        <v>3204</v>
      </c>
      <c r="C1916" s="43" t="s">
        <v>3137</v>
      </c>
      <c r="D1916" s="44" t="s">
        <v>1678</v>
      </c>
      <c r="E1916" s="45">
        <v>1</v>
      </c>
      <c r="F1916" s="46">
        <v>26.99</v>
      </c>
      <c r="G1916" s="46">
        <f t="shared" si="29"/>
        <v>26.99</v>
      </c>
      <c r="H1916" s="47" t="s">
        <v>24</v>
      </c>
      <c r="I1916" s="47" t="s">
        <v>58</v>
      </c>
      <c r="J1916" s="32"/>
    </row>
    <row r="1917" spans="1:10" x14ac:dyDescent="0.2">
      <c r="A1917" s="32"/>
      <c r="B1917" s="36" t="s">
        <v>3205</v>
      </c>
      <c r="C1917" s="37" t="s">
        <v>3137</v>
      </c>
      <c r="D1917" s="38" t="s">
        <v>2335</v>
      </c>
      <c r="E1917" s="39">
        <v>1</v>
      </c>
      <c r="F1917" s="40">
        <v>5.49</v>
      </c>
      <c r="G1917" s="40">
        <f t="shared" si="29"/>
        <v>5.49</v>
      </c>
      <c r="H1917" s="41" t="s">
        <v>28</v>
      </c>
      <c r="I1917" s="41" t="s">
        <v>58</v>
      </c>
      <c r="J1917" s="32"/>
    </row>
    <row r="1918" spans="1:10" x14ac:dyDescent="0.2">
      <c r="A1918" s="32"/>
      <c r="B1918" s="42" t="s">
        <v>3206</v>
      </c>
      <c r="C1918" s="43" t="s">
        <v>3137</v>
      </c>
      <c r="D1918" s="44" t="s">
        <v>2751</v>
      </c>
      <c r="E1918" s="45">
        <v>1</v>
      </c>
      <c r="F1918" s="46">
        <v>19.989999999999998</v>
      </c>
      <c r="G1918" s="46">
        <f t="shared" si="29"/>
        <v>19.989999999999998</v>
      </c>
      <c r="H1918" s="47" t="s">
        <v>24</v>
      </c>
      <c r="I1918" s="47" t="s">
        <v>58</v>
      </c>
      <c r="J1918" s="32"/>
    </row>
    <row r="1919" spans="1:10" x14ac:dyDescent="0.2">
      <c r="A1919" s="32"/>
      <c r="B1919" s="36" t="s">
        <v>3207</v>
      </c>
      <c r="C1919" s="37" t="s">
        <v>3137</v>
      </c>
      <c r="D1919" s="38" t="s">
        <v>3208</v>
      </c>
      <c r="E1919" s="39">
        <v>1</v>
      </c>
      <c r="F1919" s="40">
        <v>35.99</v>
      </c>
      <c r="G1919" s="40">
        <f t="shared" si="29"/>
        <v>35.99</v>
      </c>
      <c r="H1919" s="41" t="s">
        <v>24</v>
      </c>
      <c r="I1919" s="41" t="s">
        <v>58</v>
      </c>
      <c r="J1919" s="32"/>
    </row>
    <row r="1920" spans="1:10" x14ac:dyDescent="0.2">
      <c r="A1920" s="32"/>
      <c r="B1920" s="42" t="s">
        <v>3209</v>
      </c>
      <c r="C1920" s="43" t="s">
        <v>3210</v>
      </c>
      <c r="D1920" s="44" t="s">
        <v>3211</v>
      </c>
      <c r="E1920" s="45">
        <v>1</v>
      </c>
      <c r="F1920" s="46">
        <v>44</v>
      </c>
      <c r="G1920" s="46">
        <f t="shared" si="29"/>
        <v>44</v>
      </c>
      <c r="H1920" s="47" t="s">
        <v>24</v>
      </c>
      <c r="I1920" s="47" t="s">
        <v>58</v>
      </c>
      <c r="J1920" s="32"/>
    </row>
    <row r="1921" spans="1:10" x14ac:dyDescent="0.2">
      <c r="A1921" s="32"/>
      <c r="B1921" s="36" t="s">
        <v>3212</v>
      </c>
      <c r="C1921" s="37" t="s">
        <v>3210</v>
      </c>
      <c r="D1921" s="38" t="s">
        <v>3213</v>
      </c>
      <c r="E1921" s="39">
        <v>1</v>
      </c>
      <c r="F1921" s="40">
        <v>40</v>
      </c>
      <c r="G1921" s="40">
        <f t="shared" si="29"/>
        <v>40</v>
      </c>
      <c r="H1921" s="41" t="s">
        <v>24</v>
      </c>
      <c r="I1921" s="41" t="s">
        <v>58</v>
      </c>
      <c r="J1921" s="32"/>
    </row>
    <row r="1922" spans="1:10" x14ac:dyDescent="0.2">
      <c r="A1922" s="32"/>
      <c r="B1922" s="42" t="s">
        <v>3214</v>
      </c>
      <c r="C1922" s="43" t="s">
        <v>3215</v>
      </c>
      <c r="D1922" s="44" t="s">
        <v>3216</v>
      </c>
      <c r="E1922" s="45">
        <v>1</v>
      </c>
      <c r="F1922" s="46">
        <v>51</v>
      </c>
      <c r="G1922" s="46">
        <f t="shared" si="29"/>
        <v>51</v>
      </c>
      <c r="H1922" s="47" t="s">
        <v>24</v>
      </c>
      <c r="I1922" s="47" t="s">
        <v>338</v>
      </c>
      <c r="J1922" s="32"/>
    </row>
    <row r="1923" spans="1:10" x14ac:dyDescent="0.2">
      <c r="A1923" s="32"/>
      <c r="B1923" s="36" t="s">
        <v>3217</v>
      </c>
      <c r="C1923" s="37" t="s">
        <v>3215</v>
      </c>
      <c r="D1923" s="38" t="s">
        <v>3218</v>
      </c>
      <c r="E1923" s="39">
        <v>1</v>
      </c>
      <c r="F1923" s="40">
        <v>54</v>
      </c>
      <c r="G1923" s="40">
        <f t="shared" si="29"/>
        <v>54</v>
      </c>
      <c r="H1923" s="41" t="s">
        <v>24</v>
      </c>
      <c r="I1923" s="41" t="s">
        <v>338</v>
      </c>
      <c r="J1923" s="32"/>
    </row>
    <row r="1924" spans="1:10" x14ac:dyDescent="0.2">
      <c r="A1924" s="32"/>
      <c r="B1924" s="42" t="s">
        <v>3219</v>
      </c>
      <c r="C1924" s="43" t="s">
        <v>3215</v>
      </c>
      <c r="D1924" s="44" t="s">
        <v>41</v>
      </c>
      <c r="E1924" s="45">
        <v>1</v>
      </c>
      <c r="F1924" s="46">
        <v>16</v>
      </c>
      <c r="G1924" s="46">
        <f t="shared" si="29"/>
        <v>16</v>
      </c>
      <c r="H1924" s="47" t="s">
        <v>26</v>
      </c>
      <c r="I1924" s="47" t="s">
        <v>58</v>
      </c>
      <c r="J1924" s="32"/>
    </row>
    <row r="1925" spans="1:10" x14ac:dyDescent="0.2">
      <c r="A1925" s="32"/>
      <c r="B1925" s="36" t="s">
        <v>3220</v>
      </c>
      <c r="C1925" s="37" t="s">
        <v>3221</v>
      </c>
      <c r="D1925" s="38" t="s">
        <v>3222</v>
      </c>
      <c r="E1925" s="39">
        <v>1</v>
      </c>
      <c r="F1925" s="40">
        <v>129.58000000000001</v>
      </c>
      <c r="G1925" s="40">
        <f t="shared" ref="G1925:G1988" si="30">E1925*F1925</f>
        <v>129.58000000000001</v>
      </c>
      <c r="H1925" s="41" t="s">
        <v>24</v>
      </c>
      <c r="I1925" s="41" t="s">
        <v>58</v>
      </c>
      <c r="J1925" s="32"/>
    </row>
    <row r="1926" spans="1:10" x14ac:dyDescent="0.2">
      <c r="A1926" s="32"/>
      <c r="B1926" s="42" t="s">
        <v>3223</v>
      </c>
      <c r="C1926" s="43" t="s">
        <v>3221</v>
      </c>
      <c r="D1926" s="44" t="s">
        <v>3224</v>
      </c>
      <c r="E1926" s="45">
        <v>1</v>
      </c>
      <c r="F1926" s="46">
        <v>19.52</v>
      </c>
      <c r="G1926" s="46">
        <f t="shared" si="30"/>
        <v>19.52</v>
      </c>
      <c r="H1926" s="47" t="s">
        <v>25</v>
      </c>
      <c r="I1926" s="47" t="s">
        <v>58</v>
      </c>
      <c r="J1926" s="32"/>
    </row>
    <row r="1927" spans="1:10" x14ac:dyDescent="0.2">
      <c r="A1927" s="32"/>
      <c r="B1927" s="36" t="s">
        <v>3225</v>
      </c>
      <c r="C1927" s="37" t="s">
        <v>3221</v>
      </c>
      <c r="D1927" s="38" t="s">
        <v>3226</v>
      </c>
      <c r="E1927" s="39">
        <v>1</v>
      </c>
      <c r="F1927" s="40">
        <v>41.47</v>
      </c>
      <c r="G1927" s="40">
        <f t="shared" si="30"/>
        <v>41.47</v>
      </c>
      <c r="H1927" s="41" t="s">
        <v>24</v>
      </c>
      <c r="I1927" s="41" t="s">
        <v>58</v>
      </c>
      <c r="J1927" s="32"/>
    </row>
    <row r="1928" spans="1:10" x14ac:dyDescent="0.2">
      <c r="A1928" s="32"/>
      <c r="B1928" s="42" t="s">
        <v>3227</v>
      </c>
      <c r="C1928" s="43" t="s">
        <v>3221</v>
      </c>
      <c r="D1928" s="44" t="s">
        <v>3228</v>
      </c>
      <c r="E1928" s="45">
        <v>1</v>
      </c>
      <c r="F1928" s="46">
        <v>9.49</v>
      </c>
      <c r="G1928" s="46">
        <f t="shared" si="30"/>
        <v>9.49</v>
      </c>
      <c r="H1928" s="47" t="s">
        <v>24</v>
      </c>
      <c r="I1928" s="47" t="s">
        <v>58</v>
      </c>
      <c r="J1928" s="32"/>
    </row>
    <row r="1929" spans="1:10" x14ac:dyDescent="0.2">
      <c r="A1929" s="32"/>
      <c r="B1929" s="36" t="s">
        <v>3229</v>
      </c>
      <c r="C1929" s="37" t="s">
        <v>3230</v>
      </c>
      <c r="D1929" s="38" t="s">
        <v>2289</v>
      </c>
      <c r="E1929" s="39">
        <v>1</v>
      </c>
      <c r="F1929" s="40">
        <v>53.9</v>
      </c>
      <c r="G1929" s="40">
        <f t="shared" si="30"/>
        <v>53.9</v>
      </c>
      <c r="H1929" s="41" t="s">
        <v>24</v>
      </c>
      <c r="I1929" s="41" t="s">
        <v>58</v>
      </c>
      <c r="J1929" s="32"/>
    </row>
    <row r="1930" spans="1:10" x14ac:dyDescent="0.2">
      <c r="A1930" s="32"/>
      <c r="B1930" s="42" t="s">
        <v>3231</v>
      </c>
      <c r="C1930" s="43" t="s">
        <v>3230</v>
      </c>
      <c r="D1930" s="44" t="s">
        <v>3040</v>
      </c>
      <c r="E1930" s="45">
        <v>1</v>
      </c>
      <c r="F1930" s="46">
        <v>13</v>
      </c>
      <c r="G1930" s="46">
        <f t="shared" si="30"/>
        <v>13</v>
      </c>
      <c r="H1930" s="47" t="s">
        <v>24</v>
      </c>
      <c r="I1930" s="47" t="s">
        <v>58</v>
      </c>
      <c r="J1930" s="32"/>
    </row>
    <row r="1931" spans="1:10" x14ac:dyDescent="0.2">
      <c r="A1931" s="32"/>
      <c r="B1931" s="36" t="s">
        <v>3232</v>
      </c>
      <c r="C1931" s="37" t="s">
        <v>3233</v>
      </c>
      <c r="D1931" s="38" t="s">
        <v>2289</v>
      </c>
      <c r="E1931" s="39">
        <v>1</v>
      </c>
      <c r="F1931" s="40">
        <v>53.9</v>
      </c>
      <c r="G1931" s="40">
        <f t="shared" si="30"/>
        <v>53.9</v>
      </c>
      <c r="H1931" s="41" t="s">
        <v>24</v>
      </c>
      <c r="I1931" s="41" t="s">
        <v>58</v>
      </c>
      <c r="J1931" s="32"/>
    </row>
    <row r="1932" spans="1:10" x14ac:dyDescent="0.2">
      <c r="A1932" s="32"/>
      <c r="B1932" s="42" t="s">
        <v>3234</v>
      </c>
      <c r="C1932" s="43" t="s">
        <v>3233</v>
      </c>
      <c r="D1932" s="44" t="s">
        <v>3040</v>
      </c>
      <c r="E1932" s="45">
        <v>1</v>
      </c>
      <c r="F1932" s="46">
        <v>13</v>
      </c>
      <c r="G1932" s="46">
        <f t="shared" si="30"/>
        <v>13</v>
      </c>
      <c r="H1932" s="47" t="s">
        <v>24</v>
      </c>
      <c r="I1932" s="47" t="s">
        <v>58</v>
      </c>
      <c r="J1932" s="32"/>
    </row>
    <row r="1933" spans="1:10" x14ac:dyDescent="0.2">
      <c r="A1933" s="32"/>
      <c r="B1933" s="36" t="s">
        <v>3235</v>
      </c>
      <c r="C1933" s="37" t="s">
        <v>3221</v>
      </c>
      <c r="D1933" s="38" t="s">
        <v>3236</v>
      </c>
      <c r="E1933" s="39">
        <v>1</v>
      </c>
      <c r="F1933" s="40">
        <v>53.9</v>
      </c>
      <c r="G1933" s="40">
        <f t="shared" si="30"/>
        <v>53.9</v>
      </c>
      <c r="H1933" s="41" t="s">
        <v>24</v>
      </c>
      <c r="I1933" s="41" t="s">
        <v>58</v>
      </c>
      <c r="J1933" s="32"/>
    </row>
    <row r="1934" spans="1:10" x14ac:dyDescent="0.2">
      <c r="A1934" s="32"/>
      <c r="B1934" s="42" t="s">
        <v>3237</v>
      </c>
      <c r="C1934" s="43" t="s">
        <v>3221</v>
      </c>
      <c r="D1934" s="44" t="s">
        <v>3040</v>
      </c>
      <c r="E1934" s="45">
        <v>1</v>
      </c>
      <c r="F1934" s="46">
        <v>13</v>
      </c>
      <c r="G1934" s="46">
        <f t="shared" si="30"/>
        <v>13</v>
      </c>
      <c r="H1934" s="47" t="s">
        <v>24</v>
      </c>
      <c r="I1934" s="47" t="s">
        <v>58</v>
      </c>
      <c r="J1934" s="32"/>
    </row>
    <row r="1935" spans="1:10" x14ac:dyDescent="0.2">
      <c r="A1935" s="32"/>
      <c r="B1935" s="36" t="s">
        <v>3238</v>
      </c>
      <c r="C1935" s="37" t="s">
        <v>3239</v>
      </c>
      <c r="D1935" s="38" t="s">
        <v>2289</v>
      </c>
      <c r="E1935" s="39">
        <v>1</v>
      </c>
      <c r="F1935" s="40">
        <v>53.9</v>
      </c>
      <c r="G1935" s="40">
        <f t="shared" si="30"/>
        <v>53.9</v>
      </c>
      <c r="H1935" s="41" t="s">
        <v>24</v>
      </c>
      <c r="I1935" s="41" t="s">
        <v>58</v>
      </c>
      <c r="J1935" s="32"/>
    </row>
    <row r="1936" spans="1:10" x14ac:dyDescent="0.2">
      <c r="A1936" s="32"/>
      <c r="B1936" s="42" t="s">
        <v>3240</v>
      </c>
      <c r="C1936" s="43" t="s">
        <v>3239</v>
      </c>
      <c r="D1936" s="44" t="s">
        <v>2291</v>
      </c>
      <c r="E1936" s="45">
        <v>1</v>
      </c>
      <c r="F1936" s="46">
        <v>53.9</v>
      </c>
      <c r="G1936" s="46">
        <f t="shared" si="30"/>
        <v>53.9</v>
      </c>
      <c r="H1936" s="47" t="s">
        <v>24</v>
      </c>
      <c r="I1936" s="47" t="s">
        <v>58</v>
      </c>
      <c r="J1936" s="32"/>
    </row>
    <row r="1937" spans="1:10" x14ac:dyDescent="0.2">
      <c r="A1937" s="32"/>
      <c r="B1937" s="36" t="s">
        <v>3241</v>
      </c>
      <c r="C1937" s="37" t="s">
        <v>3239</v>
      </c>
      <c r="D1937" s="38" t="s">
        <v>3040</v>
      </c>
      <c r="E1937" s="39">
        <v>1</v>
      </c>
      <c r="F1937" s="40">
        <v>13</v>
      </c>
      <c r="G1937" s="40">
        <f t="shared" si="30"/>
        <v>13</v>
      </c>
      <c r="H1937" s="41" t="s">
        <v>24</v>
      </c>
      <c r="I1937" s="41" t="s">
        <v>58</v>
      </c>
      <c r="J1937" s="32"/>
    </row>
    <row r="1938" spans="1:10" x14ac:dyDescent="0.2">
      <c r="A1938" s="32"/>
      <c r="B1938" s="42" t="s">
        <v>3242</v>
      </c>
      <c r="C1938" s="43" t="s">
        <v>3243</v>
      </c>
      <c r="D1938" s="44" t="s">
        <v>2289</v>
      </c>
      <c r="E1938" s="45">
        <v>1</v>
      </c>
      <c r="F1938" s="46">
        <v>53.9</v>
      </c>
      <c r="G1938" s="46">
        <f t="shared" si="30"/>
        <v>53.9</v>
      </c>
      <c r="H1938" s="47" t="s">
        <v>24</v>
      </c>
      <c r="I1938" s="47" t="s">
        <v>58</v>
      </c>
      <c r="J1938" s="32"/>
    </row>
    <row r="1939" spans="1:10" x14ac:dyDescent="0.2">
      <c r="A1939" s="32"/>
      <c r="B1939" s="36" t="s">
        <v>3244</v>
      </c>
      <c r="C1939" s="37" t="s">
        <v>3243</v>
      </c>
      <c r="D1939" s="38" t="s">
        <v>3040</v>
      </c>
      <c r="E1939" s="39">
        <v>1</v>
      </c>
      <c r="F1939" s="40">
        <v>13</v>
      </c>
      <c r="G1939" s="40">
        <f t="shared" si="30"/>
        <v>13</v>
      </c>
      <c r="H1939" s="41" t="s">
        <v>24</v>
      </c>
      <c r="I1939" s="41" t="s">
        <v>58</v>
      </c>
      <c r="J1939" s="32"/>
    </row>
    <row r="1940" spans="1:10" x14ac:dyDescent="0.2">
      <c r="A1940" s="32"/>
      <c r="B1940" s="42" t="s">
        <v>3245</v>
      </c>
      <c r="C1940" s="43" t="s">
        <v>3246</v>
      </c>
      <c r="D1940" s="44" t="s">
        <v>3247</v>
      </c>
      <c r="E1940" s="45">
        <v>1</v>
      </c>
      <c r="F1940" s="46">
        <v>36.99</v>
      </c>
      <c r="G1940" s="46">
        <f t="shared" si="30"/>
        <v>36.99</v>
      </c>
      <c r="H1940" s="47" t="s">
        <v>24</v>
      </c>
      <c r="I1940" s="47" t="s">
        <v>58</v>
      </c>
      <c r="J1940" s="32"/>
    </row>
    <row r="1941" spans="1:10" x14ac:dyDescent="0.2">
      <c r="A1941" s="32"/>
      <c r="B1941" s="36" t="s">
        <v>3248</v>
      </c>
      <c r="C1941" s="37" t="s">
        <v>3246</v>
      </c>
      <c r="D1941" s="38" t="s">
        <v>2840</v>
      </c>
      <c r="E1941" s="39">
        <v>1</v>
      </c>
      <c r="F1941" s="40">
        <v>59.99</v>
      </c>
      <c r="G1941" s="40">
        <f t="shared" si="30"/>
        <v>59.99</v>
      </c>
      <c r="H1941" s="41" t="s">
        <v>24</v>
      </c>
      <c r="I1941" s="41" t="s">
        <v>58</v>
      </c>
      <c r="J1941" s="32"/>
    </row>
    <row r="1942" spans="1:10" x14ac:dyDescent="0.2">
      <c r="A1942" s="32"/>
      <c r="B1942" s="42" t="s">
        <v>3249</v>
      </c>
      <c r="C1942" s="43" t="s">
        <v>3246</v>
      </c>
      <c r="D1942" s="44" t="s">
        <v>1398</v>
      </c>
      <c r="E1942" s="45">
        <v>1</v>
      </c>
      <c r="F1942" s="46">
        <v>55.99</v>
      </c>
      <c r="G1942" s="46">
        <f t="shared" si="30"/>
        <v>55.99</v>
      </c>
      <c r="H1942" s="47" t="s">
        <v>24</v>
      </c>
      <c r="I1942" s="47" t="s">
        <v>58</v>
      </c>
      <c r="J1942" s="32"/>
    </row>
    <row r="1943" spans="1:10" x14ac:dyDescent="0.2">
      <c r="A1943" s="32"/>
      <c r="B1943" s="36" t="s">
        <v>3250</v>
      </c>
      <c r="C1943" s="37" t="s">
        <v>3246</v>
      </c>
      <c r="D1943" s="38" t="s">
        <v>43</v>
      </c>
      <c r="E1943" s="39">
        <v>1</v>
      </c>
      <c r="F1943" s="40">
        <v>2.59</v>
      </c>
      <c r="G1943" s="40">
        <f t="shared" si="30"/>
        <v>2.59</v>
      </c>
      <c r="H1943" s="41" t="s">
        <v>24</v>
      </c>
      <c r="I1943" s="41" t="s">
        <v>58</v>
      </c>
      <c r="J1943" s="32"/>
    </row>
    <row r="1944" spans="1:10" x14ac:dyDescent="0.2">
      <c r="A1944" s="32"/>
      <c r="B1944" s="42" t="s">
        <v>3251</v>
      </c>
      <c r="C1944" s="43" t="s">
        <v>3246</v>
      </c>
      <c r="D1944" s="44" t="s">
        <v>3252</v>
      </c>
      <c r="E1944" s="45">
        <v>1</v>
      </c>
      <c r="F1944" s="46">
        <v>96.49</v>
      </c>
      <c r="G1944" s="46">
        <f t="shared" si="30"/>
        <v>96.49</v>
      </c>
      <c r="H1944" s="47" t="s">
        <v>24</v>
      </c>
      <c r="I1944" s="47" t="s">
        <v>58</v>
      </c>
      <c r="J1944" s="32"/>
    </row>
    <row r="1945" spans="1:10" x14ac:dyDescent="0.2">
      <c r="A1945" s="32"/>
      <c r="B1945" s="36" t="s">
        <v>3253</v>
      </c>
      <c r="C1945" s="37" t="s">
        <v>3246</v>
      </c>
      <c r="D1945" s="38" t="s">
        <v>2753</v>
      </c>
      <c r="E1945" s="39">
        <v>1</v>
      </c>
      <c r="F1945" s="40">
        <v>54.9</v>
      </c>
      <c r="G1945" s="40">
        <f t="shared" si="30"/>
        <v>54.9</v>
      </c>
      <c r="H1945" s="41" t="s">
        <v>24</v>
      </c>
      <c r="I1945" s="41" t="s">
        <v>58</v>
      </c>
      <c r="J1945" s="32"/>
    </row>
    <row r="1946" spans="1:10" x14ac:dyDescent="0.2">
      <c r="A1946" s="32"/>
      <c r="B1946" s="42" t="s">
        <v>3254</v>
      </c>
      <c r="C1946" s="43" t="s">
        <v>3246</v>
      </c>
      <c r="D1946" s="44" t="s">
        <v>1678</v>
      </c>
      <c r="E1946" s="45">
        <v>1</v>
      </c>
      <c r="F1946" s="46">
        <v>26.99</v>
      </c>
      <c r="G1946" s="46">
        <f t="shared" si="30"/>
        <v>26.99</v>
      </c>
      <c r="H1946" s="47" t="s">
        <v>24</v>
      </c>
      <c r="I1946" s="47" t="s">
        <v>58</v>
      </c>
      <c r="J1946" s="32"/>
    </row>
    <row r="1947" spans="1:10" x14ac:dyDescent="0.2">
      <c r="A1947" s="32"/>
      <c r="B1947" s="36" t="s">
        <v>3255</v>
      </c>
      <c r="C1947" s="37" t="s">
        <v>3246</v>
      </c>
      <c r="D1947" s="38" t="s">
        <v>2591</v>
      </c>
      <c r="E1947" s="39">
        <v>1</v>
      </c>
      <c r="F1947" s="40">
        <v>7.75</v>
      </c>
      <c r="G1947" s="40">
        <f t="shared" si="30"/>
        <v>7.75</v>
      </c>
      <c r="H1947" s="41" t="s">
        <v>24</v>
      </c>
      <c r="I1947" s="41" t="s">
        <v>58</v>
      </c>
      <c r="J1947" s="32"/>
    </row>
    <row r="1948" spans="1:10" x14ac:dyDescent="0.2">
      <c r="A1948" s="32"/>
      <c r="B1948" s="42" t="s">
        <v>3256</v>
      </c>
      <c r="C1948" s="43" t="s">
        <v>3246</v>
      </c>
      <c r="D1948" s="44" t="s">
        <v>2685</v>
      </c>
      <c r="E1948" s="45">
        <v>1</v>
      </c>
      <c r="F1948" s="46">
        <v>4.49</v>
      </c>
      <c r="G1948" s="46">
        <f t="shared" si="30"/>
        <v>4.49</v>
      </c>
      <c r="H1948" s="47" t="s">
        <v>24</v>
      </c>
      <c r="I1948" s="47" t="s">
        <v>58</v>
      </c>
      <c r="J1948" s="32"/>
    </row>
    <row r="1949" spans="1:10" x14ac:dyDescent="0.2">
      <c r="A1949" s="32"/>
      <c r="B1949" s="36" t="s">
        <v>3257</v>
      </c>
      <c r="C1949" s="37" t="s">
        <v>3246</v>
      </c>
      <c r="D1949" s="38" t="s">
        <v>3258</v>
      </c>
      <c r="E1949" s="39">
        <v>1</v>
      </c>
      <c r="F1949" s="40">
        <v>7.99</v>
      </c>
      <c r="G1949" s="40">
        <f t="shared" si="30"/>
        <v>7.99</v>
      </c>
      <c r="H1949" s="41" t="s">
        <v>24</v>
      </c>
      <c r="I1949" s="41" t="s">
        <v>58</v>
      </c>
      <c r="J1949" s="32"/>
    </row>
    <row r="1950" spans="1:10" x14ac:dyDescent="0.2">
      <c r="A1950" s="32"/>
      <c r="B1950" s="42" t="s">
        <v>3259</v>
      </c>
      <c r="C1950" s="43" t="s">
        <v>3246</v>
      </c>
      <c r="D1950" s="44" t="s">
        <v>2497</v>
      </c>
      <c r="E1950" s="45">
        <v>1</v>
      </c>
      <c r="F1950" s="46">
        <v>11.99</v>
      </c>
      <c r="G1950" s="46">
        <f t="shared" si="30"/>
        <v>11.99</v>
      </c>
      <c r="H1950" s="47" t="s">
        <v>24</v>
      </c>
      <c r="I1950" s="47" t="s">
        <v>58</v>
      </c>
      <c r="J1950" s="32"/>
    </row>
    <row r="1951" spans="1:10" x14ac:dyDescent="0.2">
      <c r="A1951" s="32"/>
      <c r="B1951" s="36" t="s">
        <v>3260</v>
      </c>
      <c r="C1951" s="37" t="s">
        <v>3246</v>
      </c>
      <c r="D1951" s="38" t="s">
        <v>3261</v>
      </c>
      <c r="E1951" s="39">
        <v>1</v>
      </c>
      <c r="F1951" s="40">
        <v>3.35</v>
      </c>
      <c r="G1951" s="40">
        <f t="shared" si="30"/>
        <v>3.35</v>
      </c>
      <c r="H1951" s="41" t="s">
        <v>24</v>
      </c>
      <c r="I1951" s="41" t="s">
        <v>58</v>
      </c>
      <c r="J1951" s="32"/>
    </row>
    <row r="1952" spans="1:10" x14ac:dyDescent="0.2">
      <c r="A1952" s="32"/>
      <c r="B1952" s="42" t="s">
        <v>3262</v>
      </c>
      <c r="C1952" s="43" t="s">
        <v>3246</v>
      </c>
      <c r="D1952" s="44" t="s">
        <v>3263</v>
      </c>
      <c r="E1952" s="45">
        <v>1</v>
      </c>
      <c r="F1952" s="46">
        <v>6.69</v>
      </c>
      <c r="G1952" s="46">
        <f t="shared" si="30"/>
        <v>6.69</v>
      </c>
      <c r="H1952" s="47" t="s">
        <v>24</v>
      </c>
      <c r="I1952" s="47" t="s">
        <v>58</v>
      </c>
      <c r="J1952" s="32"/>
    </row>
    <row r="1953" spans="1:10" x14ac:dyDescent="0.2">
      <c r="A1953" s="32"/>
      <c r="B1953" s="36" t="s">
        <v>3264</v>
      </c>
      <c r="C1953" s="37" t="s">
        <v>3246</v>
      </c>
      <c r="D1953" s="38" t="s">
        <v>2315</v>
      </c>
      <c r="E1953" s="39">
        <v>1</v>
      </c>
      <c r="F1953" s="40">
        <v>6.69</v>
      </c>
      <c r="G1953" s="40">
        <f t="shared" si="30"/>
        <v>6.69</v>
      </c>
      <c r="H1953" s="41" t="s">
        <v>24</v>
      </c>
      <c r="I1953" s="41" t="s">
        <v>58</v>
      </c>
      <c r="J1953" s="32"/>
    </row>
    <row r="1954" spans="1:10" x14ac:dyDescent="0.2">
      <c r="A1954" s="32"/>
      <c r="B1954" s="42" t="s">
        <v>3265</v>
      </c>
      <c r="C1954" s="43" t="s">
        <v>3246</v>
      </c>
      <c r="D1954" s="44" t="s">
        <v>2315</v>
      </c>
      <c r="E1954" s="45">
        <v>1</v>
      </c>
      <c r="F1954" s="46">
        <v>6.69</v>
      </c>
      <c r="G1954" s="46">
        <f t="shared" si="30"/>
        <v>6.69</v>
      </c>
      <c r="H1954" s="47" t="s">
        <v>24</v>
      </c>
      <c r="I1954" s="47" t="s">
        <v>58</v>
      </c>
      <c r="J1954" s="32"/>
    </row>
    <row r="1955" spans="1:10" x14ac:dyDescent="0.2">
      <c r="A1955" s="32"/>
      <c r="B1955" s="36" t="s">
        <v>3266</v>
      </c>
      <c r="C1955" s="37" t="s">
        <v>3246</v>
      </c>
      <c r="D1955" s="38" t="s">
        <v>2697</v>
      </c>
      <c r="E1955" s="39">
        <v>1</v>
      </c>
      <c r="F1955" s="40">
        <v>6.69</v>
      </c>
      <c r="G1955" s="40">
        <f t="shared" si="30"/>
        <v>6.69</v>
      </c>
      <c r="H1955" s="41" t="s">
        <v>24</v>
      </c>
      <c r="I1955" s="41" t="s">
        <v>58</v>
      </c>
      <c r="J1955" s="32"/>
    </row>
    <row r="1956" spans="1:10" x14ac:dyDescent="0.2">
      <c r="A1956" s="32"/>
      <c r="B1956" s="42" t="s">
        <v>3267</v>
      </c>
      <c r="C1956" s="43" t="s">
        <v>3246</v>
      </c>
      <c r="D1956" s="44" t="s">
        <v>2795</v>
      </c>
      <c r="E1956" s="45">
        <v>1</v>
      </c>
      <c r="F1956" s="46">
        <v>6.79</v>
      </c>
      <c r="G1956" s="46">
        <f t="shared" si="30"/>
        <v>6.79</v>
      </c>
      <c r="H1956" s="47" t="s">
        <v>24</v>
      </c>
      <c r="I1956" s="47" t="s">
        <v>58</v>
      </c>
      <c r="J1956" s="32"/>
    </row>
    <row r="1957" spans="1:10" x14ac:dyDescent="0.2">
      <c r="A1957" s="32"/>
      <c r="B1957" s="36" t="s">
        <v>3268</v>
      </c>
      <c r="C1957" s="37" t="s">
        <v>3246</v>
      </c>
      <c r="D1957" s="38" t="s">
        <v>2965</v>
      </c>
      <c r="E1957" s="39">
        <v>1</v>
      </c>
      <c r="F1957" s="40">
        <v>8.39</v>
      </c>
      <c r="G1957" s="40">
        <f t="shared" si="30"/>
        <v>8.39</v>
      </c>
      <c r="H1957" s="41" t="s">
        <v>24</v>
      </c>
      <c r="I1957" s="41" t="s">
        <v>58</v>
      </c>
      <c r="J1957" s="32"/>
    </row>
    <row r="1958" spans="1:10" x14ac:dyDescent="0.2">
      <c r="A1958" s="32"/>
      <c r="B1958" s="42" t="s">
        <v>3269</v>
      </c>
      <c r="C1958" s="43" t="s">
        <v>3246</v>
      </c>
      <c r="D1958" s="44" t="s">
        <v>1368</v>
      </c>
      <c r="E1958" s="45">
        <v>1</v>
      </c>
      <c r="F1958" s="46">
        <v>1.43</v>
      </c>
      <c r="G1958" s="46">
        <f t="shared" si="30"/>
        <v>1.43</v>
      </c>
      <c r="H1958" s="47" t="s">
        <v>24</v>
      </c>
      <c r="I1958" s="47" t="s">
        <v>58</v>
      </c>
      <c r="J1958" s="32"/>
    </row>
    <row r="1959" spans="1:10" x14ac:dyDescent="0.2">
      <c r="A1959" s="32"/>
      <c r="B1959" s="36" t="s">
        <v>3270</v>
      </c>
      <c r="C1959" s="37" t="s">
        <v>3246</v>
      </c>
      <c r="D1959" s="38" t="s">
        <v>1340</v>
      </c>
      <c r="E1959" s="39">
        <v>1</v>
      </c>
      <c r="F1959" s="40">
        <v>47.99</v>
      </c>
      <c r="G1959" s="40">
        <f t="shared" si="30"/>
        <v>47.99</v>
      </c>
      <c r="H1959" s="41" t="s">
        <v>24</v>
      </c>
      <c r="I1959" s="41" t="s">
        <v>58</v>
      </c>
      <c r="J1959" s="32"/>
    </row>
    <row r="1960" spans="1:10" x14ac:dyDescent="0.2">
      <c r="A1960" s="32"/>
      <c r="B1960" s="42" t="s">
        <v>3271</v>
      </c>
      <c r="C1960" s="43" t="s">
        <v>3246</v>
      </c>
      <c r="D1960" s="44" t="s">
        <v>2493</v>
      </c>
      <c r="E1960" s="45">
        <v>1</v>
      </c>
      <c r="F1960" s="46">
        <v>50.99</v>
      </c>
      <c r="G1960" s="46">
        <f t="shared" si="30"/>
        <v>50.99</v>
      </c>
      <c r="H1960" s="47" t="s">
        <v>24</v>
      </c>
      <c r="I1960" s="47" t="s">
        <v>58</v>
      </c>
      <c r="J1960" s="32"/>
    </row>
    <row r="1961" spans="1:10" x14ac:dyDescent="0.2">
      <c r="A1961" s="32"/>
      <c r="B1961" s="36" t="s">
        <v>3272</v>
      </c>
      <c r="C1961" s="37" t="s">
        <v>3246</v>
      </c>
      <c r="D1961" s="38" t="s">
        <v>3097</v>
      </c>
      <c r="E1961" s="39">
        <v>1</v>
      </c>
      <c r="F1961" s="40">
        <v>17.989999999999998</v>
      </c>
      <c r="G1961" s="40">
        <f t="shared" si="30"/>
        <v>17.989999999999998</v>
      </c>
      <c r="H1961" s="41" t="s">
        <v>24</v>
      </c>
      <c r="I1961" s="41" t="s">
        <v>58</v>
      </c>
      <c r="J1961" s="32"/>
    </row>
    <row r="1962" spans="1:10" x14ac:dyDescent="0.2">
      <c r="A1962" s="32"/>
      <c r="B1962" s="42" t="s">
        <v>3273</v>
      </c>
      <c r="C1962" s="43" t="s">
        <v>3246</v>
      </c>
      <c r="D1962" s="44" t="s">
        <v>3274</v>
      </c>
      <c r="E1962" s="45">
        <v>1</v>
      </c>
      <c r="F1962" s="46">
        <v>15.49</v>
      </c>
      <c r="G1962" s="46">
        <f t="shared" si="30"/>
        <v>15.49</v>
      </c>
      <c r="H1962" s="47" t="s">
        <v>24</v>
      </c>
      <c r="I1962" s="47" t="s">
        <v>58</v>
      </c>
      <c r="J1962" s="32"/>
    </row>
    <row r="1963" spans="1:10" x14ac:dyDescent="0.2">
      <c r="A1963" s="32"/>
      <c r="B1963" s="36" t="s">
        <v>3275</v>
      </c>
      <c r="C1963" s="37" t="s">
        <v>3246</v>
      </c>
      <c r="D1963" s="38" t="s">
        <v>2801</v>
      </c>
      <c r="E1963" s="39">
        <v>1</v>
      </c>
      <c r="F1963" s="40">
        <v>6.29</v>
      </c>
      <c r="G1963" s="40">
        <f t="shared" si="30"/>
        <v>6.29</v>
      </c>
      <c r="H1963" s="41" t="s">
        <v>24</v>
      </c>
      <c r="I1963" s="41" t="s">
        <v>58</v>
      </c>
      <c r="J1963" s="32"/>
    </row>
    <row r="1964" spans="1:10" x14ac:dyDescent="0.2">
      <c r="A1964" s="32"/>
      <c r="B1964" s="42" t="s">
        <v>3276</v>
      </c>
      <c r="C1964" s="43" t="s">
        <v>3246</v>
      </c>
      <c r="D1964" s="44" t="s">
        <v>3277</v>
      </c>
      <c r="E1964" s="45">
        <v>1</v>
      </c>
      <c r="F1964" s="46">
        <v>17.989999999999998</v>
      </c>
      <c r="G1964" s="46">
        <f t="shared" si="30"/>
        <v>17.989999999999998</v>
      </c>
      <c r="H1964" s="47" t="s">
        <v>24</v>
      </c>
      <c r="I1964" s="47" t="s">
        <v>58</v>
      </c>
      <c r="J1964" s="32"/>
    </row>
    <row r="1965" spans="1:10" x14ac:dyDescent="0.2">
      <c r="A1965" s="32"/>
      <c r="B1965" s="36" t="s">
        <v>3278</v>
      </c>
      <c r="C1965" s="37" t="s">
        <v>3246</v>
      </c>
      <c r="D1965" s="38" t="s">
        <v>3152</v>
      </c>
      <c r="E1965" s="39">
        <v>1</v>
      </c>
      <c r="F1965" s="40">
        <v>6.29</v>
      </c>
      <c r="G1965" s="40">
        <f t="shared" si="30"/>
        <v>6.29</v>
      </c>
      <c r="H1965" s="41" t="s">
        <v>24</v>
      </c>
      <c r="I1965" s="41" t="s">
        <v>58</v>
      </c>
      <c r="J1965" s="32"/>
    </row>
    <row r="1966" spans="1:10" x14ac:dyDescent="0.2">
      <c r="A1966" s="32"/>
      <c r="B1966" s="42" t="s">
        <v>3279</v>
      </c>
      <c r="C1966" s="43" t="s">
        <v>3246</v>
      </c>
      <c r="D1966" s="44" t="s">
        <v>2935</v>
      </c>
      <c r="E1966" s="45">
        <v>1</v>
      </c>
      <c r="F1966" s="46">
        <v>8.99</v>
      </c>
      <c r="G1966" s="46">
        <f t="shared" si="30"/>
        <v>8.99</v>
      </c>
      <c r="H1966" s="47" t="s">
        <v>24</v>
      </c>
      <c r="I1966" s="47" t="s">
        <v>58</v>
      </c>
      <c r="J1966" s="32"/>
    </row>
    <row r="1967" spans="1:10" x14ac:dyDescent="0.2">
      <c r="A1967" s="32"/>
      <c r="B1967" s="36" t="s">
        <v>3280</v>
      </c>
      <c r="C1967" s="37" t="s">
        <v>3246</v>
      </c>
      <c r="D1967" s="38" t="s">
        <v>3281</v>
      </c>
      <c r="E1967" s="39">
        <v>1</v>
      </c>
      <c r="F1967" s="40">
        <v>45.99</v>
      </c>
      <c r="G1967" s="40">
        <f t="shared" si="30"/>
        <v>45.99</v>
      </c>
      <c r="H1967" s="41" t="s">
        <v>24</v>
      </c>
      <c r="I1967" s="41" t="s">
        <v>58</v>
      </c>
      <c r="J1967" s="32"/>
    </row>
    <row r="1968" spans="1:10" x14ac:dyDescent="0.2">
      <c r="A1968" s="32"/>
      <c r="B1968" s="42" t="s">
        <v>3282</v>
      </c>
      <c r="C1968" s="43" t="s">
        <v>3246</v>
      </c>
      <c r="D1968" s="44" t="s">
        <v>2659</v>
      </c>
      <c r="E1968" s="45">
        <v>1</v>
      </c>
      <c r="F1968" s="46">
        <v>10.69</v>
      </c>
      <c r="G1968" s="46">
        <f t="shared" si="30"/>
        <v>10.69</v>
      </c>
      <c r="H1968" s="47" t="s">
        <v>24</v>
      </c>
      <c r="I1968" s="47" t="s">
        <v>58</v>
      </c>
      <c r="J1968" s="32"/>
    </row>
    <row r="1969" spans="1:10" x14ac:dyDescent="0.2">
      <c r="A1969" s="32"/>
      <c r="B1969" s="36" t="s">
        <v>3283</v>
      </c>
      <c r="C1969" s="37" t="s">
        <v>3246</v>
      </c>
      <c r="D1969" s="38" t="s">
        <v>3284</v>
      </c>
      <c r="E1969" s="39">
        <v>1</v>
      </c>
      <c r="F1969" s="40">
        <v>16.89</v>
      </c>
      <c r="G1969" s="40">
        <f t="shared" si="30"/>
        <v>16.89</v>
      </c>
      <c r="H1969" s="41" t="s">
        <v>24</v>
      </c>
      <c r="I1969" s="41" t="s">
        <v>58</v>
      </c>
      <c r="J1969" s="32"/>
    </row>
    <row r="1970" spans="1:10" x14ac:dyDescent="0.2">
      <c r="A1970" s="32"/>
      <c r="B1970" s="42" t="s">
        <v>3285</v>
      </c>
      <c r="C1970" s="43" t="s">
        <v>3246</v>
      </c>
      <c r="D1970" s="44" t="s">
        <v>2596</v>
      </c>
      <c r="E1970" s="45">
        <v>1</v>
      </c>
      <c r="F1970" s="46">
        <v>8.2899999999999991</v>
      </c>
      <c r="G1970" s="46">
        <f t="shared" si="30"/>
        <v>8.2899999999999991</v>
      </c>
      <c r="H1970" s="47" t="s">
        <v>24</v>
      </c>
      <c r="I1970" s="47" t="s">
        <v>58</v>
      </c>
      <c r="J1970" s="32"/>
    </row>
    <row r="1971" spans="1:10" x14ac:dyDescent="0.2">
      <c r="A1971" s="32"/>
      <c r="B1971" s="36" t="s">
        <v>3286</v>
      </c>
      <c r="C1971" s="37" t="s">
        <v>3246</v>
      </c>
      <c r="D1971" s="38" t="s">
        <v>1871</v>
      </c>
      <c r="E1971" s="39">
        <v>1</v>
      </c>
      <c r="F1971" s="40">
        <v>6.49</v>
      </c>
      <c r="G1971" s="40">
        <f t="shared" si="30"/>
        <v>6.49</v>
      </c>
      <c r="H1971" s="41" t="s">
        <v>24</v>
      </c>
      <c r="I1971" s="41" t="s">
        <v>58</v>
      </c>
      <c r="J1971" s="32"/>
    </row>
    <row r="1972" spans="1:10" x14ac:dyDescent="0.2">
      <c r="A1972" s="32"/>
      <c r="B1972" s="42" t="s">
        <v>3287</v>
      </c>
      <c r="C1972" s="43" t="s">
        <v>3246</v>
      </c>
      <c r="D1972" s="44" t="s">
        <v>1871</v>
      </c>
      <c r="E1972" s="45">
        <v>1</v>
      </c>
      <c r="F1972" s="46">
        <v>6.49</v>
      </c>
      <c r="G1972" s="46">
        <f t="shared" si="30"/>
        <v>6.49</v>
      </c>
      <c r="H1972" s="47" t="s">
        <v>24</v>
      </c>
      <c r="I1972" s="47" t="s">
        <v>58</v>
      </c>
      <c r="J1972" s="32"/>
    </row>
    <row r="1973" spans="1:10" x14ac:dyDescent="0.2">
      <c r="A1973" s="32"/>
      <c r="B1973" s="36" t="s">
        <v>3288</v>
      </c>
      <c r="C1973" s="37" t="s">
        <v>3246</v>
      </c>
      <c r="D1973" s="38" t="s">
        <v>2982</v>
      </c>
      <c r="E1973" s="39">
        <v>1</v>
      </c>
      <c r="F1973" s="40">
        <v>18.989999999999998</v>
      </c>
      <c r="G1973" s="40">
        <f t="shared" si="30"/>
        <v>18.989999999999998</v>
      </c>
      <c r="H1973" s="41" t="s">
        <v>24</v>
      </c>
      <c r="I1973" s="41" t="s">
        <v>58</v>
      </c>
      <c r="J1973" s="32"/>
    </row>
    <row r="1974" spans="1:10" x14ac:dyDescent="0.2">
      <c r="A1974" s="32"/>
      <c r="B1974" s="42" t="s">
        <v>3289</v>
      </c>
      <c r="C1974" s="43" t="s">
        <v>3246</v>
      </c>
      <c r="D1974" s="44" t="s">
        <v>2816</v>
      </c>
      <c r="E1974" s="45">
        <v>1</v>
      </c>
      <c r="F1974" s="46">
        <v>3.19</v>
      </c>
      <c r="G1974" s="46">
        <f t="shared" si="30"/>
        <v>3.19</v>
      </c>
      <c r="H1974" s="47" t="s">
        <v>24</v>
      </c>
      <c r="I1974" s="47" t="s">
        <v>58</v>
      </c>
      <c r="J1974" s="32"/>
    </row>
    <row r="1975" spans="1:10" x14ac:dyDescent="0.2">
      <c r="A1975" s="32"/>
      <c r="B1975" s="36" t="s">
        <v>3290</v>
      </c>
      <c r="C1975" s="37" t="s">
        <v>3246</v>
      </c>
      <c r="D1975" s="38" t="s">
        <v>2816</v>
      </c>
      <c r="E1975" s="39">
        <v>1</v>
      </c>
      <c r="F1975" s="40">
        <v>3.19</v>
      </c>
      <c r="G1975" s="40">
        <f t="shared" si="30"/>
        <v>3.19</v>
      </c>
      <c r="H1975" s="41" t="s">
        <v>24</v>
      </c>
      <c r="I1975" s="41" t="s">
        <v>58</v>
      </c>
      <c r="J1975" s="32"/>
    </row>
    <row r="1976" spans="1:10" x14ac:dyDescent="0.2">
      <c r="A1976" s="32"/>
      <c r="B1976" s="42" t="s">
        <v>3291</v>
      </c>
      <c r="C1976" s="43" t="s">
        <v>3246</v>
      </c>
      <c r="D1976" s="44" t="s">
        <v>3292</v>
      </c>
      <c r="E1976" s="45">
        <v>1</v>
      </c>
      <c r="F1976" s="46">
        <v>5.89</v>
      </c>
      <c r="G1976" s="46">
        <f t="shared" si="30"/>
        <v>5.89</v>
      </c>
      <c r="H1976" s="47" t="s">
        <v>24</v>
      </c>
      <c r="I1976" s="47" t="s">
        <v>58</v>
      </c>
      <c r="J1976" s="32"/>
    </row>
    <row r="1977" spans="1:10" x14ac:dyDescent="0.2">
      <c r="A1977" s="32"/>
      <c r="B1977" s="36" t="s">
        <v>3293</v>
      </c>
      <c r="C1977" s="37" t="s">
        <v>3246</v>
      </c>
      <c r="D1977" s="38" t="s">
        <v>2589</v>
      </c>
      <c r="E1977" s="39">
        <v>1</v>
      </c>
      <c r="F1977" s="40">
        <v>8.59</v>
      </c>
      <c r="G1977" s="40">
        <f t="shared" si="30"/>
        <v>8.59</v>
      </c>
      <c r="H1977" s="41" t="s">
        <v>24</v>
      </c>
      <c r="I1977" s="41" t="s">
        <v>58</v>
      </c>
      <c r="J1977" s="32"/>
    </row>
    <row r="1978" spans="1:10" x14ac:dyDescent="0.2">
      <c r="A1978" s="32"/>
      <c r="B1978" s="42" t="s">
        <v>3294</v>
      </c>
      <c r="C1978" s="43" t="s">
        <v>3246</v>
      </c>
      <c r="D1978" s="44" t="s">
        <v>2814</v>
      </c>
      <c r="E1978" s="45">
        <v>1</v>
      </c>
      <c r="F1978" s="46">
        <v>29.99</v>
      </c>
      <c r="G1978" s="46">
        <f t="shared" si="30"/>
        <v>29.99</v>
      </c>
      <c r="H1978" s="47" t="s">
        <v>24</v>
      </c>
      <c r="I1978" s="47" t="s">
        <v>58</v>
      </c>
      <c r="J1978" s="32"/>
    </row>
    <row r="1979" spans="1:10" x14ac:dyDescent="0.2">
      <c r="A1979" s="32"/>
      <c r="B1979" s="36" t="s">
        <v>3295</v>
      </c>
      <c r="C1979" s="37" t="s">
        <v>3246</v>
      </c>
      <c r="D1979" s="38" t="s">
        <v>2697</v>
      </c>
      <c r="E1979" s="39">
        <v>1</v>
      </c>
      <c r="F1979" s="40">
        <v>6.69</v>
      </c>
      <c r="G1979" s="40">
        <f t="shared" si="30"/>
        <v>6.69</v>
      </c>
      <c r="H1979" s="41" t="s">
        <v>24</v>
      </c>
      <c r="I1979" s="41" t="s">
        <v>58</v>
      </c>
      <c r="J1979" s="32"/>
    </row>
    <row r="1980" spans="1:10" x14ac:dyDescent="0.2">
      <c r="A1980" s="32"/>
      <c r="B1980" s="42" t="s">
        <v>3296</v>
      </c>
      <c r="C1980" s="43" t="s">
        <v>3246</v>
      </c>
      <c r="D1980" s="44" t="s">
        <v>2589</v>
      </c>
      <c r="E1980" s="45">
        <v>1</v>
      </c>
      <c r="F1980" s="46">
        <v>8.59</v>
      </c>
      <c r="G1980" s="46">
        <f t="shared" si="30"/>
        <v>8.59</v>
      </c>
      <c r="H1980" s="47" t="s">
        <v>24</v>
      </c>
      <c r="I1980" s="47" t="s">
        <v>58</v>
      </c>
      <c r="J1980" s="32"/>
    </row>
    <row r="1981" spans="1:10" x14ac:dyDescent="0.2">
      <c r="A1981" s="32"/>
      <c r="B1981" s="36" t="s">
        <v>3297</v>
      </c>
      <c r="C1981" s="37" t="s">
        <v>3246</v>
      </c>
      <c r="D1981" s="38" t="s">
        <v>3097</v>
      </c>
      <c r="E1981" s="39">
        <v>1</v>
      </c>
      <c r="F1981" s="40">
        <v>17.989999999999998</v>
      </c>
      <c r="G1981" s="40">
        <f t="shared" si="30"/>
        <v>17.989999999999998</v>
      </c>
      <c r="H1981" s="41" t="s">
        <v>24</v>
      </c>
      <c r="I1981" s="41" t="s">
        <v>58</v>
      </c>
      <c r="J1981" s="32"/>
    </row>
    <row r="1982" spans="1:10" x14ac:dyDescent="0.2">
      <c r="A1982" s="32"/>
      <c r="B1982" s="42" t="s">
        <v>3298</v>
      </c>
      <c r="C1982" s="43" t="s">
        <v>3246</v>
      </c>
      <c r="D1982" s="44" t="s">
        <v>3299</v>
      </c>
      <c r="E1982" s="45">
        <v>1</v>
      </c>
      <c r="F1982" s="46">
        <v>20.99</v>
      </c>
      <c r="G1982" s="46">
        <f t="shared" si="30"/>
        <v>20.99</v>
      </c>
      <c r="H1982" s="47" t="s">
        <v>24</v>
      </c>
      <c r="I1982" s="47" t="s">
        <v>58</v>
      </c>
      <c r="J1982" s="32"/>
    </row>
    <row r="1983" spans="1:10" x14ac:dyDescent="0.2">
      <c r="A1983" s="32"/>
      <c r="B1983" s="36" t="s">
        <v>3300</v>
      </c>
      <c r="C1983" s="37" t="s">
        <v>3246</v>
      </c>
      <c r="D1983" s="38" t="s">
        <v>1370</v>
      </c>
      <c r="E1983" s="39">
        <v>1</v>
      </c>
      <c r="F1983" s="40">
        <v>2.19</v>
      </c>
      <c r="G1983" s="40">
        <f t="shared" si="30"/>
        <v>2.19</v>
      </c>
      <c r="H1983" s="41" t="s">
        <v>24</v>
      </c>
      <c r="I1983" s="41" t="s">
        <v>58</v>
      </c>
      <c r="J1983" s="32"/>
    </row>
    <row r="1984" spans="1:10" x14ac:dyDescent="0.2">
      <c r="A1984" s="32"/>
      <c r="B1984" s="42" t="s">
        <v>3301</v>
      </c>
      <c r="C1984" s="43" t="s">
        <v>3246</v>
      </c>
      <c r="D1984" s="44" t="s">
        <v>1478</v>
      </c>
      <c r="E1984" s="45">
        <v>1</v>
      </c>
      <c r="F1984" s="46">
        <v>4.59</v>
      </c>
      <c r="G1984" s="46">
        <f t="shared" si="30"/>
        <v>4.59</v>
      </c>
      <c r="H1984" s="47" t="s">
        <v>24</v>
      </c>
      <c r="I1984" s="47" t="s">
        <v>58</v>
      </c>
      <c r="J1984" s="32"/>
    </row>
    <row r="1985" spans="1:10" x14ac:dyDescent="0.2">
      <c r="A1985" s="32"/>
      <c r="B1985" s="36" t="s">
        <v>3302</v>
      </c>
      <c r="C1985" s="37" t="s">
        <v>3246</v>
      </c>
      <c r="D1985" s="38" t="s">
        <v>1923</v>
      </c>
      <c r="E1985" s="39">
        <v>1</v>
      </c>
      <c r="F1985" s="40">
        <v>5.29</v>
      </c>
      <c r="G1985" s="40">
        <f t="shared" si="30"/>
        <v>5.29</v>
      </c>
      <c r="H1985" s="41" t="s">
        <v>24</v>
      </c>
      <c r="I1985" s="41" t="s">
        <v>58</v>
      </c>
      <c r="J1985" s="32"/>
    </row>
    <row r="1986" spans="1:10" x14ac:dyDescent="0.2">
      <c r="A1986" s="32"/>
      <c r="B1986" s="42" t="s">
        <v>3303</v>
      </c>
      <c r="C1986" s="43" t="s">
        <v>3246</v>
      </c>
      <c r="D1986" s="44" t="s">
        <v>2678</v>
      </c>
      <c r="E1986" s="45">
        <v>1</v>
      </c>
      <c r="F1986" s="46">
        <v>3.99</v>
      </c>
      <c r="G1986" s="46">
        <f t="shared" si="30"/>
        <v>3.99</v>
      </c>
      <c r="H1986" s="47" t="s">
        <v>24</v>
      </c>
      <c r="I1986" s="47" t="s">
        <v>58</v>
      </c>
      <c r="J1986" s="32"/>
    </row>
    <row r="1987" spans="1:10" x14ac:dyDescent="0.2">
      <c r="A1987" s="32"/>
      <c r="B1987" s="36" t="s">
        <v>3304</v>
      </c>
      <c r="C1987" s="37" t="s">
        <v>3246</v>
      </c>
      <c r="D1987" s="38" t="s">
        <v>1357</v>
      </c>
      <c r="E1987" s="39">
        <v>1</v>
      </c>
      <c r="F1987" s="40">
        <v>48.99</v>
      </c>
      <c r="G1987" s="40">
        <f t="shared" si="30"/>
        <v>48.99</v>
      </c>
      <c r="H1987" s="41" t="s">
        <v>24</v>
      </c>
      <c r="I1987" s="41" t="s">
        <v>58</v>
      </c>
      <c r="J1987" s="32"/>
    </row>
    <row r="1988" spans="1:10" x14ac:dyDescent="0.2">
      <c r="A1988" s="32"/>
      <c r="B1988" s="42" t="s">
        <v>3305</v>
      </c>
      <c r="C1988" s="43" t="s">
        <v>3246</v>
      </c>
      <c r="D1988" s="44" t="s">
        <v>3306</v>
      </c>
      <c r="E1988" s="45">
        <v>1</v>
      </c>
      <c r="F1988" s="46">
        <v>19.989999999999998</v>
      </c>
      <c r="G1988" s="46">
        <f t="shared" si="30"/>
        <v>19.989999999999998</v>
      </c>
      <c r="H1988" s="47" t="s">
        <v>24</v>
      </c>
      <c r="I1988" s="47" t="s">
        <v>58</v>
      </c>
      <c r="J1988" s="32"/>
    </row>
    <row r="1989" spans="1:10" x14ac:dyDescent="0.2">
      <c r="A1989" s="32"/>
      <c r="B1989" s="36" t="s">
        <v>3307</v>
      </c>
      <c r="C1989" s="37" t="s">
        <v>3246</v>
      </c>
      <c r="D1989" s="38" t="s">
        <v>3308</v>
      </c>
      <c r="E1989" s="39">
        <v>1</v>
      </c>
      <c r="F1989" s="40">
        <v>5.99</v>
      </c>
      <c r="G1989" s="40">
        <f t="shared" ref="G1989:G2052" si="31">E1989*F1989</f>
        <v>5.99</v>
      </c>
      <c r="H1989" s="41" t="s">
        <v>24</v>
      </c>
      <c r="I1989" s="41" t="s">
        <v>58</v>
      </c>
      <c r="J1989" s="32"/>
    </row>
    <row r="1990" spans="1:10" x14ac:dyDescent="0.2">
      <c r="A1990" s="32"/>
      <c r="B1990" s="42" t="s">
        <v>3309</v>
      </c>
      <c r="C1990" s="43" t="s">
        <v>3246</v>
      </c>
      <c r="D1990" s="44" t="s">
        <v>3310</v>
      </c>
      <c r="E1990" s="45">
        <v>1</v>
      </c>
      <c r="F1990" s="46">
        <v>11.99</v>
      </c>
      <c r="G1990" s="46">
        <f t="shared" si="31"/>
        <v>11.99</v>
      </c>
      <c r="H1990" s="47" t="s">
        <v>25</v>
      </c>
      <c r="I1990" s="47" t="s">
        <v>58</v>
      </c>
      <c r="J1990" s="32"/>
    </row>
    <row r="1991" spans="1:10" x14ac:dyDescent="0.2">
      <c r="A1991" s="32"/>
      <c r="B1991" s="36" t="s">
        <v>3311</v>
      </c>
      <c r="C1991" s="37" t="s">
        <v>3246</v>
      </c>
      <c r="D1991" s="38" t="s">
        <v>1918</v>
      </c>
      <c r="E1991" s="39">
        <v>1</v>
      </c>
      <c r="F1991" s="40">
        <v>4.6900000000000004</v>
      </c>
      <c r="G1991" s="40">
        <f t="shared" si="31"/>
        <v>4.6900000000000004</v>
      </c>
      <c r="H1991" s="41" t="s">
        <v>24</v>
      </c>
      <c r="I1991" s="41" t="s">
        <v>58</v>
      </c>
      <c r="J1991" s="32"/>
    </row>
    <row r="1992" spans="1:10" x14ac:dyDescent="0.2">
      <c r="A1992" s="32"/>
      <c r="B1992" s="42" t="s">
        <v>3312</v>
      </c>
      <c r="C1992" s="43" t="s">
        <v>3246</v>
      </c>
      <c r="D1992" s="44" t="s">
        <v>1918</v>
      </c>
      <c r="E1992" s="45">
        <v>1</v>
      </c>
      <c r="F1992" s="46">
        <v>4.6900000000000004</v>
      </c>
      <c r="G1992" s="46">
        <f t="shared" si="31"/>
        <v>4.6900000000000004</v>
      </c>
      <c r="H1992" s="47" t="s">
        <v>24</v>
      </c>
      <c r="I1992" s="47" t="s">
        <v>58</v>
      </c>
      <c r="J1992" s="32"/>
    </row>
    <row r="1993" spans="1:10" x14ac:dyDescent="0.2">
      <c r="A1993" s="32"/>
      <c r="B1993" s="36" t="s">
        <v>3313</v>
      </c>
      <c r="C1993" s="37" t="s">
        <v>3246</v>
      </c>
      <c r="D1993" s="38" t="s">
        <v>633</v>
      </c>
      <c r="E1993" s="39">
        <v>1</v>
      </c>
      <c r="F1993" s="40">
        <v>5.79</v>
      </c>
      <c r="G1993" s="40">
        <f t="shared" si="31"/>
        <v>5.79</v>
      </c>
      <c r="H1993" s="41" t="s">
        <v>28</v>
      </c>
      <c r="I1993" s="41" t="s">
        <v>58</v>
      </c>
      <c r="J1993" s="32"/>
    </row>
    <row r="1994" spans="1:10" x14ac:dyDescent="0.2">
      <c r="A1994" s="32"/>
      <c r="B1994" s="42" t="s">
        <v>3314</v>
      </c>
      <c r="C1994" s="43" t="s">
        <v>3246</v>
      </c>
      <c r="D1994" s="44" t="s">
        <v>1387</v>
      </c>
      <c r="E1994" s="45">
        <v>1</v>
      </c>
      <c r="F1994" s="46">
        <v>33.99</v>
      </c>
      <c r="G1994" s="46">
        <f t="shared" si="31"/>
        <v>33.99</v>
      </c>
      <c r="H1994" s="47" t="s">
        <v>24</v>
      </c>
      <c r="I1994" s="47" t="s">
        <v>58</v>
      </c>
      <c r="J1994" s="32"/>
    </row>
    <row r="1995" spans="1:10" x14ac:dyDescent="0.2">
      <c r="A1995" s="32"/>
      <c r="B1995" s="36" t="s">
        <v>3315</v>
      </c>
      <c r="C1995" s="37" t="s">
        <v>3246</v>
      </c>
      <c r="D1995" s="38" t="s">
        <v>196</v>
      </c>
      <c r="E1995" s="39">
        <v>1</v>
      </c>
      <c r="F1995" s="40">
        <v>4.66</v>
      </c>
      <c r="G1995" s="40">
        <f t="shared" si="31"/>
        <v>4.66</v>
      </c>
      <c r="H1995" s="41" t="s">
        <v>25</v>
      </c>
      <c r="I1995" s="41" t="s">
        <v>58</v>
      </c>
      <c r="J1995" s="32"/>
    </row>
    <row r="1996" spans="1:10" x14ac:dyDescent="0.2">
      <c r="A1996" s="32"/>
      <c r="B1996" s="42" t="s">
        <v>3316</v>
      </c>
      <c r="C1996" s="43" t="s">
        <v>3246</v>
      </c>
      <c r="D1996" s="44" t="s">
        <v>834</v>
      </c>
      <c r="E1996" s="45">
        <v>1</v>
      </c>
      <c r="F1996" s="46">
        <v>4.66</v>
      </c>
      <c r="G1996" s="46">
        <f t="shared" si="31"/>
        <v>4.66</v>
      </c>
      <c r="H1996" s="47" t="s">
        <v>25</v>
      </c>
      <c r="I1996" s="47" t="s">
        <v>58</v>
      </c>
      <c r="J1996" s="32"/>
    </row>
    <row r="1997" spans="1:10" x14ac:dyDescent="0.2">
      <c r="A1997" s="32"/>
      <c r="B1997" s="36" t="s">
        <v>3317</v>
      </c>
      <c r="C1997" s="37" t="s">
        <v>3246</v>
      </c>
      <c r="D1997" s="38" t="s">
        <v>40</v>
      </c>
      <c r="E1997" s="39">
        <v>1</v>
      </c>
      <c r="F1997" s="40">
        <v>12.99</v>
      </c>
      <c r="G1997" s="40">
        <f t="shared" si="31"/>
        <v>12.99</v>
      </c>
      <c r="H1997" s="41" t="s">
        <v>25</v>
      </c>
      <c r="I1997" s="41" t="s">
        <v>58</v>
      </c>
      <c r="J1997" s="32"/>
    </row>
    <row r="1998" spans="1:10" x14ac:dyDescent="0.2">
      <c r="A1998" s="32"/>
      <c r="B1998" s="42" t="s">
        <v>3318</v>
      </c>
      <c r="C1998" s="43" t="s">
        <v>3246</v>
      </c>
      <c r="D1998" s="44" t="s">
        <v>834</v>
      </c>
      <c r="E1998" s="45">
        <v>1</v>
      </c>
      <c r="F1998" s="46">
        <v>4.66</v>
      </c>
      <c r="G1998" s="46">
        <f t="shared" si="31"/>
        <v>4.66</v>
      </c>
      <c r="H1998" s="47" t="s">
        <v>25</v>
      </c>
      <c r="I1998" s="47" t="s">
        <v>58</v>
      </c>
      <c r="J1998" s="32"/>
    </row>
    <row r="1999" spans="1:10" x14ac:dyDescent="0.2">
      <c r="A1999" s="32"/>
      <c r="B1999" s="36" t="s">
        <v>3319</v>
      </c>
      <c r="C1999" s="37" t="s">
        <v>3246</v>
      </c>
      <c r="D1999" s="38" t="s">
        <v>3320</v>
      </c>
      <c r="E1999" s="39">
        <v>1</v>
      </c>
      <c r="F1999" s="40">
        <v>9.99</v>
      </c>
      <c r="G1999" s="40">
        <f t="shared" si="31"/>
        <v>9.99</v>
      </c>
      <c r="H1999" s="41" t="s">
        <v>24</v>
      </c>
      <c r="I1999" s="41" t="s">
        <v>58</v>
      </c>
      <c r="J1999" s="32"/>
    </row>
    <row r="2000" spans="1:10" x14ac:dyDescent="0.2">
      <c r="A2000" s="32"/>
      <c r="B2000" s="42" t="s">
        <v>3321</v>
      </c>
      <c r="C2000" s="43" t="s">
        <v>3246</v>
      </c>
      <c r="D2000" s="44" t="s">
        <v>1702</v>
      </c>
      <c r="E2000" s="45">
        <v>1</v>
      </c>
      <c r="F2000" s="46">
        <v>9.99</v>
      </c>
      <c r="G2000" s="46">
        <f t="shared" si="31"/>
        <v>9.99</v>
      </c>
      <c r="H2000" s="47" t="s">
        <v>25</v>
      </c>
      <c r="I2000" s="47" t="s">
        <v>58</v>
      </c>
      <c r="J2000" s="32"/>
    </row>
    <row r="2001" spans="1:10" x14ac:dyDescent="0.2">
      <c r="A2001" s="32"/>
      <c r="B2001" s="36" t="s">
        <v>3322</v>
      </c>
      <c r="C2001" s="37" t="s">
        <v>3246</v>
      </c>
      <c r="D2001" s="38" t="s">
        <v>1702</v>
      </c>
      <c r="E2001" s="39">
        <v>1</v>
      </c>
      <c r="F2001" s="40">
        <v>9.99</v>
      </c>
      <c r="G2001" s="40">
        <f t="shared" si="31"/>
        <v>9.99</v>
      </c>
      <c r="H2001" s="41" t="s">
        <v>25</v>
      </c>
      <c r="I2001" s="41" t="s">
        <v>58</v>
      </c>
      <c r="J2001" s="32"/>
    </row>
    <row r="2002" spans="1:10" x14ac:dyDescent="0.2">
      <c r="A2002" s="32"/>
      <c r="B2002" s="42" t="s">
        <v>3323</v>
      </c>
      <c r="C2002" s="43" t="s">
        <v>3246</v>
      </c>
      <c r="D2002" s="44" t="s">
        <v>3324</v>
      </c>
      <c r="E2002" s="45">
        <v>1</v>
      </c>
      <c r="F2002" s="46">
        <v>11.99</v>
      </c>
      <c r="G2002" s="46">
        <f t="shared" si="31"/>
        <v>11.99</v>
      </c>
      <c r="H2002" s="47" t="s">
        <v>24</v>
      </c>
      <c r="I2002" s="47" t="s">
        <v>58</v>
      </c>
      <c r="J2002" s="32"/>
    </row>
    <row r="2003" spans="1:10" x14ac:dyDescent="0.2">
      <c r="A2003" s="32"/>
      <c r="B2003" s="36" t="s">
        <v>3325</v>
      </c>
      <c r="C2003" s="37" t="s">
        <v>3246</v>
      </c>
      <c r="D2003" s="38" t="s">
        <v>834</v>
      </c>
      <c r="E2003" s="39">
        <v>1</v>
      </c>
      <c r="F2003" s="40">
        <v>4.66</v>
      </c>
      <c r="G2003" s="40">
        <f t="shared" si="31"/>
        <v>4.66</v>
      </c>
      <c r="H2003" s="41" t="s">
        <v>25</v>
      </c>
      <c r="I2003" s="41" t="s">
        <v>58</v>
      </c>
      <c r="J2003" s="32"/>
    </row>
    <row r="2004" spans="1:10" x14ac:dyDescent="0.2">
      <c r="A2004" s="32"/>
      <c r="B2004" s="42" t="s">
        <v>3326</v>
      </c>
      <c r="C2004" s="43" t="s">
        <v>3246</v>
      </c>
      <c r="D2004" s="44" t="s">
        <v>40</v>
      </c>
      <c r="E2004" s="45">
        <v>1</v>
      </c>
      <c r="F2004" s="46">
        <v>12.99</v>
      </c>
      <c r="G2004" s="46">
        <f t="shared" si="31"/>
        <v>12.99</v>
      </c>
      <c r="H2004" s="47" t="s">
        <v>25</v>
      </c>
      <c r="I2004" s="47" t="s">
        <v>58</v>
      </c>
      <c r="J2004" s="32"/>
    </row>
    <row r="2005" spans="1:10" x14ac:dyDescent="0.2">
      <c r="A2005" s="32"/>
      <c r="B2005" s="36" t="s">
        <v>3327</v>
      </c>
      <c r="C2005" s="37" t="s">
        <v>3246</v>
      </c>
      <c r="D2005" s="38" t="s">
        <v>196</v>
      </c>
      <c r="E2005" s="39">
        <v>1</v>
      </c>
      <c r="F2005" s="40">
        <v>4.66</v>
      </c>
      <c r="G2005" s="40">
        <f t="shared" si="31"/>
        <v>4.66</v>
      </c>
      <c r="H2005" s="41" t="s">
        <v>25</v>
      </c>
      <c r="I2005" s="41" t="s">
        <v>58</v>
      </c>
      <c r="J2005" s="32"/>
    </row>
    <row r="2006" spans="1:10" x14ac:dyDescent="0.2">
      <c r="A2006" s="32"/>
      <c r="B2006" s="42" t="s">
        <v>3328</v>
      </c>
      <c r="C2006" s="43" t="s">
        <v>3246</v>
      </c>
      <c r="D2006" s="44" t="s">
        <v>3329</v>
      </c>
      <c r="E2006" s="45">
        <v>1</v>
      </c>
      <c r="F2006" s="46">
        <v>13.59</v>
      </c>
      <c r="G2006" s="46">
        <f t="shared" si="31"/>
        <v>13.59</v>
      </c>
      <c r="H2006" s="47" t="s">
        <v>24</v>
      </c>
      <c r="I2006" s="47" t="s">
        <v>58</v>
      </c>
      <c r="J2006" s="32"/>
    </row>
    <row r="2007" spans="1:10" x14ac:dyDescent="0.2">
      <c r="A2007" s="32"/>
      <c r="B2007" s="36" t="s">
        <v>3330</v>
      </c>
      <c r="C2007" s="37" t="s">
        <v>3246</v>
      </c>
      <c r="D2007" s="38" t="s">
        <v>2620</v>
      </c>
      <c r="E2007" s="39">
        <v>1</v>
      </c>
      <c r="F2007" s="40">
        <v>21.59</v>
      </c>
      <c r="G2007" s="40">
        <f t="shared" si="31"/>
        <v>21.59</v>
      </c>
      <c r="H2007" s="41" t="s">
        <v>24</v>
      </c>
      <c r="I2007" s="41" t="s">
        <v>58</v>
      </c>
      <c r="J2007" s="32"/>
    </row>
    <row r="2008" spans="1:10" x14ac:dyDescent="0.2">
      <c r="A2008" s="32"/>
      <c r="B2008" s="42" t="s">
        <v>3331</v>
      </c>
      <c r="C2008" s="43" t="s">
        <v>3246</v>
      </c>
      <c r="D2008" s="44" t="s">
        <v>3332</v>
      </c>
      <c r="E2008" s="45">
        <v>1</v>
      </c>
      <c r="F2008" s="46">
        <v>11.89</v>
      </c>
      <c r="G2008" s="46">
        <f t="shared" si="31"/>
        <v>11.89</v>
      </c>
      <c r="H2008" s="47" t="s">
        <v>25</v>
      </c>
      <c r="I2008" s="47" t="s">
        <v>58</v>
      </c>
      <c r="J2008" s="32"/>
    </row>
    <row r="2009" spans="1:10" x14ac:dyDescent="0.2">
      <c r="A2009" s="32"/>
      <c r="B2009" s="36" t="s">
        <v>3333</v>
      </c>
      <c r="C2009" s="37" t="s">
        <v>3246</v>
      </c>
      <c r="D2009" s="38" t="s">
        <v>1862</v>
      </c>
      <c r="E2009" s="39">
        <v>1</v>
      </c>
      <c r="F2009" s="40">
        <v>10.99</v>
      </c>
      <c r="G2009" s="40">
        <f t="shared" si="31"/>
        <v>10.99</v>
      </c>
      <c r="H2009" s="41" t="s">
        <v>24</v>
      </c>
      <c r="I2009" s="41" t="s">
        <v>58</v>
      </c>
      <c r="J2009" s="32"/>
    </row>
    <row r="2010" spans="1:10" x14ac:dyDescent="0.2">
      <c r="A2010" s="32"/>
      <c r="B2010" s="42" t="s">
        <v>3334</v>
      </c>
      <c r="C2010" s="43" t="s">
        <v>3335</v>
      </c>
      <c r="D2010" s="44" t="s">
        <v>1678</v>
      </c>
      <c r="E2010" s="45">
        <v>1</v>
      </c>
      <c r="F2010" s="46">
        <v>27.99</v>
      </c>
      <c r="G2010" s="46">
        <f t="shared" si="31"/>
        <v>27.99</v>
      </c>
      <c r="H2010" s="47" t="s">
        <v>24</v>
      </c>
      <c r="I2010" s="47" t="s">
        <v>58</v>
      </c>
      <c r="J2010" s="32"/>
    </row>
    <row r="2011" spans="1:10" x14ac:dyDescent="0.2">
      <c r="A2011" s="32"/>
      <c r="B2011" s="36" t="s">
        <v>3336</v>
      </c>
      <c r="C2011" s="37" t="s">
        <v>3335</v>
      </c>
      <c r="D2011" s="38" t="s">
        <v>38</v>
      </c>
      <c r="E2011" s="39">
        <v>1</v>
      </c>
      <c r="F2011" s="40">
        <v>7.99</v>
      </c>
      <c r="G2011" s="40">
        <f t="shared" si="31"/>
        <v>7.99</v>
      </c>
      <c r="H2011" s="41" t="s">
        <v>24</v>
      </c>
      <c r="I2011" s="41" t="s">
        <v>58</v>
      </c>
      <c r="J2011" s="32"/>
    </row>
    <row r="2012" spans="1:10" x14ac:dyDescent="0.2">
      <c r="A2012" s="32"/>
      <c r="B2012" s="42" t="s">
        <v>3337</v>
      </c>
      <c r="C2012" s="43" t="s">
        <v>3335</v>
      </c>
      <c r="D2012" s="44" t="s">
        <v>365</v>
      </c>
      <c r="E2012" s="45">
        <v>1</v>
      </c>
      <c r="F2012" s="46">
        <v>3.99</v>
      </c>
      <c r="G2012" s="46">
        <f t="shared" si="31"/>
        <v>3.99</v>
      </c>
      <c r="H2012" s="47" t="s">
        <v>24</v>
      </c>
      <c r="I2012" s="47" t="s">
        <v>58</v>
      </c>
      <c r="J2012" s="32"/>
    </row>
    <row r="2013" spans="1:10" x14ac:dyDescent="0.2">
      <c r="A2013" s="32"/>
      <c r="B2013" s="36" t="s">
        <v>3338</v>
      </c>
      <c r="C2013" s="37" t="s">
        <v>3335</v>
      </c>
      <c r="D2013" s="38" t="s">
        <v>2672</v>
      </c>
      <c r="E2013" s="39">
        <v>1</v>
      </c>
      <c r="F2013" s="40">
        <v>3.99</v>
      </c>
      <c r="G2013" s="40">
        <f t="shared" si="31"/>
        <v>3.99</v>
      </c>
      <c r="H2013" s="41" t="s">
        <v>24</v>
      </c>
      <c r="I2013" s="41" t="s">
        <v>58</v>
      </c>
      <c r="J2013" s="32"/>
    </row>
    <row r="2014" spans="1:10" x14ac:dyDescent="0.2">
      <c r="A2014" s="32"/>
      <c r="B2014" s="42" t="s">
        <v>3339</v>
      </c>
      <c r="C2014" s="43" t="s">
        <v>3335</v>
      </c>
      <c r="D2014" s="44" t="s">
        <v>3060</v>
      </c>
      <c r="E2014" s="45">
        <v>1</v>
      </c>
      <c r="F2014" s="46">
        <v>3.99</v>
      </c>
      <c r="G2014" s="46">
        <f t="shared" si="31"/>
        <v>3.99</v>
      </c>
      <c r="H2014" s="47" t="s">
        <v>24</v>
      </c>
      <c r="I2014" s="47" t="s">
        <v>58</v>
      </c>
      <c r="J2014" s="32"/>
    </row>
    <row r="2015" spans="1:10" x14ac:dyDescent="0.2">
      <c r="A2015" s="32"/>
      <c r="B2015" s="36" t="s">
        <v>3340</v>
      </c>
      <c r="C2015" s="37" t="s">
        <v>3335</v>
      </c>
      <c r="D2015" s="38" t="s">
        <v>3161</v>
      </c>
      <c r="E2015" s="39">
        <v>1</v>
      </c>
      <c r="F2015" s="40">
        <v>3.99</v>
      </c>
      <c r="G2015" s="40">
        <f t="shared" si="31"/>
        <v>3.99</v>
      </c>
      <c r="H2015" s="41" t="s">
        <v>24</v>
      </c>
      <c r="I2015" s="41" t="s">
        <v>58</v>
      </c>
      <c r="J2015" s="32"/>
    </row>
    <row r="2016" spans="1:10" x14ac:dyDescent="0.2">
      <c r="A2016" s="32"/>
      <c r="B2016" s="42" t="s">
        <v>3341</v>
      </c>
      <c r="C2016" s="43" t="s">
        <v>3335</v>
      </c>
      <c r="D2016" s="44" t="s">
        <v>2678</v>
      </c>
      <c r="E2016" s="45">
        <v>1</v>
      </c>
      <c r="F2016" s="46">
        <v>3.99</v>
      </c>
      <c r="G2016" s="46">
        <f t="shared" si="31"/>
        <v>3.99</v>
      </c>
      <c r="H2016" s="47" t="s">
        <v>24</v>
      </c>
      <c r="I2016" s="47" t="s">
        <v>58</v>
      </c>
      <c r="J2016" s="32"/>
    </row>
    <row r="2017" spans="1:10" x14ac:dyDescent="0.2">
      <c r="A2017" s="32"/>
      <c r="B2017" s="36" t="s">
        <v>3342</v>
      </c>
      <c r="C2017" s="37" t="s">
        <v>3335</v>
      </c>
      <c r="D2017" s="38" t="s">
        <v>2982</v>
      </c>
      <c r="E2017" s="39">
        <v>1</v>
      </c>
      <c r="F2017" s="40">
        <v>14.99</v>
      </c>
      <c r="G2017" s="40">
        <f t="shared" si="31"/>
        <v>14.99</v>
      </c>
      <c r="H2017" s="41" t="s">
        <v>24</v>
      </c>
      <c r="I2017" s="41" t="s">
        <v>58</v>
      </c>
      <c r="J2017" s="32"/>
    </row>
    <row r="2018" spans="1:10" x14ac:dyDescent="0.2">
      <c r="A2018" s="32"/>
      <c r="B2018" s="42" t="s">
        <v>3343</v>
      </c>
      <c r="C2018" s="43" t="s">
        <v>3335</v>
      </c>
      <c r="D2018" s="44" t="s">
        <v>2685</v>
      </c>
      <c r="E2018" s="45">
        <v>1</v>
      </c>
      <c r="F2018" s="46">
        <v>5.49</v>
      </c>
      <c r="G2018" s="46">
        <f t="shared" si="31"/>
        <v>5.49</v>
      </c>
      <c r="H2018" s="47" t="s">
        <v>24</v>
      </c>
      <c r="I2018" s="47" t="s">
        <v>58</v>
      </c>
      <c r="J2018" s="32"/>
    </row>
    <row r="2019" spans="1:10" x14ac:dyDescent="0.2">
      <c r="A2019" s="32"/>
      <c r="B2019" s="36" t="s">
        <v>3344</v>
      </c>
      <c r="C2019" s="37" t="s">
        <v>3335</v>
      </c>
      <c r="D2019" s="38" t="s">
        <v>1871</v>
      </c>
      <c r="E2019" s="39">
        <v>1</v>
      </c>
      <c r="F2019" s="40">
        <v>6.49</v>
      </c>
      <c r="G2019" s="40">
        <f t="shared" si="31"/>
        <v>6.49</v>
      </c>
      <c r="H2019" s="41" t="s">
        <v>24</v>
      </c>
      <c r="I2019" s="41" t="s">
        <v>58</v>
      </c>
      <c r="J2019" s="32"/>
    </row>
    <row r="2020" spans="1:10" x14ac:dyDescent="0.2">
      <c r="A2020" s="32"/>
      <c r="B2020" s="42" t="s">
        <v>3345</v>
      </c>
      <c r="C2020" s="43" t="s">
        <v>3335</v>
      </c>
      <c r="D2020" s="44" t="s">
        <v>2486</v>
      </c>
      <c r="E2020" s="45">
        <v>1</v>
      </c>
      <c r="F2020" s="46">
        <v>8.89</v>
      </c>
      <c r="G2020" s="46">
        <f t="shared" si="31"/>
        <v>8.89</v>
      </c>
      <c r="H2020" s="47" t="s">
        <v>24</v>
      </c>
      <c r="I2020" s="47" t="s">
        <v>58</v>
      </c>
      <c r="J2020" s="32"/>
    </row>
    <row r="2021" spans="1:10" x14ac:dyDescent="0.2">
      <c r="A2021" s="32"/>
      <c r="B2021" s="36" t="s">
        <v>3346</v>
      </c>
      <c r="C2021" s="37" t="s">
        <v>3335</v>
      </c>
      <c r="D2021" s="38" t="s">
        <v>2932</v>
      </c>
      <c r="E2021" s="39">
        <v>1</v>
      </c>
      <c r="F2021" s="40">
        <v>6.29</v>
      </c>
      <c r="G2021" s="40">
        <f t="shared" si="31"/>
        <v>6.29</v>
      </c>
      <c r="H2021" s="41" t="s">
        <v>24</v>
      </c>
      <c r="I2021" s="41" t="s">
        <v>58</v>
      </c>
      <c r="J2021" s="32"/>
    </row>
    <row r="2022" spans="1:10" x14ac:dyDescent="0.2">
      <c r="A2022" s="32"/>
      <c r="B2022" s="42" t="s">
        <v>3347</v>
      </c>
      <c r="C2022" s="43" t="s">
        <v>3335</v>
      </c>
      <c r="D2022" s="44" t="s">
        <v>2659</v>
      </c>
      <c r="E2022" s="45">
        <v>1</v>
      </c>
      <c r="F2022" s="46">
        <v>8.99</v>
      </c>
      <c r="G2022" s="46">
        <f t="shared" si="31"/>
        <v>8.99</v>
      </c>
      <c r="H2022" s="47" t="s">
        <v>24</v>
      </c>
      <c r="I2022" s="47" t="s">
        <v>58</v>
      </c>
      <c r="J2022" s="32"/>
    </row>
    <row r="2023" spans="1:10" x14ac:dyDescent="0.2">
      <c r="A2023" s="32"/>
      <c r="B2023" s="36" t="s">
        <v>3348</v>
      </c>
      <c r="C2023" s="37" t="s">
        <v>3335</v>
      </c>
      <c r="D2023" s="38" t="s">
        <v>2570</v>
      </c>
      <c r="E2023" s="39">
        <v>1</v>
      </c>
      <c r="F2023" s="40">
        <v>9.99</v>
      </c>
      <c r="G2023" s="40">
        <f t="shared" si="31"/>
        <v>9.99</v>
      </c>
      <c r="H2023" s="41" t="s">
        <v>24</v>
      </c>
      <c r="I2023" s="41" t="s">
        <v>58</v>
      </c>
      <c r="J2023" s="32"/>
    </row>
    <row r="2024" spans="1:10" x14ac:dyDescent="0.2">
      <c r="A2024" s="32"/>
      <c r="B2024" s="42" t="s">
        <v>3349</v>
      </c>
      <c r="C2024" s="43" t="s">
        <v>3335</v>
      </c>
      <c r="D2024" s="44" t="s">
        <v>982</v>
      </c>
      <c r="E2024" s="45">
        <v>1</v>
      </c>
      <c r="F2024" s="46">
        <v>8.2899999999999991</v>
      </c>
      <c r="G2024" s="46">
        <f t="shared" si="31"/>
        <v>8.2899999999999991</v>
      </c>
      <c r="H2024" s="47" t="s">
        <v>24</v>
      </c>
      <c r="I2024" s="47" t="s">
        <v>58</v>
      </c>
      <c r="J2024" s="32"/>
    </row>
    <row r="2025" spans="1:10" x14ac:dyDescent="0.2">
      <c r="A2025" s="32"/>
      <c r="B2025" s="36" t="s">
        <v>3350</v>
      </c>
      <c r="C2025" s="37" t="s">
        <v>3335</v>
      </c>
      <c r="D2025" s="38" t="s">
        <v>42</v>
      </c>
      <c r="E2025" s="39">
        <v>1</v>
      </c>
      <c r="F2025" s="40">
        <v>6.59</v>
      </c>
      <c r="G2025" s="40">
        <f t="shared" si="31"/>
        <v>6.59</v>
      </c>
      <c r="H2025" s="41" t="s">
        <v>24</v>
      </c>
      <c r="I2025" s="41" t="s">
        <v>58</v>
      </c>
      <c r="J2025" s="32"/>
    </row>
    <row r="2026" spans="1:10" x14ac:dyDescent="0.2">
      <c r="A2026" s="32"/>
      <c r="B2026" s="42" t="s">
        <v>3351</v>
      </c>
      <c r="C2026" s="43" t="s">
        <v>3335</v>
      </c>
      <c r="D2026" s="44" t="s">
        <v>81</v>
      </c>
      <c r="E2026" s="45">
        <v>1</v>
      </c>
      <c r="F2026" s="46">
        <v>3.99</v>
      </c>
      <c r="G2026" s="46">
        <f t="shared" si="31"/>
        <v>3.99</v>
      </c>
      <c r="H2026" s="47" t="s">
        <v>24</v>
      </c>
      <c r="I2026" s="47" t="s">
        <v>58</v>
      </c>
      <c r="J2026" s="32"/>
    </row>
    <row r="2027" spans="1:10" x14ac:dyDescent="0.2">
      <c r="A2027" s="32"/>
      <c r="B2027" s="36" t="s">
        <v>3352</v>
      </c>
      <c r="C2027" s="37" t="s">
        <v>3335</v>
      </c>
      <c r="D2027" s="38" t="s">
        <v>1871</v>
      </c>
      <c r="E2027" s="39">
        <v>1</v>
      </c>
      <c r="F2027" s="40">
        <v>6.49</v>
      </c>
      <c r="G2027" s="40">
        <f t="shared" si="31"/>
        <v>6.49</v>
      </c>
      <c r="H2027" s="41" t="s">
        <v>24</v>
      </c>
      <c r="I2027" s="41" t="s">
        <v>58</v>
      </c>
      <c r="J2027" s="32"/>
    </row>
    <row r="2028" spans="1:10" x14ac:dyDescent="0.2">
      <c r="A2028" s="32"/>
      <c r="B2028" s="42" t="s">
        <v>3353</v>
      </c>
      <c r="C2028" s="43" t="s">
        <v>3335</v>
      </c>
      <c r="D2028" s="44" t="s">
        <v>1676</v>
      </c>
      <c r="E2028" s="45">
        <v>1</v>
      </c>
      <c r="F2028" s="46">
        <v>22.99</v>
      </c>
      <c r="G2028" s="46">
        <f t="shared" si="31"/>
        <v>22.99</v>
      </c>
      <c r="H2028" s="47" t="s">
        <v>24</v>
      </c>
      <c r="I2028" s="47" t="s">
        <v>58</v>
      </c>
      <c r="J2028" s="32"/>
    </row>
    <row r="2029" spans="1:10" x14ac:dyDescent="0.2">
      <c r="A2029" s="32"/>
      <c r="B2029" s="36" t="s">
        <v>3354</v>
      </c>
      <c r="C2029" s="37" t="s">
        <v>3335</v>
      </c>
      <c r="D2029" s="38" t="s">
        <v>2801</v>
      </c>
      <c r="E2029" s="39">
        <v>1</v>
      </c>
      <c r="F2029" s="40">
        <v>6.29</v>
      </c>
      <c r="G2029" s="40">
        <f t="shared" si="31"/>
        <v>6.29</v>
      </c>
      <c r="H2029" s="41" t="s">
        <v>24</v>
      </c>
      <c r="I2029" s="41" t="s">
        <v>58</v>
      </c>
      <c r="J2029" s="32"/>
    </row>
    <row r="2030" spans="1:10" x14ac:dyDescent="0.2">
      <c r="A2030" s="32"/>
      <c r="B2030" s="42" t="s">
        <v>3355</v>
      </c>
      <c r="C2030" s="43" t="s">
        <v>3335</v>
      </c>
      <c r="D2030" s="44" t="s">
        <v>3284</v>
      </c>
      <c r="E2030" s="45">
        <v>1</v>
      </c>
      <c r="F2030" s="46">
        <v>16.89</v>
      </c>
      <c r="G2030" s="46">
        <f t="shared" si="31"/>
        <v>16.89</v>
      </c>
      <c r="H2030" s="47" t="s">
        <v>24</v>
      </c>
      <c r="I2030" s="47" t="s">
        <v>58</v>
      </c>
      <c r="J2030" s="32"/>
    </row>
    <row r="2031" spans="1:10" x14ac:dyDescent="0.2">
      <c r="A2031" s="32"/>
      <c r="B2031" s="36" t="s">
        <v>3356</v>
      </c>
      <c r="C2031" s="37" t="s">
        <v>3335</v>
      </c>
      <c r="D2031" s="38" t="s">
        <v>2493</v>
      </c>
      <c r="E2031" s="39">
        <v>1</v>
      </c>
      <c r="F2031" s="40">
        <v>50.99</v>
      </c>
      <c r="G2031" s="40">
        <f t="shared" si="31"/>
        <v>50.99</v>
      </c>
      <c r="H2031" s="41" t="s">
        <v>24</v>
      </c>
      <c r="I2031" s="41" t="s">
        <v>58</v>
      </c>
      <c r="J2031" s="32"/>
    </row>
    <row r="2032" spans="1:10" x14ac:dyDescent="0.2">
      <c r="A2032" s="32"/>
      <c r="B2032" s="42" t="s">
        <v>3357</v>
      </c>
      <c r="C2032" s="43" t="s">
        <v>3335</v>
      </c>
      <c r="D2032" s="44" t="s">
        <v>1831</v>
      </c>
      <c r="E2032" s="45">
        <v>1</v>
      </c>
      <c r="F2032" s="46">
        <v>8.99</v>
      </c>
      <c r="G2032" s="46">
        <f t="shared" si="31"/>
        <v>8.99</v>
      </c>
      <c r="H2032" s="47" t="s">
        <v>24</v>
      </c>
      <c r="I2032" s="47" t="s">
        <v>58</v>
      </c>
      <c r="J2032" s="32"/>
    </row>
    <row r="2033" spans="1:10" x14ac:dyDescent="0.2">
      <c r="A2033" s="32"/>
      <c r="B2033" s="36" t="s">
        <v>3358</v>
      </c>
      <c r="C2033" s="37" t="s">
        <v>3335</v>
      </c>
      <c r="D2033" s="38" t="s">
        <v>3359</v>
      </c>
      <c r="E2033" s="39">
        <v>1</v>
      </c>
      <c r="F2033" s="40">
        <v>13.59</v>
      </c>
      <c r="G2033" s="40">
        <f t="shared" si="31"/>
        <v>13.59</v>
      </c>
      <c r="H2033" s="41" t="s">
        <v>24</v>
      </c>
      <c r="I2033" s="41" t="s">
        <v>58</v>
      </c>
      <c r="J2033" s="32"/>
    </row>
    <row r="2034" spans="1:10" x14ac:dyDescent="0.2">
      <c r="A2034" s="32"/>
      <c r="B2034" s="42" t="s">
        <v>3360</v>
      </c>
      <c r="C2034" s="43" t="s">
        <v>3335</v>
      </c>
      <c r="D2034" s="44" t="s">
        <v>3359</v>
      </c>
      <c r="E2034" s="45">
        <v>1</v>
      </c>
      <c r="F2034" s="46">
        <v>13.59</v>
      </c>
      <c r="G2034" s="46">
        <f t="shared" si="31"/>
        <v>13.59</v>
      </c>
      <c r="H2034" s="47" t="s">
        <v>24</v>
      </c>
      <c r="I2034" s="47" t="s">
        <v>58</v>
      </c>
      <c r="J2034" s="32"/>
    </row>
    <row r="2035" spans="1:10" x14ac:dyDescent="0.2">
      <c r="A2035" s="32"/>
      <c r="B2035" s="36" t="s">
        <v>3361</v>
      </c>
      <c r="C2035" s="37" t="s">
        <v>3335</v>
      </c>
      <c r="D2035" s="38" t="s">
        <v>2493</v>
      </c>
      <c r="E2035" s="39">
        <v>1</v>
      </c>
      <c r="F2035" s="40">
        <v>50.99</v>
      </c>
      <c r="G2035" s="40">
        <f t="shared" si="31"/>
        <v>50.99</v>
      </c>
      <c r="H2035" s="41" t="s">
        <v>24</v>
      </c>
      <c r="I2035" s="41" t="s">
        <v>58</v>
      </c>
      <c r="J2035" s="32"/>
    </row>
    <row r="2036" spans="1:10" x14ac:dyDescent="0.2">
      <c r="A2036" s="32"/>
      <c r="B2036" s="42" t="s">
        <v>3362</v>
      </c>
      <c r="C2036" s="43" t="s">
        <v>3335</v>
      </c>
      <c r="D2036" s="44" t="s">
        <v>2830</v>
      </c>
      <c r="E2036" s="45">
        <v>1</v>
      </c>
      <c r="F2036" s="46">
        <v>5.29</v>
      </c>
      <c r="G2036" s="46">
        <f t="shared" si="31"/>
        <v>5.29</v>
      </c>
      <c r="H2036" s="47" t="s">
        <v>24</v>
      </c>
      <c r="I2036" s="47" t="s">
        <v>58</v>
      </c>
      <c r="J2036" s="32"/>
    </row>
    <row r="2037" spans="1:10" x14ac:dyDescent="0.2">
      <c r="A2037" s="32"/>
      <c r="B2037" s="36" t="s">
        <v>3363</v>
      </c>
      <c r="C2037" s="37" t="s">
        <v>3335</v>
      </c>
      <c r="D2037" s="38" t="s">
        <v>3292</v>
      </c>
      <c r="E2037" s="39">
        <v>1</v>
      </c>
      <c r="F2037" s="40">
        <v>5.89</v>
      </c>
      <c r="G2037" s="40">
        <f t="shared" si="31"/>
        <v>5.89</v>
      </c>
      <c r="H2037" s="41" t="s">
        <v>24</v>
      </c>
      <c r="I2037" s="41" t="s">
        <v>58</v>
      </c>
      <c r="J2037" s="32"/>
    </row>
    <row r="2038" spans="1:10" x14ac:dyDescent="0.2">
      <c r="A2038" s="32"/>
      <c r="B2038" s="42" t="s">
        <v>3364</v>
      </c>
      <c r="C2038" s="43" t="s">
        <v>3335</v>
      </c>
      <c r="D2038" s="44" t="s">
        <v>2497</v>
      </c>
      <c r="E2038" s="45">
        <v>1</v>
      </c>
      <c r="F2038" s="46">
        <v>11.99</v>
      </c>
      <c r="G2038" s="46">
        <f t="shared" si="31"/>
        <v>11.99</v>
      </c>
      <c r="H2038" s="47" t="s">
        <v>24</v>
      </c>
      <c r="I2038" s="47" t="s">
        <v>58</v>
      </c>
      <c r="J2038" s="32"/>
    </row>
    <row r="2039" spans="1:10" x14ac:dyDescent="0.2">
      <c r="A2039" s="32"/>
      <c r="B2039" s="36" t="s">
        <v>3365</v>
      </c>
      <c r="C2039" s="37" t="s">
        <v>3335</v>
      </c>
      <c r="D2039" s="38" t="s">
        <v>2497</v>
      </c>
      <c r="E2039" s="39">
        <v>1</v>
      </c>
      <c r="F2039" s="40">
        <v>11.99</v>
      </c>
      <c r="G2039" s="40">
        <f t="shared" si="31"/>
        <v>11.99</v>
      </c>
      <c r="H2039" s="41" t="s">
        <v>24</v>
      </c>
      <c r="I2039" s="41" t="s">
        <v>58</v>
      </c>
      <c r="J2039" s="32"/>
    </row>
    <row r="2040" spans="1:10" x14ac:dyDescent="0.2">
      <c r="A2040" s="32"/>
      <c r="B2040" s="42" t="s">
        <v>3366</v>
      </c>
      <c r="C2040" s="43" t="s">
        <v>3335</v>
      </c>
      <c r="D2040" s="44" t="s">
        <v>3261</v>
      </c>
      <c r="E2040" s="45">
        <v>1</v>
      </c>
      <c r="F2040" s="46">
        <v>3.35</v>
      </c>
      <c r="G2040" s="46">
        <f t="shared" si="31"/>
        <v>3.35</v>
      </c>
      <c r="H2040" s="47" t="s">
        <v>24</v>
      </c>
      <c r="I2040" s="47" t="s">
        <v>58</v>
      </c>
      <c r="J2040" s="32"/>
    </row>
    <row r="2041" spans="1:10" x14ac:dyDescent="0.2">
      <c r="A2041" s="32"/>
      <c r="B2041" s="36" t="s">
        <v>3367</v>
      </c>
      <c r="C2041" s="37" t="s">
        <v>3335</v>
      </c>
      <c r="D2041" s="38" t="s">
        <v>1357</v>
      </c>
      <c r="E2041" s="39">
        <v>1</v>
      </c>
      <c r="F2041" s="40">
        <v>48.99</v>
      </c>
      <c r="G2041" s="40">
        <f t="shared" si="31"/>
        <v>48.99</v>
      </c>
      <c r="H2041" s="41" t="s">
        <v>24</v>
      </c>
      <c r="I2041" s="41" t="s">
        <v>58</v>
      </c>
      <c r="J2041" s="32"/>
    </row>
    <row r="2042" spans="1:10" x14ac:dyDescent="0.2">
      <c r="A2042" s="32"/>
      <c r="B2042" s="42" t="s">
        <v>3368</v>
      </c>
      <c r="C2042" s="43" t="s">
        <v>3335</v>
      </c>
      <c r="D2042" s="44" t="s">
        <v>2311</v>
      </c>
      <c r="E2042" s="45">
        <v>1</v>
      </c>
      <c r="F2042" s="46">
        <v>4.29</v>
      </c>
      <c r="G2042" s="46">
        <f t="shared" si="31"/>
        <v>4.29</v>
      </c>
      <c r="H2042" s="47" t="s">
        <v>24</v>
      </c>
      <c r="I2042" s="47" t="s">
        <v>58</v>
      </c>
      <c r="J2042" s="32"/>
    </row>
    <row r="2043" spans="1:10" x14ac:dyDescent="0.2">
      <c r="A2043" s="32"/>
      <c r="B2043" s="36" t="s">
        <v>3369</v>
      </c>
      <c r="C2043" s="37" t="s">
        <v>3335</v>
      </c>
      <c r="D2043" s="38" t="s">
        <v>3097</v>
      </c>
      <c r="E2043" s="39">
        <v>1</v>
      </c>
      <c r="F2043" s="40">
        <v>17.989999999999998</v>
      </c>
      <c r="G2043" s="40">
        <f t="shared" si="31"/>
        <v>17.989999999999998</v>
      </c>
      <c r="H2043" s="41" t="s">
        <v>24</v>
      </c>
      <c r="I2043" s="41" t="s">
        <v>58</v>
      </c>
      <c r="J2043" s="32"/>
    </row>
    <row r="2044" spans="1:10" x14ac:dyDescent="0.2">
      <c r="A2044" s="32"/>
      <c r="B2044" s="42" t="s">
        <v>3370</v>
      </c>
      <c r="C2044" s="43" t="s">
        <v>3335</v>
      </c>
      <c r="D2044" s="44" t="s">
        <v>3371</v>
      </c>
      <c r="E2044" s="45">
        <v>1</v>
      </c>
      <c r="F2044" s="46">
        <v>19.989999999999998</v>
      </c>
      <c r="G2044" s="46">
        <f t="shared" si="31"/>
        <v>19.989999999999998</v>
      </c>
      <c r="H2044" s="47" t="s">
        <v>24</v>
      </c>
      <c r="I2044" s="47" t="s">
        <v>58</v>
      </c>
      <c r="J2044" s="32"/>
    </row>
    <row r="2045" spans="1:10" x14ac:dyDescent="0.2">
      <c r="A2045" s="32"/>
      <c r="B2045" s="36" t="s">
        <v>3372</v>
      </c>
      <c r="C2045" s="37" t="s">
        <v>3335</v>
      </c>
      <c r="D2045" s="38" t="s">
        <v>1724</v>
      </c>
      <c r="E2045" s="39">
        <v>1</v>
      </c>
      <c r="F2045" s="40">
        <v>3.99</v>
      </c>
      <c r="G2045" s="40">
        <f t="shared" si="31"/>
        <v>3.99</v>
      </c>
      <c r="H2045" s="41" t="s">
        <v>24</v>
      </c>
      <c r="I2045" s="41" t="s">
        <v>58</v>
      </c>
      <c r="J2045" s="32"/>
    </row>
    <row r="2046" spans="1:10" x14ac:dyDescent="0.2">
      <c r="A2046" s="32"/>
      <c r="B2046" s="42" t="s">
        <v>3373</v>
      </c>
      <c r="C2046" s="43" t="s">
        <v>3335</v>
      </c>
      <c r="D2046" s="44" t="s">
        <v>216</v>
      </c>
      <c r="E2046" s="45">
        <v>1</v>
      </c>
      <c r="F2046" s="46">
        <v>9.49</v>
      </c>
      <c r="G2046" s="46">
        <f t="shared" si="31"/>
        <v>9.49</v>
      </c>
      <c r="H2046" s="47" t="s">
        <v>25</v>
      </c>
      <c r="I2046" s="47" t="s">
        <v>58</v>
      </c>
      <c r="J2046" s="32"/>
    </row>
    <row r="2047" spans="1:10" x14ac:dyDescent="0.2">
      <c r="A2047" s="32"/>
      <c r="B2047" s="36" t="s">
        <v>3374</v>
      </c>
      <c r="C2047" s="37" t="s">
        <v>3335</v>
      </c>
      <c r="D2047" s="38" t="s">
        <v>2335</v>
      </c>
      <c r="E2047" s="39">
        <v>1</v>
      </c>
      <c r="F2047" s="40">
        <v>5.49</v>
      </c>
      <c r="G2047" s="40">
        <f t="shared" si="31"/>
        <v>5.49</v>
      </c>
      <c r="H2047" s="41" t="s">
        <v>28</v>
      </c>
      <c r="I2047" s="41" t="s">
        <v>58</v>
      </c>
      <c r="J2047" s="32"/>
    </row>
    <row r="2048" spans="1:10" x14ac:dyDescent="0.2">
      <c r="A2048" s="32"/>
      <c r="B2048" s="42" t="s">
        <v>3375</v>
      </c>
      <c r="C2048" s="43" t="s">
        <v>3335</v>
      </c>
      <c r="D2048" s="44" t="s">
        <v>3376</v>
      </c>
      <c r="E2048" s="45">
        <v>1</v>
      </c>
      <c r="F2048" s="46">
        <v>9.3800000000000008</v>
      </c>
      <c r="G2048" s="46">
        <f t="shared" si="31"/>
        <v>9.3800000000000008</v>
      </c>
      <c r="H2048" s="47" t="s">
        <v>27</v>
      </c>
      <c r="I2048" s="47" t="s">
        <v>58</v>
      </c>
      <c r="J2048" s="32"/>
    </row>
    <row r="2049" spans="1:10" x14ac:dyDescent="0.2">
      <c r="A2049" s="32"/>
      <c r="B2049" s="36" t="s">
        <v>3377</v>
      </c>
      <c r="C2049" s="37" t="s">
        <v>3335</v>
      </c>
      <c r="D2049" s="38" t="s">
        <v>3378</v>
      </c>
      <c r="E2049" s="39">
        <v>1</v>
      </c>
      <c r="F2049" s="40">
        <v>36.99</v>
      </c>
      <c r="G2049" s="40">
        <f t="shared" si="31"/>
        <v>36.99</v>
      </c>
      <c r="H2049" s="41" t="s">
        <v>24</v>
      </c>
      <c r="I2049" s="41" t="s">
        <v>58</v>
      </c>
      <c r="J2049" s="32"/>
    </row>
    <row r="2050" spans="1:10" x14ac:dyDescent="0.2">
      <c r="A2050" s="32"/>
      <c r="B2050" s="42" t="s">
        <v>3379</v>
      </c>
      <c r="C2050" s="43" t="s">
        <v>3335</v>
      </c>
      <c r="D2050" s="44" t="s">
        <v>1710</v>
      </c>
      <c r="E2050" s="45">
        <v>1</v>
      </c>
      <c r="F2050" s="46">
        <v>12.99</v>
      </c>
      <c r="G2050" s="46">
        <f t="shared" si="31"/>
        <v>12.99</v>
      </c>
      <c r="H2050" s="47" t="s">
        <v>25</v>
      </c>
      <c r="I2050" s="47" t="s">
        <v>58</v>
      </c>
      <c r="J2050" s="32"/>
    </row>
    <row r="2051" spans="1:10" x14ac:dyDescent="0.2">
      <c r="A2051" s="32"/>
      <c r="B2051" s="36" t="s">
        <v>3380</v>
      </c>
      <c r="C2051" s="37" t="s">
        <v>3335</v>
      </c>
      <c r="D2051" s="38" t="s">
        <v>1398</v>
      </c>
      <c r="E2051" s="39">
        <v>1</v>
      </c>
      <c r="F2051" s="40">
        <v>55.99</v>
      </c>
      <c r="G2051" s="40">
        <f t="shared" si="31"/>
        <v>55.99</v>
      </c>
      <c r="H2051" s="41" t="s">
        <v>24</v>
      </c>
      <c r="I2051" s="41" t="s">
        <v>58</v>
      </c>
      <c r="J2051" s="32"/>
    </row>
    <row r="2052" spans="1:10" x14ac:dyDescent="0.2">
      <c r="A2052" s="32"/>
      <c r="B2052" s="42" t="s">
        <v>3381</v>
      </c>
      <c r="C2052" s="43" t="s">
        <v>3335</v>
      </c>
      <c r="D2052" s="44" t="s">
        <v>2858</v>
      </c>
      <c r="E2052" s="45">
        <v>1</v>
      </c>
      <c r="F2052" s="46">
        <v>117.99</v>
      </c>
      <c r="G2052" s="46">
        <f t="shared" si="31"/>
        <v>117.99</v>
      </c>
      <c r="H2052" s="47" t="s">
        <v>24</v>
      </c>
      <c r="I2052" s="47" t="s">
        <v>58</v>
      </c>
      <c r="J2052" s="32"/>
    </row>
    <row r="2053" spans="1:10" x14ac:dyDescent="0.2">
      <c r="A2053" s="32"/>
      <c r="B2053" s="36" t="s">
        <v>3382</v>
      </c>
      <c r="C2053" s="37" t="s">
        <v>3335</v>
      </c>
      <c r="D2053" s="38" t="s">
        <v>3258</v>
      </c>
      <c r="E2053" s="39">
        <v>1</v>
      </c>
      <c r="F2053" s="40">
        <v>7.99</v>
      </c>
      <c r="G2053" s="40">
        <f t="shared" ref="G2053:G2116" si="32">E2053*F2053</f>
        <v>7.99</v>
      </c>
      <c r="H2053" s="41" t="s">
        <v>24</v>
      </c>
      <c r="I2053" s="41" t="s">
        <v>58</v>
      </c>
      <c r="J2053" s="32"/>
    </row>
    <row r="2054" spans="1:10" x14ac:dyDescent="0.2">
      <c r="A2054" s="32"/>
      <c r="B2054" s="42" t="s">
        <v>3383</v>
      </c>
      <c r="C2054" s="43" t="s">
        <v>3335</v>
      </c>
      <c r="D2054" s="44" t="s">
        <v>3384</v>
      </c>
      <c r="E2054" s="45">
        <v>1</v>
      </c>
      <c r="F2054" s="46">
        <v>6.99</v>
      </c>
      <c r="G2054" s="46">
        <f t="shared" si="32"/>
        <v>6.99</v>
      </c>
      <c r="H2054" s="47" t="s">
        <v>24</v>
      </c>
      <c r="I2054" s="47" t="s">
        <v>58</v>
      </c>
      <c r="J2054" s="32"/>
    </row>
    <row r="2055" spans="1:10" x14ac:dyDescent="0.2">
      <c r="A2055" s="32"/>
      <c r="B2055" s="36" t="s">
        <v>3385</v>
      </c>
      <c r="C2055" s="37" t="s">
        <v>3335</v>
      </c>
      <c r="D2055" s="38" t="s">
        <v>3386</v>
      </c>
      <c r="E2055" s="39">
        <v>1</v>
      </c>
      <c r="F2055" s="40">
        <v>18.989999999999998</v>
      </c>
      <c r="G2055" s="40">
        <f t="shared" si="32"/>
        <v>18.989999999999998</v>
      </c>
      <c r="H2055" s="41" t="s">
        <v>24</v>
      </c>
      <c r="I2055" s="41" t="s">
        <v>58</v>
      </c>
      <c r="J2055" s="32"/>
    </row>
    <row r="2056" spans="1:10" x14ac:dyDescent="0.2">
      <c r="A2056" s="32"/>
      <c r="B2056" s="42" t="s">
        <v>3387</v>
      </c>
      <c r="C2056" s="43" t="s">
        <v>3335</v>
      </c>
      <c r="D2056" s="44" t="s">
        <v>3388</v>
      </c>
      <c r="E2056" s="45">
        <v>1</v>
      </c>
      <c r="F2056" s="46">
        <v>22.69</v>
      </c>
      <c r="G2056" s="46">
        <f t="shared" si="32"/>
        <v>22.69</v>
      </c>
      <c r="H2056" s="47" t="s">
        <v>24</v>
      </c>
      <c r="I2056" s="47" t="s">
        <v>58</v>
      </c>
      <c r="J2056" s="32"/>
    </row>
    <row r="2057" spans="1:10" x14ac:dyDescent="0.2">
      <c r="A2057" s="32"/>
      <c r="B2057" s="36" t="s">
        <v>3389</v>
      </c>
      <c r="C2057" s="37" t="s">
        <v>3335</v>
      </c>
      <c r="D2057" s="38" t="s">
        <v>3390</v>
      </c>
      <c r="E2057" s="39">
        <v>1</v>
      </c>
      <c r="F2057" s="40">
        <v>43.99</v>
      </c>
      <c r="G2057" s="40">
        <f t="shared" si="32"/>
        <v>43.99</v>
      </c>
      <c r="H2057" s="41" t="s">
        <v>24</v>
      </c>
      <c r="I2057" s="41" t="s">
        <v>58</v>
      </c>
      <c r="J2057" s="32"/>
    </row>
    <row r="2058" spans="1:10" x14ac:dyDescent="0.2">
      <c r="A2058" s="32"/>
      <c r="B2058" s="42" t="s">
        <v>3391</v>
      </c>
      <c r="C2058" s="43" t="s">
        <v>3335</v>
      </c>
      <c r="D2058" s="44" t="s">
        <v>3125</v>
      </c>
      <c r="E2058" s="45">
        <v>1</v>
      </c>
      <c r="F2058" s="46">
        <v>11.99</v>
      </c>
      <c r="G2058" s="46">
        <f t="shared" si="32"/>
        <v>11.99</v>
      </c>
      <c r="H2058" s="47" t="s">
        <v>24</v>
      </c>
      <c r="I2058" s="47" t="s">
        <v>58</v>
      </c>
      <c r="J2058" s="32"/>
    </row>
    <row r="2059" spans="1:10" x14ac:dyDescent="0.2">
      <c r="A2059" s="32"/>
      <c r="B2059" s="36" t="s">
        <v>3392</v>
      </c>
      <c r="C2059" s="37" t="s">
        <v>3335</v>
      </c>
      <c r="D2059" s="38" t="s">
        <v>2999</v>
      </c>
      <c r="E2059" s="39">
        <v>1</v>
      </c>
      <c r="F2059" s="40">
        <v>9.2899999999999991</v>
      </c>
      <c r="G2059" s="40">
        <f t="shared" si="32"/>
        <v>9.2899999999999991</v>
      </c>
      <c r="H2059" s="41" t="s">
        <v>24</v>
      </c>
      <c r="I2059" s="41" t="s">
        <v>58</v>
      </c>
      <c r="J2059" s="32"/>
    </row>
    <row r="2060" spans="1:10" x14ac:dyDescent="0.2">
      <c r="A2060" s="32"/>
      <c r="B2060" s="42" t="s">
        <v>3393</v>
      </c>
      <c r="C2060" s="43" t="s">
        <v>3335</v>
      </c>
      <c r="D2060" s="44" t="s">
        <v>3329</v>
      </c>
      <c r="E2060" s="45">
        <v>1</v>
      </c>
      <c r="F2060" s="46">
        <v>13.59</v>
      </c>
      <c r="G2060" s="46">
        <f t="shared" si="32"/>
        <v>13.59</v>
      </c>
      <c r="H2060" s="47" t="s">
        <v>24</v>
      </c>
      <c r="I2060" s="47" t="s">
        <v>58</v>
      </c>
      <c r="J2060" s="32"/>
    </row>
    <row r="2061" spans="1:10" x14ac:dyDescent="0.2">
      <c r="A2061" s="32"/>
      <c r="B2061" s="36" t="s">
        <v>3394</v>
      </c>
      <c r="C2061" s="37" t="s">
        <v>3395</v>
      </c>
      <c r="D2061" s="38" t="s">
        <v>3396</v>
      </c>
      <c r="E2061" s="39">
        <v>1</v>
      </c>
      <c r="F2061" s="40">
        <v>9.5</v>
      </c>
      <c r="G2061" s="40">
        <f t="shared" si="32"/>
        <v>9.5</v>
      </c>
      <c r="H2061" s="41" t="s">
        <v>26</v>
      </c>
      <c r="I2061" s="41" t="s">
        <v>58</v>
      </c>
      <c r="J2061" s="32"/>
    </row>
    <row r="2062" spans="1:10" x14ac:dyDescent="0.2">
      <c r="A2062" s="32"/>
      <c r="B2062" s="42" t="s">
        <v>3397</v>
      </c>
      <c r="C2062" s="43" t="s">
        <v>3395</v>
      </c>
      <c r="D2062" s="44" t="s">
        <v>485</v>
      </c>
      <c r="E2062" s="45">
        <v>1</v>
      </c>
      <c r="F2062" s="46">
        <v>62</v>
      </c>
      <c r="G2062" s="46">
        <f t="shared" si="32"/>
        <v>62</v>
      </c>
      <c r="H2062" s="47" t="s">
        <v>24</v>
      </c>
      <c r="I2062" s="47" t="s">
        <v>58</v>
      </c>
      <c r="J2062" s="32"/>
    </row>
    <row r="2063" spans="1:10" x14ac:dyDescent="0.2">
      <c r="A2063" s="32"/>
      <c r="B2063" s="36" t="s">
        <v>3398</v>
      </c>
      <c r="C2063" s="37" t="s">
        <v>3395</v>
      </c>
      <c r="D2063" s="38" t="s">
        <v>41</v>
      </c>
      <c r="E2063" s="39">
        <v>1</v>
      </c>
      <c r="F2063" s="40">
        <v>8.5</v>
      </c>
      <c r="G2063" s="40">
        <f t="shared" si="32"/>
        <v>8.5</v>
      </c>
      <c r="H2063" s="41" t="s">
        <v>26</v>
      </c>
      <c r="I2063" s="41" t="s">
        <v>58</v>
      </c>
      <c r="J2063" s="32"/>
    </row>
    <row r="2064" spans="1:10" x14ac:dyDescent="0.2">
      <c r="A2064" s="32"/>
      <c r="B2064" s="42" t="s">
        <v>3399</v>
      </c>
      <c r="C2064" s="43" t="s">
        <v>3400</v>
      </c>
      <c r="D2064" s="44" t="s">
        <v>3401</v>
      </c>
      <c r="E2064" s="45">
        <v>1</v>
      </c>
      <c r="F2064" s="46">
        <v>160</v>
      </c>
      <c r="G2064" s="46">
        <f t="shared" si="32"/>
        <v>160</v>
      </c>
      <c r="H2064" s="47" t="s">
        <v>24</v>
      </c>
      <c r="I2064" s="47" t="s">
        <v>58</v>
      </c>
      <c r="J2064" s="32"/>
    </row>
    <row r="2065" spans="1:10" x14ac:dyDescent="0.2">
      <c r="A2065" s="32"/>
      <c r="B2065" s="36" t="s">
        <v>3402</v>
      </c>
      <c r="C2065" s="37" t="s">
        <v>3400</v>
      </c>
      <c r="D2065" s="38" t="s">
        <v>3403</v>
      </c>
      <c r="E2065" s="39">
        <v>1</v>
      </c>
      <c r="F2065" s="40">
        <v>33</v>
      </c>
      <c r="G2065" s="40">
        <f t="shared" si="32"/>
        <v>33</v>
      </c>
      <c r="H2065" s="41" t="s">
        <v>27</v>
      </c>
      <c r="I2065" s="41" t="s">
        <v>58</v>
      </c>
      <c r="J2065" s="32"/>
    </row>
    <row r="2066" spans="1:10" x14ac:dyDescent="0.2">
      <c r="A2066" s="32"/>
      <c r="B2066" s="42" t="s">
        <v>3404</v>
      </c>
      <c r="C2066" s="43" t="s">
        <v>3405</v>
      </c>
      <c r="D2066" s="44" t="s">
        <v>3403</v>
      </c>
      <c r="E2066" s="45">
        <v>1</v>
      </c>
      <c r="F2066" s="46">
        <v>33</v>
      </c>
      <c r="G2066" s="46">
        <f t="shared" si="32"/>
        <v>33</v>
      </c>
      <c r="H2066" s="47" t="s">
        <v>27</v>
      </c>
      <c r="I2066" s="47" t="s">
        <v>58</v>
      </c>
      <c r="J2066" s="32"/>
    </row>
    <row r="2067" spans="1:10" x14ac:dyDescent="0.2">
      <c r="A2067" s="32"/>
      <c r="B2067" s="36" t="s">
        <v>3406</v>
      </c>
      <c r="C2067" s="37" t="s">
        <v>3405</v>
      </c>
      <c r="D2067" s="38" t="s">
        <v>3407</v>
      </c>
      <c r="E2067" s="39">
        <v>1</v>
      </c>
      <c r="F2067" s="40">
        <v>7</v>
      </c>
      <c r="G2067" s="40">
        <f t="shared" si="32"/>
        <v>7</v>
      </c>
      <c r="H2067" s="41" t="s">
        <v>24</v>
      </c>
      <c r="I2067" s="41" t="s">
        <v>58</v>
      </c>
      <c r="J2067" s="32"/>
    </row>
    <row r="2068" spans="1:10" x14ac:dyDescent="0.2">
      <c r="A2068" s="32"/>
      <c r="B2068" s="42" t="s">
        <v>3408</v>
      </c>
      <c r="C2068" s="43" t="s">
        <v>3405</v>
      </c>
      <c r="D2068" s="44" t="s">
        <v>3409</v>
      </c>
      <c r="E2068" s="45">
        <v>1</v>
      </c>
      <c r="F2068" s="46">
        <v>38.9</v>
      </c>
      <c r="G2068" s="46">
        <f t="shared" si="32"/>
        <v>38.9</v>
      </c>
      <c r="H2068" s="47" t="s">
        <v>24</v>
      </c>
      <c r="I2068" s="47" t="s">
        <v>58</v>
      </c>
      <c r="J2068" s="32"/>
    </row>
    <row r="2069" spans="1:10" x14ac:dyDescent="0.2">
      <c r="A2069" s="32"/>
      <c r="B2069" s="36" t="s">
        <v>3410</v>
      </c>
      <c r="C2069" s="37" t="s">
        <v>3405</v>
      </c>
      <c r="D2069" s="38" t="s">
        <v>3411</v>
      </c>
      <c r="E2069" s="39">
        <v>1</v>
      </c>
      <c r="F2069" s="40">
        <v>1.5</v>
      </c>
      <c r="G2069" s="40">
        <f t="shared" si="32"/>
        <v>1.5</v>
      </c>
      <c r="H2069" s="41" t="s">
        <v>24</v>
      </c>
      <c r="I2069" s="41" t="s">
        <v>58</v>
      </c>
      <c r="J2069" s="32"/>
    </row>
    <row r="2070" spans="1:10" x14ac:dyDescent="0.2">
      <c r="A2070" s="32"/>
      <c r="B2070" s="42" t="s">
        <v>3412</v>
      </c>
      <c r="C2070" s="43" t="s">
        <v>3413</v>
      </c>
      <c r="D2070" s="44" t="s">
        <v>3414</v>
      </c>
      <c r="E2070" s="45">
        <v>1</v>
      </c>
      <c r="F2070" s="46">
        <v>35.799999999999997</v>
      </c>
      <c r="G2070" s="46">
        <f t="shared" si="32"/>
        <v>35.799999999999997</v>
      </c>
      <c r="H2070" s="47" t="s">
        <v>25</v>
      </c>
      <c r="I2070" s="47" t="s">
        <v>58</v>
      </c>
      <c r="J2070" s="32"/>
    </row>
    <row r="2071" spans="1:10" x14ac:dyDescent="0.2">
      <c r="A2071" s="32"/>
      <c r="B2071" s="36" t="s">
        <v>3415</v>
      </c>
      <c r="C2071" s="37" t="s">
        <v>3413</v>
      </c>
      <c r="D2071" s="38" t="s">
        <v>3416</v>
      </c>
      <c r="E2071" s="39">
        <v>1</v>
      </c>
      <c r="F2071" s="40">
        <v>14.99</v>
      </c>
      <c r="G2071" s="40">
        <f t="shared" si="32"/>
        <v>14.99</v>
      </c>
      <c r="H2071" s="41" t="s">
        <v>24</v>
      </c>
      <c r="I2071" s="41" t="s">
        <v>58</v>
      </c>
      <c r="J2071" s="32"/>
    </row>
    <row r="2072" spans="1:10" x14ac:dyDescent="0.2">
      <c r="A2072" s="32"/>
      <c r="B2072" s="42" t="s">
        <v>3417</v>
      </c>
      <c r="C2072" s="43" t="s">
        <v>3413</v>
      </c>
      <c r="D2072" s="44" t="s">
        <v>3418</v>
      </c>
      <c r="E2072" s="45">
        <v>1</v>
      </c>
      <c r="F2072" s="46">
        <v>5.99</v>
      </c>
      <c r="G2072" s="46">
        <f t="shared" si="32"/>
        <v>5.99</v>
      </c>
      <c r="H2072" s="47" t="s">
        <v>24</v>
      </c>
      <c r="I2072" s="47" t="s">
        <v>58</v>
      </c>
      <c r="J2072" s="32"/>
    </row>
    <row r="2073" spans="1:10" x14ac:dyDescent="0.2">
      <c r="A2073" s="32"/>
      <c r="B2073" s="36" t="s">
        <v>3419</v>
      </c>
      <c r="C2073" s="37" t="s">
        <v>3420</v>
      </c>
      <c r="D2073" s="38" t="s">
        <v>2289</v>
      </c>
      <c r="E2073" s="39">
        <v>1</v>
      </c>
      <c r="F2073" s="40">
        <v>53.9</v>
      </c>
      <c r="G2073" s="40">
        <f t="shared" si="32"/>
        <v>53.9</v>
      </c>
      <c r="H2073" s="41" t="s">
        <v>24</v>
      </c>
      <c r="I2073" s="41" t="s">
        <v>58</v>
      </c>
      <c r="J2073" s="32"/>
    </row>
    <row r="2074" spans="1:10" x14ac:dyDescent="0.2">
      <c r="A2074" s="32"/>
      <c r="B2074" s="42" t="s">
        <v>3421</v>
      </c>
      <c r="C2074" s="43" t="s">
        <v>3422</v>
      </c>
      <c r="D2074" s="44" t="s">
        <v>2289</v>
      </c>
      <c r="E2074" s="45">
        <v>1</v>
      </c>
      <c r="F2074" s="46">
        <v>53.9</v>
      </c>
      <c r="G2074" s="46">
        <f t="shared" si="32"/>
        <v>53.9</v>
      </c>
      <c r="H2074" s="47" t="s">
        <v>24</v>
      </c>
      <c r="I2074" s="47" t="s">
        <v>58</v>
      </c>
      <c r="J2074" s="32"/>
    </row>
    <row r="2075" spans="1:10" x14ac:dyDescent="0.2">
      <c r="A2075" s="32"/>
      <c r="B2075" s="36" t="s">
        <v>3423</v>
      </c>
      <c r="C2075" s="37" t="s">
        <v>3422</v>
      </c>
      <c r="D2075" s="38" t="s">
        <v>3040</v>
      </c>
      <c r="E2075" s="39">
        <v>1</v>
      </c>
      <c r="F2075" s="40">
        <v>13</v>
      </c>
      <c r="G2075" s="40">
        <f t="shared" si="32"/>
        <v>13</v>
      </c>
      <c r="H2075" s="41" t="s">
        <v>24</v>
      </c>
      <c r="I2075" s="41" t="s">
        <v>58</v>
      </c>
      <c r="J2075" s="32"/>
    </row>
    <row r="2076" spans="1:10" x14ac:dyDescent="0.2">
      <c r="A2076" s="32"/>
      <c r="B2076" s="42" t="s">
        <v>3424</v>
      </c>
      <c r="C2076" s="43" t="s">
        <v>3425</v>
      </c>
      <c r="D2076" s="44" t="s">
        <v>2289</v>
      </c>
      <c r="E2076" s="45">
        <v>1</v>
      </c>
      <c r="F2076" s="46">
        <v>53.9</v>
      </c>
      <c r="G2076" s="46">
        <f t="shared" si="32"/>
        <v>53.9</v>
      </c>
      <c r="H2076" s="47" t="s">
        <v>24</v>
      </c>
      <c r="I2076" s="47" t="s">
        <v>58</v>
      </c>
      <c r="J2076" s="32"/>
    </row>
    <row r="2077" spans="1:10" x14ac:dyDescent="0.2">
      <c r="A2077" s="32"/>
      <c r="B2077" s="36" t="s">
        <v>3426</v>
      </c>
      <c r="C2077" s="37" t="s">
        <v>3427</v>
      </c>
      <c r="D2077" s="38" t="s">
        <v>1463</v>
      </c>
      <c r="E2077" s="39">
        <v>1</v>
      </c>
      <c r="F2077" s="40">
        <v>5.99</v>
      </c>
      <c r="G2077" s="40">
        <f t="shared" si="32"/>
        <v>5.99</v>
      </c>
      <c r="H2077" s="41" t="s">
        <v>24</v>
      </c>
      <c r="I2077" s="41" t="s">
        <v>58</v>
      </c>
      <c r="J2077" s="32"/>
    </row>
    <row r="2078" spans="1:10" x14ac:dyDescent="0.2">
      <c r="A2078" s="32"/>
      <c r="B2078" s="42" t="s">
        <v>3428</v>
      </c>
      <c r="C2078" s="43" t="s">
        <v>3427</v>
      </c>
      <c r="D2078" s="44" t="s">
        <v>2315</v>
      </c>
      <c r="E2078" s="45">
        <v>1</v>
      </c>
      <c r="F2078" s="46">
        <v>6.69</v>
      </c>
      <c r="G2078" s="46">
        <f t="shared" si="32"/>
        <v>6.69</v>
      </c>
      <c r="H2078" s="47" t="s">
        <v>24</v>
      </c>
      <c r="I2078" s="47" t="s">
        <v>58</v>
      </c>
      <c r="J2078" s="32"/>
    </row>
    <row r="2079" spans="1:10" x14ac:dyDescent="0.2">
      <c r="A2079" s="32"/>
      <c r="B2079" s="36" t="s">
        <v>3429</v>
      </c>
      <c r="C2079" s="37" t="s">
        <v>3427</v>
      </c>
      <c r="D2079" s="38" t="s">
        <v>2315</v>
      </c>
      <c r="E2079" s="39">
        <v>1</v>
      </c>
      <c r="F2079" s="40">
        <v>6.69</v>
      </c>
      <c r="G2079" s="40">
        <f t="shared" si="32"/>
        <v>6.69</v>
      </c>
      <c r="H2079" s="41" t="s">
        <v>24</v>
      </c>
      <c r="I2079" s="41" t="s">
        <v>58</v>
      </c>
      <c r="J2079" s="32"/>
    </row>
    <row r="2080" spans="1:10" x14ac:dyDescent="0.2">
      <c r="A2080" s="32"/>
      <c r="B2080" s="42" t="s">
        <v>3430</v>
      </c>
      <c r="C2080" s="43" t="s">
        <v>3427</v>
      </c>
      <c r="D2080" s="44" t="s">
        <v>2591</v>
      </c>
      <c r="E2080" s="45">
        <v>1</v>
      </c>
      <c r="F2080" s="46">
        <v>5.99</v>
      </c>
      <c r="G2080" s="46">
        <f t="shared" si="32"/>
        <v>5.99</v>
      </c>
      <c r="H2080" s="47" t="s">
        <v>24</v>
      </c>
      <c r="I2080" s="47" t="s">
        <v>58</v>
      </c>
      <c r="J2080" s="32"/>
    </row>
    <row r="2081" spans="1:10" x14ac:dyDescent="0.2">
      <c r="A2081" s="32"/>
      <c r="B2081" s="36" t="s">
        <v>3431</v>
      </c>
      <c r="C2081" s="37" t="s">
        <v>3427</v>
      </c>
      <c r="D2081" s="38" t="s">
        <v>2317</v>
      </c>
      <c r="E2081" s="39">
        <v>1</v>
      </c>
      <c r="F2081" s="40">
        <v>7.29</v>
      </c>
      <c r="G2081" s="40">
        <f t="shared" si="32"/>
        <v>7.29</v>
      </c>
      <c r="H2081" s="41" t="s">
        <v>24</v>
      </c>
      <c r="I2081" s="41" t="s">
        <v>58</v>
      </c>
      <c r="J2081" s="32"/>
    </row>
    <row r="2082" spans="1:10" x14ac:dyDescent="0.2">
      <c r="A2082" s="32"/>
      <c r="B2082" s="42" t="s">
        <v>3432</v>
      </c>
      <c r="C2082" s="43" t="s">
        <v>3427</v>
      </c>
      <c r="D2082" s="44" t="s">
        <v>3433</v>
      </c>
      <c r="E2082" s="45">
        <v>1</v>
      </c>
      <c r="F2082" s="46">
        <v>5.39</v>
      </c>
      <c r="G2082" s="46">
        <f t="shared" si="32"/>
        <v>5.39</v>
      </c>
      <c r="H2082" s="47" t="s">
        <v>24</v>
      </c>
      <c r="I2082" s="47" t="s">
        <v>58</v>
      </c>
      <c r="J2082" s="32"/>
    </row>
    <row r="2083" spans="1:10" x14ac:dyDescent="0.2">
      <c r="A2083" s="32"/>
      <c r="B2083" s="36" t="s">
        <v>3434</v>
      </c>
      <c r="C2083" s="37" t="s">
        <v>3427</v>
      </c>
      <c r="D2083" s="38" t="s">
        <v>2497</v>
      </c>
      <c r="E2083" s="39">
        <v>1</v>
      </c>
      <c r="F2083" s="40">
        <v>11.99</v>
      </c>
      <c r="G2083" s="40">
        <f t="shared" si="32"/>
        <v>11.99</v>
      </c>
      <c r="H2083" s="41" t="s">
        <v>24</v>
      </c>
      <c r="I2083" s="41" t="s">
        <v>58</v>
      </c>
      <c r="J2083" s="32"/>
    </row>
    <row r="2084" spans="1:10" x14ac:dyDescent="0.2">
      <c r="A2084" s="32"/>
      <c r="B2084" s="42" t="s">
        <v>3435</v>
      </c>
      <c r="C2084" s="43" t="s">
        <v>3427</v>
      </c>
      <c r="D2084" s="44" t="s">
        <v>2497</v>
      </c>
      <c r="E2084" s="45">
        <v>1</v>
      </c>
      <c r="F2084" s="46">
        <v>11.99</v>
      </c>
      <c r="G2084" s="46">
        <f t="shared" si="32"/>
        <v>11.99</v>
      </c>
      <c r="H2084" s="47" t="s">
        <v>24</v>
      </c>
      <c r="I2084" s="47" t="s">
        <v>58</v>
      </c>
      <c r="J2084" s="32"/>
    </row>
    <row r="2085" spans="1:10" x14ac:dyDescent="0.2">
      <c r="A2085" s="32"/>
      <c r="B2085" s="36" t="s">
        <v>3436</v>
      </c>
      <c r="C2085" s="37" t="s">
        <v>3427</v>
      </c>
      <c r="D2085" s="38" t="s">
        <v>2499</v>
      </c>
      <c r="E2085" s="39">
        <v>1</v>
      </c>
      <c r="F2085" s="40">
        <v>29.9</v>
      </c>
      <c r="G2085" s="40">
        <f t="shared" si="32"/>
        <v>29.9</v>
      </c>
      <c r="H2085" s="41" t="s">
        <v>24</v>
      </c>
      <c r="I2085" s="41" t="s">
        <v>58</v>
      </c>
      <c r="J2085" s="32"/>
    </row>
    <row r="2086" spans="1:10" x14ac:dyDescent="0.2">
      <c r="A2086" s="32"/>
      <c r="B2086" s="42" t="s">
        <v>3437</v>
      </c>
      <c r="C2086" s="43" t="s">
        <v>3427</v>
      </c>
      <c r="D2086" s="44" t="s">
        <v>2325</v>
      </c>
      <c r="E2086" s="45">
        <v>1</v>
      </c>
      <c r="F2086" s="46">
        <v>6.69</v>
      </c>
      <c r="G2086" s="46">
        <f t="shared" si="32"/>
        <v>6.69</v>
      </c>
      <c r="H2086" s="47" t="s">
        <v>24</v>
      </c>
      <c r="I2086" s="47" t="s">
        <v>58</v>
      </c>
      <c r="J2086" s="32"/>
    </row>
    <row r="2087" spans="1:10" x14ac:dyDescent="0.2">
      <c r="A2087" s="32"/>
      <c r="B2087" s="36" t="s">
        <v>3438</v>
      </c>
      <c r="C2087" s="37" t="s">
        <v>3427</v>
      </c>
      <c r="D2087" s="38" t="s">
        <v>3439</v>
      </c>
      <c r="E2087" s="39">
        <v>1</v>
      </c>
      <c r="F2087" s="40">
        <v>13.99</v>
      </c>
      <c r="G2087" s="40">
        <f t="shared" si="32"/>
        <v>13.99</v>
      </c>
      <c r="H2087" s="41" t="s">
        <v>24</v>
      </c>
      <c r="I2087" s="41" t="s">
        <v>58</v>
      </c>
      <c r="J2087" s="32"/>
    </row>
    <row r="2088" spans="1:10" x14ac:dyDescent="0.2">
      <c r="A2088" s="32"/>
      <c r="B2088" s="42" t="s">
        <v>3440</v>
      </c>
      <c r="C2088" s="43" t="s">
        <v>3427</v>
      </c>
      <c r="D2088" s="44" t="s">
        <v>3439</v>
      </c>
      <c r="E2088" s="45">
        <v>1</v>
      </c>
      <c r="F2088" s="46">
        <v>13.99</v>
      </c>
      <c r="G2088" s="46">
        <f t="shared" si="32"/>
        <v>13.99</v>
      </c>
      <c r="H2088" s="47" t="s">
        <v>24</v>
      </c>
      <c r="I2088" s="47" t="s">
        <v>58</v>
      </c>
      <c r="J2088" s="32"/>
    </row>
    <row r="2089" spans="1:10" x14ac:dyDescent="0.2">
      <c r="A2089" s="32"/>
      <c r="B2089" s="36" t="s">
        <v>3441</v>
      </c>
      <c r="C2089" s="37" t="s">
        <v>3427</v>
      </c>
      <c r="D2089" s="38" t="s">
        <v>3442</v>
      </c>
      <c r="E2089" s="39">
        <v>1</v>
      </c>
      <c r="F2089" s="40">
        <v>7.49</v>
      </c>
      <c r="G2089" s="40">
        <f t="shared" si="32"/>
        <v>7.49</v>
      </c>
      <c r="H2089" s="41" t="s">
        <v>24</v>
      </c>
      <c r="I2089" s="41" t="s">
        <v>58</v>
      </c>
      <c r="J2089" s="32"/>
    </row>
    <row r="2090" spans="1:10" x14ac:dyDescent="0.2">
      <c r="A2090" s="32"/>
      <c r="B2090" s="42" t="s">
        <v>3443</v>
      </c>
      <c r="C2090" s="43" t="s">
        <v>3427</v>
      </c>
      <c r="D2090" s="44" t="s">
        <v>2317</v>
      </c>
      <c r="E2090" s="45">
        <v>1</v>
      </c>
      <c r="F2090" s="46">
        <v>7.29</v>
      </c>
      <c r="G2090" s="46">
        <f t="shared" si="32"/>
        <v>7.29</v>
      </c>
      <c r="H2090" s="47" t="s">
        <v>24</v>
      </c>
      <c r="I2090" s="47" t="s">
        <v>58</v>
      </c>
      <c r="J2090" s="32"/>
    </row>
    <row r="2091" spans="1:10" x14ac:dyDescent="0.2">
      <c r="A2091" s="32"/>
      <c r="B2091" s="36" t="s">
        <v>3444</v>
      </c>
      <c r="C2091" s="37" t="s">
        <v>3427</v>
      </c>
      <c r="D2091" s="38" t="s">
        <v>2589</v>
      </c>
      <c r="E2091" s="39">
        <v>1</v>
      </c>
      <c r="F2091" s="40">
        <v>8.2899999999999991</v>
      </c>
      <c r="G2091" s="40">
        <f t="shared" si="32"/>
        <v>8.2899999999999991</v>
      </c>
      <c r="H2091" s="41" t="s">
        <v>24</v>
      </c>
      <c r="I2091" s="41" t="s">
        <v>58</v>
      </c>
      <c r="J2091" s="32"/>
    </row>
    <row r="2092" spans="1:10" x14ac:dyDescent="0.2">
      <c r="A2092" s="32"/>
      <c r="B2092" s="42" t="s">
        <v>3445</v>
      </c>
      <c r="C2092" s="43" t="s">
        <v>3427</v>
      </c>
      <c r="D2092" s="44" t="s">
        <v>2589</v>
      </c>
      <c r="E2092" s="45">
        <v>1</v>
      </c>
      <c r="F2092" s="46">
        <v>8.2899999999999991</v>
      </c>
      <c r="G2092" s="46">
        <f t="shared" si="32"/>
        <v>8.2899999999999991</v>
      </c>
      <c r="H2092" s="47" t="s">
        <v>24</v>
      </c>
      <c r="I2092" s="47" t="s">
        <v>58</v>
      </c>
      <c r="J2092" s="32"/>
    </row>
    <row r="2093" spans="1:10" x14ac:dyDescent="0.2">
      <c r="A2093" s="32"/>
      <c r="B2093" s="36" t="s">
        <v>3446</v>
      </c>
      <c r="C2093" s="37" t="s">
        <v>3427</v>
      </c>
      <c r="D2093" s="38" t="s">
        <v>2589</v>
      </c>
      <c r="E2093" s="39">
        <v>1</v>
      </c>
      <c r="F2093" s="40">
        <v>8.2899999999999991</v>
      </c>
      <c r="G2093" s="40">
        <f t="shared" si="32"/>
        <v>8.2899999999999991</v>
      </c>
      <c r="H2093" s="41" t="s">
        <v>24</v>
      </c>
      <c r="I2093" s="41" t="s">
        <v>58</v>
      </c>
      <c r="J2093" s="32"/>
    </row>
    <row r="2094" spans="1:10" x14ac:dyDescent="0.2">
      <c r="A2094" s="32"/>
      <c r="B2094" s="42" t="s">
        <v>3447</v>
      </c>
      <c r="C2094" s="43" t="s">
        <v>3427</v>
      </c>
      <c r="D2094" s="44" t="s">
        <v>1012</v>
      </c>
      <c r="E2094" s="45">
        <v>1</v>
      </c>
      <c r="F2094" s="46">
        <v>5.99</v>
      </c>
      <c r="G2094" s="46">
        <f t="shared" si="32"/>
        <v>5.99</v>
      </c>
      <c r="H2094" s="47" t="s">
        <v>24</v>
      </c>
      <c r="I2094" s="47" t="s">
        <v>58</v>
      </c>
      <c r="J2094" s="32"/>
    </row>
    <row r="2095" spans="1:10" x14ac:dyDescent="0.2">
      <c r="A2095" s="32"/>
      <c r="B2095" s="36" t="s">
        <v>3448</v>
      </c>
      <c r="C2095" s="37" t="s">
        <v>3427</v>
      </c>
      <c r="D2095" s="38" t="s">
        <v>735</v>
      </c>
      <c r="E2095" s="39">
        <v>1</v>
      </c>
      <c r="F2095" s="40">
        <v>5.99</v>
      </c>
      <c r="G2095" s="40">
        <f t="shared" si="32"/>
        <v>5.99</v>
      </c>
      <c r="H2095" s="41" t="s">
        <v>24</v>
      </c>
      <c r="I2095" s="41" t="s">
        <v>58</v>
      </c>
      <c r="J2095" s="32"/>
    </row>
    <row r="2096" spans="1:10" x14ac:dyDescent="0.2">
      <c r="A2096" s="32"/>
      <c r="B2096" s="42" t="s">
        <v>3449</v>
      </c>
      <c r="C2096" s="43" t="s">
        <v>3427</v>
      </c>
      <c r="D2096" s="44" t="s">
        <v>2577</v>
      </c>
      <c r="E2096" s="45">
        <v>1</v>
      </c>
      <c r="F2096" s="46">
        <v>6.99</v>
      </c>
      <c r="G2096" s="46">
        <f t="shared" si="32"/>
        <v>6.99</v>
      </c>
      <c r="H2096" s="47" t="s">
        <v>24</v>
      </c>
      <c r="I2096" s="47" t="s">
        <v>58</v>
      </c>
      <c r="J2096" s="32"/>
    </row>
    <row r="2097" spans="1:10" x14ac:dyDescent="0.2">
      <c r="A2097" s="32"/>
      <c r="B2097" s="36" t="s">
        <v>3450</v>
      </c>
      <c r="C2097" s="37" t="s">
        <v>3427</v>
      </c>
      <c r="D2097" s="38" t="s">
        <v>2676</v>
      </c>
      <c r="E2097" s="39">
        <v>1</v>
      </c>
      <c r="F2097" s="40">
        <v>3.99</v>
      </c>
      <c r="G2097" s="40">
        <f t="shared" si="32"/>
        <v>3.99</v>
      </c>
      <c r="H2097" s="41" t="s">
        <v>24</v>
      </c>
      <c r="I2097" s="41" t="s">
        <v>58</v>
      </c>
      <c r="J2097" s="32"/>
    </row>
    <row r="2098" spans="1:10" x14ac:dyDescent="0.2">
      <c r="A2098" s="32"/>
      <c r="B2098" s="42" t="s">
        <v>3451</v>
      </c>
      <c r="C2098" s="43" t="s">
        <v>3427</v>
      </c>
      <c r="D2098" s="44" t="s">
        <v>2701</v>
      </c>
      <c r="E2098" s="45">
        <v>1</v>
      </c>
      <c r="F2098" s="46">
        <v>6.99</v>
      </c>
      <c r="G2098" s="46">
        <f t="shared" si="32"/>
        <v>6.99</v>
      </c>
      <c r="H2098" s="47" t="s">
        <v>24</v>
      </c>
      <c r="I2098" s="47" t="s">
        <v>58</v>
      </c>
      <c r="J2098" s="32"/>
    </row>
    <row r="2099" spans="1:10" x14ac:dyDescent="0.2">
      <c r="A2099" s="32"/>
      <c r="B2099" s="36" t="s">
        <v>3452</v>
      </c>
      <c r="C2099" s="37" t="s">
        <v>3427</v>
      </c>
      <c r="D2099" s="38" t="s">
        <v>2982</v>
      </c>
      <c r="E2099" s="39">
        <v>1</v>
      </c>
      <c r="F2099" s="40">
        <v>13.99</v>
      </c>
      <c r="G2099" s="40">
        <f t="shared" si="32"/>
        <v>13.99</v>
      </c>
      <c r="H2099" s="41" t="s">
        <v>24</v>
      </c>
      <c r="I2099" s="41" t="s">
        <v>58</v>
      </c>
      <c r="J2099" s="32"/>
    </row>
    <row r="2100" spans="1:10" x14ac:dyDescent="0.2">
      <c r="A2100" s="32"/>
      <c r="B2100" s="42" t="s">
        <v>3453</v>
      </c>
      <c r="C2100" s="43" t="s">
        <v>3427</v>
      </c>
      <c r="D2100" s="44" t="s">
        <v>1012</v>
      </c>
      <c r="E2100" s="45">
        <v>1</v>
      </c>
      <c r="F2100" s="46">
        <v>5.99</v>
      </c>
      <c r="G2100" s="46">
        <f t="shared" si="32"/>
        <v>5.99</v>
      </c>
      <c r="H2100" s="47" t="s">
        <v>24</v>
      </c>
      <c r="I2100" s="47" t="s">
        <v>58</v>
      </c>
      <c r="J2100" s="32"/>
    </row>
    <row r="2101" spans="1:10" x14ac:dyDescent="0.2">
      <c r="A2101" s="32"/>
      <c r="B2101" s="36" t="s">
        <v>3454</v>
      </c>
      <c r="C2101" s="37" t="s">
        <v>3427</v>
      </c>
      <c r="D2101" s="38" t="s">
        <v>3161</v>
      </c>
      <c r="E2101" s="39">
        <v>1</v>
      </c>
      <c r="F2101" s="40">
        <v>3.99</v>
      </c>
      <c r="G2101" s="40">
        <f t="shared" si="32"/>
        <v>3.99</v>
      </c>
      <c r="H2101" s="41" t="s">
        <v>24</v>
      </c>
      <c r="I2101" s="41" t="s">
        <v>58</v>
      </c>
      <c r="J2101" s="32"/>
    </row>
    <row r="2102" spans="1:10" x14ac:dyDescent="0.2">
      <c r="A2102" s="32"/>
      <c r="B2102" s="42" t="s">
        <v>3455</v>
      </c>
      <c r="C2102" s="43" t="s">
        <v>3427</v>
      </c>
      <c r="D2102" s="44" t="s">
        <v>2927</v>
      </c>
      <c r="E2102" s="45">
        <v>1</v>
      </c>
      <c r="F2102" s="46">
        <v>3.99</v>
      </c>
      <c r="G2102" s="46">
        <f t="shared" si="32"/>
        <v>3.99</v>
      </c>
      <c r="H2102" s="47" t="s">
        <v>24</v>
      </c>
      <c r="I2102" s="47" t="s">
        <v>58</v>
      </c>
      <c r="J2102" s="32"/>
    </row>
    <row r="2103" spans="1:10" x14ac:dyDescent="0.2">
      <c r="A2103" s="32"/>
      <c r="B2103" s="36" t="s">
        <v>3456</v>
      </c>
      <c r="C2103" s="37" t="s">
        <v>3427</v>
      </c>
      <c r="D2103" s="38" t="s">
        <v>3457</v>
      </c>
      <c r="E2103" s="39">
        <v>1</v>
      </c>
      <c r="F2103" s="40">
        <v>6.99</v>
      </c>
      <c r="G2103" s="40">
        <f t="shared" si="32"/>
        <v>6.99</v>
      </c>
      <c r="H2103" s="41" t="s">
        <v>24</v>
      </c>
      <c r="I2103" s="41" t="s">
        <v>58</v>
      </c>
      <c r="J2103" s="32"/>
    </row>
    <row r="2104" spans="1:10" x14ac:dyDescent="0.2">
      <c r="A2104" s="32"/>
      <c r="B2104" s="42" t="s">
        <v>3458</v>
      </c>
      <c r="C2104" s="43" t="s">
        <v>3427</v>
      </c>
      <c r="D2104" s="44" t="s">
        <v>2672</v>
      </c>
      <c r="E2104" s="45">
        <v>1</v>
      </c>
      <c r="F2104" s="46">
        <v>3.99</v>
      </c>
      <c r="G2104" s="46">
        <f t="shared" si="32"/>
        <v>3.99</v>
      </c>
      <c r="H2104" s="47" t="s">
        <v>24</v>
      </c>
      <c r="I2104" s="47" t="s">
        <v>58</v>
      </c>
      <c r="J2104" s="32"/>
    </row>
    <row r="2105" spans="1:10" x14ac:dyDescent="0.2">
      <c r="A2105" s="32"/>
      <c r="B2105" s="36" t="s">
        <v>3459</v>
      </c>
      <c r="C2105" s="37" t="s">
        <v>3427</v>
      </c>
      <c r="D2105" s="38" t="s">
        <v>2315</v>
      </c>
      <c r="E2105" s="39">
        <v>1</v>
      </c>
      <c r="F2105" s="40">
        <v>6.69</v>
      </c>
      <c r="G2105" s="40">
        <f t="shared" si="32"/>
        <v>6.69</v>
      </c>
      <c r="H2105" s="41" t="s">
        <v>24</v>
      </c>
      <c r="I2105" s="41" t="s">
        <v>58</v>
      </c>
      <c r="J2105" s="32"/>
    </row>
    <row r="2106" spans="1:10" x14ac:dyDescent="0.2">
      <c r="A2106" s="32"/>
      <c r="B2106" s="42" t="s">
        <v>3460</v>
      </c>
      <c r="C2106" s="43" t="s">
        <v>3427</v>
      </c>
      <c r="D2106" s="44" t="s">
        <v>95</v>
      </c>
      <c r="E2106" s="45">
        <v>1</v>
      </c>
      <c r="F2106" s="46">
        <v>4.99</v>
      </c>
      <c r="G2106" s="46">
        <f t="shared" si="32"/>
        <v>4.99</v>
      </c>
      <c r="H2106" s="47" t="s">
        <v>24</v>
      </c>
      <c r="I2106" s="47" t="s">
        <v>58</v>
      </c>
      <c r="J2106" s="32"/>
    </row>
    <row r="2107" spans="1:10" x14ac:dyDescent="0.2">
      <c r="A2107" s="32"/>
      <c r="B2107" s="36" t="s">
        <v>3461</v>
      </c>
      <c r="C2107" s="37" t="s">
        <v>3427</v>
      </c>
      <c r="D2107" s="38" t="s">
        <v>2680</v>
      </c>
      <c r="E2107" s="39">
        <v>1</v>
      </c>
      <c r="F2107" s="40">
        <v>9.99</v>
      </c>
      <c r="G2107" s="40">
        <f t="shared" si="32"/>
        <v>9.99</v>
      </c>
      <c r="H2107" s="41" t="s">
        <v>24</v>
      </c>
      <c r="I2107" s="41" t="s">
        <v>58</v>
      </c>
      <c r="J2107" s="32"/>
    </row>
    <row r="2108" spans="1:10" x14ac:dyDescent="0.2">
      <c r="A2108" s="32"/>
      <c r="B2108" s="42" t="s">
        <v>3462</v>
      </c>
      <c r="C2108" s="43" t="s">
        <v>3427</v>
      </c>
      <c r="D2108" s="44" t="s">
        <v>3463</v>
      </c>
      <c r="E2108" s="45">
        <v>1</v>
      </c>
      <c r="F2108" s="46">
        <v>24.99</v>
      </c>
      <c r="G2108" s="46">
        <f t="shared" si="32"/>
        <v>24.99</v>
      </c>
      <c r="H2108" s="47" t="s">
        <v>24</v>
      </c>
      <c r="I2108" s="47" t="s">
        <v>58</v>
      </c>
      <c r="J2108" s="32"/>
    </row>
    <row r="2109" spans="1:10" x14ac:dyDescent="0.2">
      <c r="A2109" s="32"/>
      <c r="B2109" s="36" t="s">
        <v>3464</v>
      </c>
      <c r="C2109" s="37" t="s">
        <v>3427</v>
      </c>
      <c r="D2109" s="38" t="s">
        <v>3465</v>
      </c>
      <c r="E2109" s="39">
        <v>1</v>
      </c>
      <c r="F2109" s="40">
        <v>5.99</v>
      </c>
      <c r="G2109" s="40">
        <f t="shared" si="32"/>
        <v>5.99</v>
      </c>
      <c r="H2109" s="41" t="s">
        <v>24</v>
      </c>
      <c r="I2109" s="41" t="s">
        <v>58</v>
      </c>
      <c r="J2109" s="32"/>
    </row>
    <row r="2110" spans="1:10" x14ac:dyDescent="0.2">
      <c r="A2110" s="32"/>
      <c r="B2110" s="42" t="s">
        <v>3466</v>
      </c>
      <c r="C2110" s="43" t="s">
        <v>3427</v>
      </c>
      <c r="D2110" s="44" t="s">
        <v>2670</v>
      </c>
      <c r="E2110" s="45">
        <v>1</v>
      </c>
      <c r="F2110" s="46">
        <v>23.39</v>
      </c>
      <c r="G2110" s="46">
        <f t="shared" si="32"/>
        <v>23.39</v>
      </c>
      <c r="H2110" s="47" t="s">
        <v>24</v>
      </c>
      <c r="I2110" s="47" t="s">
        <v>58</v>
      </c>
      <c r="J2110" s="32"/>
    </row>
    <row r="2111" spans="1:10" x14ac:dyDescent="0.2">
      <c r="A2111" s="32"/>
      <c r="B2111" s="36" t="s">
        <v>3467</v>
      </c>
      <c r="C2111" s="37" t="s">
        <v>3427</v>
      </c>
      <c r="D2111" s="38" t="s">
        <v>2685</v>
      </c>
      <c r="E2111" s="39">
        <v>1</v>
      </c>
      <c r="F2111" s="40">
        <v>4.99</v>
      </c>
      <c r="G2111" s="40">
        <f t="shared" si="32"/>
        <v>4.99</v>
      </c>
      <c r="H2111" s="41" t="s">
        <v>24</v>
      </c>
      <c r="I2111" s="41" t="s">
        <v>58</v>
      </c>
      <c r="J2111" s="32"/>
    </row>
    <row r="2112" spans="1:10" x14ac:dyDescent="0.2">
      <c r="A2112" s="32"/>
      <c r="B2112" s="42" t="s">
        <v>3468</v>
      </c>
      <c r="C2112" s="43" t="s">
        <v>3427</v>
      </c>
      <c r="D2112" s="44" t="s">
        <v>38</v>
      </c>
      <c r="E2112" s="45">
        <v>1</v>
      </c>
      <c r="F2112" s="46">
        <v>3.99</v>
      </c>
      <c r="G2112" s="46">
        <f t="shared" si="32"/>
        <v>3.99</v>
      </c>
      <c r="H2112" s="47" t="s">
        <v>24</v>
      </c>
      <c r="I2112" s="47" t="s">
        <v>58</v>
      </c>
      <c r="J2112" s="32"/>
    </row>
    <row r="2113" spans="1:10" x14ac:dyDescent="0.2">
      <c r="A2113" s="32"/>
      <c r="B2113" s="36" t="s">
        <v>3469</v>
      </c>
      <c r="C2113" s="37" t="s">
        <v>3427</v>
      </c>
      <c r="D2113" s="38" t="s">
        <v>3470</v>
      </c>
      <c r="E2113" s="39">
        <v>1</v>
      </c>
      <c r="F2113" s="40">
        <v>23.49</v>
      </c>
      <c r="G2113" s="40">
        <f t="shared" si="32"/>
        <v>23.49</v>
      </c>
      <c r="H2113" s="41" t="s">
        <v>24</v>
      </c>
      <c r="I2113" s="41" t="s">
        <v>58</v>
      </c>
      <c r="J2113" s="32"/>
    </row>
    <row r="2114" spans="1:10" x14ac:dyDescent="0.2">
      <c r="A2114" s="32"/>
      <c r="B2114" s="42" t="s">
        <v>3471</v>
      </c>
      <c r="C2114" s="43" t="s">
        <v>3427</v>
      </c>
      <c r="D2114" s="44" t="s">
        <v>3472</v>
      </c>
      <c r="E2114" s="45">
        <v>1</v>
      </c>
      <c r="F2114" s="46">
        <v>8.99</v>
      </c>
      <c r="G2114" s="46">
        <f t="shared" si="32"/>
        <v>8.99</v>
      </c>
      <c r="H2114" s="47" t="s">
        <v>24</v>
      </c>
      <c r="I2114" s="47" t="s">
        <v>58</v>
      </c>
      <c r="J2114" s="32"/>
    </row>
    <row r="2115" spans="1:10" x14ac:dyDescent="0.2">
      <c r="A2115" s="32"/>
      <c r="B2115" s="36" t="s">
        <v>3473</v>
      </c>
      <c r="C2115" s="37" t="s">
        <v>3427</v>
      </c>
      <c r="D2115" s="38" t="s">
        <v>3474</v>
      </c>
      <c r="E2115" s="39">
        <v>1</v>
      </c>
      <c r="F2115" s="40">
        <v>13.79</v>
      </c>
      <c r="G2115" s="40">
        <f t="shared" si="32"/>
        <v>13.79</v>
      </c>
      <c r="H2115" s="41" t="s">
        <v>24</v>
      </c>
      <c r="I2115" s="41" t="s">
        <v>58</v>
      </c>
      <c r="J2115" s="32"/>
    </row>
    <row r="2116" spans="1:10" x14ac:dyDescent="0.2">
      <c r="A2116" s="32"/>
      <c r="B2116" s="42" t="s">
        <v>3475</v>
      </c>
      <c r="C2116" s="43" t="s">
        <v>3427</v>
      </c>
      <c r="D2116" s="44" t="s">
        <v>3476</v>
      </c>
      <c r="E2116" s="45">
        <v>1</v>
      </c>
      <c r="F2116" s="46">
        <v>33.99</v>
      </c>
      <c r="G2116" s="46">
        <f t="shared" si="32"/>
        <v>33.99</v>
      </c>
      <c r="H2116" s="47" t="s">
        <v>24</v>
      </c>
      <c r="I2116" s="47" t="s">
        <v>58</v>
      </c>
      <c r="J2116" s="32"/>
    </row>
    <row r="2117" spans="1:10" x14ac:dyDescent="0.2">
      <c r="A2117" s="32"/>
      <c r="B2117" s="36" t="s">
        <v>3477</v>
      </c>
      <c r="C2117" s="37" t="s">
        <v>3427</v>
      </c>
      <c r="D2117" s="38" t="s">
        <v>3478</v>
      </c>
      <c r="E2117" s="39">
        <v>1</v>
      </c>
      <c r="F2117" s="40">
        <v>9.39</v>
      </c>
      <c r="G2117" s="40">
        <f t="shared" ref="G2117:G2180" si="33">E2117*F2117</f>
        <v>9.39</v>
      </c>
      <c r="H2117" s="41" t="s">
        <v>24</v>
      </c>
      <c r="I2117" s="41" t="s">
        <v>58</v>
      </c>
      <c r="J2117" s="32"/>
    </row>
    <row r="2118" spans="1:10" x14ac:dyDescent="0.2">
      <c r="A2118" s="32"/>
      <c r="B2118" s="42" t="s">
        <v>3479</v>
      </c>
      <c r="C2118" s="43" t="s">
        <v>3427</v>
      </c>
      <c r="D2118" s="44" t="s">
        <v>1368</v>
      </c>
      <c r="E2118" s="45">
        <v>1</v>
      </c>
      <c r="F2118" s="46">
        <v>1.43</v>
      </c>
      <c r="G2118" s="46">
        <f t="shared" si="33"/>
        <v>1.43</v>
      </c>
      <c r="H2118" s="47" t="s">
        <v>24</v>
      </c>
      <c r="I2118" s="47" t="s">
        <v>58</v>
      </c>
      <c r="J2118" s="32"/>
    </row>
    <row r="2119" spans="1:10" x14ac:dyDescent="0.2">
      <c r="A2119" s="32"/>
      <c r="B2119" s="36" t="s">
        <v>3480</v>
      </c>
      <c r="C2119" s="37" t="s">
        <v>3427</v>
      </c>
      <c r="D2119" s="38" t="s">
        <v>2918</v>
      </c>
      <c r="E2119" s="39">
        <v>1</v>
      </c>
      <c r="F2119" s="40">
        <v>5.39</v>
      </c>
      <c r="G2119" s="40">
        <f t="shared" si="33"/>
        <v>5.39</v>
      </c>
      <c r="H2119" s="41" t="s">
        <v>24</v>
      </c>
      <c r="I2119" s="41" t="s">
        <v>58</v>
      </c>
      <c r="J2119" s="32"/>
    </row>
    <row r="2120" spans="1:10" x14ac:dyDescent="0.2">
      <c r="A2120" s="32"/>
      <c r="B2120" s="42" t="s">
        <v>3481</v>
      </c>
      <c r="C2120" s="43" t="s">
        <v>3427</v>
      </c>
      <c r="D2120" s="44" t="s">
        <v>2918</v>
      </c>
      <c r="E2120" s="45">
        <v>1</v>
      </c>
      <c r="F2120" s="46">
        <v>5.39</v>
      </c>
      <c r="G2120" s="46">
        <f t="shared" si="33"/>
        <v>5.39</v>
      </c>
      <c r="H2120" s="47" t="s">
        <v>24</v>
      </c>
      <c r="I2120" s="47" t="s">
        <v>58</v>
      </c>
      <c r="J2120" s="32"/>
    </row>
    <row r="2121" spans="1:10" x14ac:dyDescent="0.2">
      <c r="A2121" s="32"/>
      <c r="B2121" s="36" t="s">
        <v>3482</v>
      </c>
      <c r="C2121" s="37" t="s">
        <v>3427</v>
      </c>
      <c r="D2121" s="38" t="s">
        <v>2918</v>
      </c>
      <c r="E2121" s="39">
        <v>1</v>
      </c>
      <c r="F2121" s="40">
        <v>5.39</v>
      </c>
      <c r="G2121" s="40">
        <f t="shared" si="33"/>
        <v>5.39</v>
      </c>
      <c r="H2121" s="41" t="s">
        <v>24</v>
      </c>
      <c r="I2121" s="41" t="s">
        <v>58</v>
      </c>
      <c r="J2121" s="32"/>
    </row>
    <row r="2122" spans="1:10" x14ac:dyDescent="0.2">
      <c r="A2122" s="32"/>
      <c r="B2122" s="42" t="s">
        <v>3483</v>
      </c>
      <c r="C2122" s="43" t="s">
        <v>3427</v>
      </c>
      <c r="D2122" s="44" t="s">
        <v>2954</v>
      </c>
      <c r="E2122" s="45">
        <v>1</v>
      </c>
      <c r="F2122" s="46">
        <v>3.39</v>
      </c>
      <c r="G2122" s="46">
        <f t="shared" si="33"/>
        <v>3.39</v>
      </c>
      <c r="H2122" s="47" t="s">
        <v>24</v>
      </c>
      <c r="I2122" s="47" t="s">
        <v>58</v>
      </c>
      <c r="J2122" s="32"/>
    </row>
    <row r="2123" spans="1:10" x14ac:dyDescent="0.2">
      <c r="A2123" s="32"/>
      <c r="B2123" s="36" t="s">
        <v>3484</v>
      </c>
      <c r="C2123" s="37" t="s">
        <v>3427</v>
      </c>
      <c r="D2123" s="38" t="s">
        <v>3070</v>
      </c>
      <c r="E2123" s="39">
        <v>1</v>
      </c>
      <c r="F2123" s="40">
        <v>3.39</v>
      </c>
      <c r="G2123" s="40">
        <f t="shared" si="33"/>
        <v>3.39</v>
      </c>
      <c r="H2123" s="41" t="s">
        <v>24</v>
      </c>
      <c r="I2123" s="41" t="s">
        <v>58</v>
      </c>
      <c r="J2123" s="32"/>
    </row>
    <row r="2124" spans="1:10" x14ac:dyDescent="0.2">
      <c r="A2124" s="32"/>
      <c r="B2124" s="42" t="s">
        <v>3485</v>
      </c>
      <c r="C2124" s="43" t="s">
        <v>3427</v>
      </c>
      <c r="D2124" s="44" t="s">
        <v>2954</v>
      </c>
      <c r="E2124" s="45">
        <v>1</v>
      </c>
      <c r="F2124" s="46">
        <v>3.39</v>
      </c>
      <c r="G2124" s="46">
        <f t="shared" si="33"/>
        <v>3.39</v>
      </c>
      <c r="H2124" s="47" t="s">
        <v>24</v>
      </c>
      <c r="I2124" s="47" t="s">
        <v>58</v>
      </c>
      <c r="J2124" s="32"/>
    </row>
    <row r="2125" spans="1:10" x14ac:dyDescent="0.2">
      <c r="A2125" s="32"/>
      <c r="B2125" s="36" t="s">
        <v>3486</v>
      </c>
      <c r="C2125" s="37" t="s">
        <v>3427</v>
      </c>
      <c r="D2125" s="38" t="s">
        <v>3487</v>
      </c>
      <c r="E2125" s="39">
        <v>1</v>
      </c>
      <c r="F2125" s="40">
        <v>7.89</v>
      </c>
      <c r="G2125" s="40">
        <f t="shared" si="33"/>
        <v>7.89</v>
      </c>
      <c r="H2125" s="41" t="s">
        <v>24</v>
      </c>
      <c r="I2125" s="41" t="s">
        <v>58</v>
      </c>
      <c r="J2125" s="32"/>
    </row>
    <row r="2126" spans="1:10" x14ac:dyDescent="0.2">
      <c r="A2126" s="32"/>
      <c r="B2126" s="42" t="s">
        <v>3488</v>
      </c>
      <c r="C2126" s="43" t="s">
        <v>3427</v>
      </c>
      <c r="D2126" s="44" t="s">
        <v>1871</v>
      </c>
      <c r="E2126" s="45">
        <v>1</v>
      </c>
      <c r="F2126" s="46">
        <v>6.49</v>
      </c>
      <c r="G2126" s="46">
        <f t="shared" si="33"/>
        <v>6.49</v>
      </c>
      <c r="H2126" s="47" t="s">
        <v>24</v>
      </c>
      <c r="I2126" s="47" t="s">
        <v>58</v>
      </c>
      <c r="J2126" s="32"/>
    </row>
    <row r="2127" spans="1:10" x14ac:dyDescent="0.2">
      <c r="A2127" s="32"/>
      <c r="B2127" s="36" t="s">
        <v>3489</v>
      </c>
      <c r="C2127" s="37" t="s">
        <v>3427</v>
      </c>
      <c r="D2127" s="38" t="s">
        <v>1871</v>
      </c>
      <c r="E2127" s="39">
        <v>1</v>
      </c>
      <c r="F2127" s="40">
        <v>6.49</v>
      </c>
      <c r="G2127" s="40">
        <f t="shared" si="33"/>
        <v>6.49</v>
      </c>
      <c r="H2127" s="41" t="s">
        <v>24</v>
      </c>
      <c r="I2127" s="41" t="s">
        <v>58</v>
      </c>
      <c r="J2127" s="32"/>
    </row>
    <row r="2128" spans="1:10" x14ac:dyDescent="0.2">
      <c r="A2128" s="32"/>
      <c r="B2128" s="42" t="s">
        <v>3490</v>
      </c>
      <c r="C2128" s="43" t="s">
        <v>3427</v>
      </c>
      <c r="D2128" s="44" t="s">
        <v>3491</v>
      </c>
      <c r="E2128" s="45">
        <v>1</v>
      </c>
      <c r="F2128" s="46">
        <v>6.79</v>
      </c>
      <c r="G2128" s="46">
        <f t="shared" si="33"/>
        <v>6.79</v>
      </c>
      <c r="H2128" s="47" t="s">
        <v>24</v>
      </c>
      <c r="I2128" s="47" t="s">
        <v>58</v>
      </c>
      <c r="J2128" s="32"/>
    </row>
    <row r="2129" spans="1:10" x14ac:dyDescent="0.2">
      <c r="A2129" s="32"/>
      <c r="B2129" s="36" t="s">
        <v>3492</v>
      </c>
      <c r="C2129" s="37" t="s">
        <v>3427</v>
      </c>
      <c r="D2129" s="38" t="s">
        <v>3493</v>
      </c>
      <c r="E2129" s="39">
        <v>1</v>
      </c>
      <c r="F2129" s="40">
        <v>19.989999999999998</v>
      </c>
      <c r="G2129" s="40">
        <f t="shared" si="33"/>
        <v>19.989999999999998</v>
      </c>
      <c r="H2129" s="41" t="s">
        <v>24</v>
      </c>
      <c r="I2129" s="41" t="s">
        <v>58</v>
      </c>
      <c r="J2129" s="32"/>
    </row>
    <row r="2130" spans="1:10" x14ac:dyDescent="0.2">
      <c r="A2130" s="32"/>
      <c r="B2130" s="42" t="s">
        <v>3494</v>
      </c>
      <c r="C2130" s="43" t="s">
        <v>3427</v>
      </c>
      <c r="D2130" s="44" t="s">
        <v>2307</v>
      </c>
      <c r="E2130" s="45">
        <v>1</v>
      </c>
      <c r="F2130" s="46">
        <v>129.99</v>
      </c>
      <c r="G2130" s="46">
        <f t="shared" si="33"/>
        <v>129.99</v>
      </c>
      <c r="H2130" s="47" t="s">
        <v>24</v>
      </c>
      <c r="I2130" s="47" t="s">
        <v>58</v>
      </c>
      <c r="J2130" s="32"/>
    </row>
    <row r="2131" spans="1:10" x14ac:dyDescent="0.2">
      <c r="A2131" s="32"/>
      <c r="B2131" s="36" t="s">
        <v>3495</v>
      </c>
      <c r="C2131" s="37" t="s">
        <v>3427</v>
      </c>
      <c r="D2131" s="38" t="s">
        <v>3258</v>
      </c>
      <c r="E2131" s="39">
        <v>1</v>
      </c>
      <c r="F2131" s="40">
        <v>7.99</v>
      </c>
      <c r="G2131" s="40">
        <f t="shared" si="33"/>
        <v>7.99</v>
      </c>
      <c r="H2131" s="41" t="s">
        <v>24</v>
      </c>
      <c r="I2131" s="41" t="s">
        <v>58</v>
      </c>
      <c r="J2131" s="32"/>
    </row>
    <row r="2132" spans="1:10" x14ac:dyDescent="0.2">
      <c r="A2132" s="32"/>
      <c r="B2132" s="42" t="s">
        <v>3496</v>
      </c>
      <c r="C2132" s="43" t="s">
        <v>3427</v>
      </c>
      <c r="D2132" s="44" t="s">
        <v>3497</v>
      </c>
      <c r="E2132" s="45">
        <v>1</v>
      </c>
      <c r="F2132" s="46">
        <v>2.4900000000000002</v>
      </c>
      <c r="G2132" s="46">
        <f t="shared" si="33"/>
        <v>2.4900000000000002</v>
      </c>
      <c r="H2132" s="47" t="s">
        <v>24</v>
      </c>
      <c r="I2132" s="47" t="s">
        <v>58</v>
      </c>
      <c r="J2132" s="32"/>
    </row>
    <row r="2133" spans="1:10" x14ac:dyDescent="0.2">
      <c r="A2133" s="32"/>
      <c r="B2133" s="36" t="s">
        <v>3498</v>
      </c>
      <c r="C2133" s="37" t="s">
        <v>3427</v>
      </c>
      <c r="D2133" s="38" t="s">
        <v>2582</v>
      </c>
      <c r="E2133" s="39">
        <v>1</v>
      </c>
      <c r="F2133" s="40">
        <v>5.39</v>
      </c>
      <c r="G2133" s="40">
        <f t="shared" si="33"/>
        <v>5.39</v>
      </c>
      <c r="H2133" s="41" t="s">
        <v>24</v>
      </c>
      <c r="I2133" s="41" t="s">
        <v>58</v>
      </c>
      <c r="J2133" s="32"/>
    </row>
    <row r="2134" spans="1:10" x14ac:dyDescent="0.2">
      <c r="A2134" s="32"/>
      <c r="B2134" s="42" t="s">
        <v>3499</v>
      </c>
      <c r="C2134" s="43" t="s">
        <v>3427</v>
      </c>
      <c r="D2134" s="44" t="s">
        <v>2999</v>
      </c>
      <c r="E2134" s="45">
        <v>1</v>
      </c>
      <c r="F2134" s="46">
        <v>9.2899999999999991</v>
      </c>
      <c r="G2134" s="46">
        <f t="shared" si="33"/>
        <v>9.2899999999999991</v>
      </c>
      <c r="H2134" s="47" t="s">
        <v>24</v>
      </c>
      <c r="I2134" s="47" t="s">
        <v>58</v>
      </c>
      <c r="J2134" s="32"/>
    </row>
    <row r="2135" spans="1:10" x14ac:dyDescent="0.2">
      <c r="A2135" s="32"/>
      <c r="B2135" s="36" t="s">
        <v>3500</v>
      </c>
      <c r="C2135" s="37" t="s">
        <v>3427</v>
      </c>
      <c r="D2135" s="38" t="s">
        <v>192</v>
      </c>
      <c r="E2135" s="39">
        <v>1</v>
      </c>
      <c r="F2135" s="40">
        <v>15.39</v>
      </c>
      <c r="G2135" s="40">
        <f t="shared" si="33"/>
        <v>15.39</v>
      </c>
      <c r="H2135" s="41" t="s">
        <v>24</v>
      </c>
      <c r="I2135" s="41" t="s">
        <v>58</v>
      </c>
      <c r="J2135" s="32"/>
    </row>
    <row r="2136" spans="1:10" x14ac:dyDescent="0.2">
      <c r="A2136" s="32"/>
      <c r="B2136" s="42" t="s">
        <v>3501</v>
      </c>
      <c r="C2136" s="43" t="s">
        <v>3427</v>
      </c>
      <c r="D2136" s="44" t="s">
        <v>3502</v>
      </c>
      <c r="E2136" s="45">
        <v>1</v>
      </c>
      <c r="F2136" s="46">
        <v>36.99</v>
      </c>
      <c r="G2136" s="46">
        <f t="shared" si="33"/>
        <v>36.99</v>
      </c>
      <c r="H2136" s="47" t="s">
        <v>24</v>
      </c>
      <c r="I2136" s="47" t="s">
        <v>58</v>
      </c>
      <c r="J2136" s="32"/>
    </row>
    <row r="2137" spans="1:10" x14ac:dyDescent="0.2">
      <c r="A2137" s="32"/>
      <c r="B2137" s="36" t="s">
        <v>3503</v>
      </c>
      <c r="C2137" s="37" t="s">
        <v>3427</v>
      </c>
      <c r="D2137" s="38" t="s">
        <v>3504</v>
      </c>
      <c r="E2137" s="39">
        <v>1</v>
      </c>
      <c r="F2137" s="40">
        <v>26.99</v>
      </c>
      <c r="G2137" s="40">
        <f t="shared" si="33"/>
        <v>26.99</v>
      </c>
      <c r="H2137" s="41" t="s">
        <v>24</v>
      </c>
      <c r="I2137" s="41" t="s">
        <v>58</v>
      </c>
      <c r="J2137" s="32"/>
    </row>
    <row r="2138" spans="1:10" x14ac:dyDescent="0.2">
      <c r="A2138" s="32"/>
      <c r="B2138" s="42" t="s">
        <v>3505</v>
      </c>
      <c r="C2138" s="43" t="s">
        <v>3427</v>
      </c>
      <c r="D2138" s="44" t="s">
        <v>3506</v>
      </c>
      <c r="E2138" s="45">
        <v>1</v>
      </c>
      <c r="F2138" s="46">
        <v>15.49</v>
      </c>
      <c r="G2138" s="46">
        <f t="shared" si="33"/>
        <v>15.49</v>
      </c>
      <c r="H2138" s="47" t="s">
        <v>24</v>
      </c>
      <c r="I2138" s="47" t="s">
        <v>58</v>
      </c>
      <c r="J2138" s="32"/>
    </row>
    <row r="2139" spans="1:10" x14ac:dyDescent="0.2">
      <c r="A2139" s="32"/>
      <c r="B2139" s="36" t="s">
        <v>3507</v>
      </c>
      <c r="C2139" s="37" t="s">
        <v>3427</v>
      </c>
      <c r="D2139" s="38" t="s">
        <v>2840</v>
      </c>
      <c r="E2139" s="39">
        <v>1</v>
      </c>
      <c r="F2139" s="40">
        <v>59.99</v>
      </c>
      <c r="G2139" s="40">
        <f t="shared" si="33"/>
        <v>59.99</v>
      </c>
      <c r="H2139" s="41" t="s">
        <v>24</v>
      </c>
      <c r="I2139" s="41" t="s">
        <v>58</v>
      </c>
      <c r="J2139" s="32"/>
    </row>
    <row r="2140" spans="1:10" x14ac:dyDescent="0.2">
      <c r="A2140" s="32"/>
      <c r="B2140" s="42" t="s">
        <v>3508</v>
      </c>
      <c r="C2140" s="43" t="s">
        <v>3427</v>
      </c>
      <c r="D2140" s="44" t="s">
        <v>103</v>
      </c>
      <c r="E2140" s="45">
        <v>1</v>
      </c>
      <c r="F2140" s="46">
        <v>32.69</v>
      </c>
      <c r="G2140" s="46">
        <f t="shared" si="33"/>
        <v>32.69</v>
      </c>
      <c r="H2140" s="47" t="s">
        <v>24</v>
      </c>
      <c r="I2140" s="47" t="s">
        <v>58</v>
      </c>
      <c r="J2140" s="32"/>
    </row>
    <row r="2141" spans="1:10" x14ac:dyDescent="0.2">
      <c r="A2141" s="32"/>
      <c r="B2141" s="36" t="s">
        <v>3509</v>
      </c>
      <c r="C2141" s="37" t="s">
        <v>3427</v>
      </c>
      <c r="D2141" s="38" t="s">
        <v>3104</v>
      </c>
      <c r="E2141" s="39">
        <v>1</v>
      </c>
      <c r="F2141" s="40">
        <v>39.99</v>
      </c>
      <c r="G2141" s="40">
        <f t="shared" si="33"/>
        <v>39.99</v>
      </c>
      <c r="H2141" s="41" t="s">
        <v>24</v>
      </c>
      <c r="I2141" s="41" t="s">
        <v>58</v>
      </c>
      <c r="J2141" s="32"/>
    </row>
    <row r="2142" spans="1:10" x14ac:dyDescent="0.2">
      <c r="A2142" s="32"/>
      <c r="B2142" s="42" t="s">
        <v>3510</v>
      </c>
      <c r="C2142" s="43" t="s">
        <v>3511</v>
      </c>
      <c r="D2142" s="44" t="s">
        <v>1381</v>
      </c>
      <c r="E2142" s="45">
        <v>1</v>
      </c>
      <c r="F2142" s="46">
        <v>16.89</v>
      </c>
      <c r="G2142" s="46">
        <f t="shared" si="33"/>
        <v>16.89</v>
      </c>
      <c r="H2142" s="47" t="s">
        <v>24</v>
      </c>
      <c r="I2142" s="47" t="s">
        <v>58</v>
      </c>
      <c r="J2142" s="32"/>
    </row>
    <row r="2143" spans="1:10" x14ac:dyDescent="0.2">
      <c r="A2143" s="32"/>
      <c r="B2143" s="36" t="s">
        <v>3512</v>
      </c>
      <c r="C2143" s="37" t="s">
        <v>3511</v>
      </c>
      <c r="D2143" s="38" t="s">
        <v>3513</v>
      </c>
      <c r="E2143" s="39">
        <v>1</v>
      </c>
      <c r="F2143" s="40">
        <v>20.99</v>
      </c>
      <c r="G2143" s="40">
        <f t="shared" si="33"/>
        <v>20.99</v>
      </c>
      <c r="H2143" s="41" t="s">
        <v>24</v>
      </c>
      <c r="I2143" s="41" t="s">
        <v>58</v>
      </c>
      <c r="J2143" s="32"/>
    </row>
    <row r="2144" spans="1:10" x14ac:dyDescent="0.2">
      <c r="A2144" s="32"/>
      <c r="B2144" s="42" t="s">
        <v>3514</v>
      </c>
      <c r="C2144" s="43" t="s">
        <v>3511</v>
      </c>
      <c r="D2144" s="44" t="s">
        <v>2918</v>
      </c>
      <c r="E2144" s="45">
        <v>1</v>
      </c>
      <c r="F2144" s="46">
        <v>5.39</v>
      </c>
      <c r="G2144" s="46">
        <f t="shared" si="33"/>
        <v>5.39</v>
      </c>
      <c r="H2144" s="47" t="s">
        <v>24</v>
      </c>
      <c r="I2144" s="47" t="s">
        <v>58</v>
      </c>
      <c r="J2144" s="32"/>
    </row>
    <row r="2145" spans="1:10" x14ac:dyDescent="0.2">
      <c r="A2145" s="32"/>
      <c r="B2145" s="36" t="s">
        <v>3515</v>
      </c>
      <c r="C2145" s="37" t="s">
        <v>3511</v>
      </c>
      <c r="D2145" s="38" t="s">
        <v>2927</v>
      </c>
      <c r="E2145" s="39">
        <v>1</v>
      </c>
      <c r="F2145" s="40">
        <v>3.99</v>
      </c>
      <c r="G2145" s="40">
        <f t="shared" si="33"/>
        <v>3.99</v>
      </c>
      <c r="H2145" s="41" t="s">
        <v>24</v>
      </c>
      <c r="I2145" s="41" t="s">
        <v>58</v>
      </c>
      <c r="J2145" s="32"/>
    </row>
    <row r="2146" spans="1:10" x14ac:dyDescent="0.2">
      <c r="A2146" s="32"/>
      <c r="B2146" s="42" t="s">
        <v>3516</v>
      </c>
      <c r="C2146" s="43" t="s">
        <v>3511</v>
      </c>
      <c r="D2146" s="44" t="s">
        <v>2678</v>
      </c>
      <c r="E2146" s="45">
        <v>1</v>
      </c>
      <c r="F2146" s="46">
        <v>3.99</v>
      </c>
      <c r="G2146" s="46">
        <f t="shared" si="33"/>
        <v>3.99</v>
      </c>
      <c r="H2146" s="47" t="s">
        <v>24</v>
      </c>
      <c r="I2146" s="47" t="s">
        <v>58</v>
      </c>
      <c r="J2146" s="32"/>
    </row>
    <row r="2147" spans="1:10" x14ac:dyDescent="0.2">
      <c r="A2147" s="32"/>
      <c r="B2147" s="36" t="s">
        <v>3517</v>
      </c>
      <c r="C2147" s="37" t="s">
        <v>3511</v>
      </c>
      <c r="D2147" s="38" t="s">
        <v>3258</v>
      </c>
      <c r="E2147" s="39">
        <v>1</v>
      </c>
      <c r="F2147" s="40">
        <v>7.99</v>
      </c>
      <c r="G2147" s="40">
        <f t="shared" si="33"/>
        <v>7.99</v>
      </c>
      <c r="H2147" s="41" t="s">
        <v>24</v>
      </c>
      <c r="I2147" s="41" t="s">
        <v>58</v>
      </c>
      <c r="J2147" s="32"/>
    </row>
    <row r="2148" spans="1:10" x14ac:dyDescent="0.2">
      <c r="A2148" s="32"/>
      <c r="B2148" s="42" t="s">
        <v>3518</v>
      </c>
      <c r="C2148" s="43" t="s">
        <v>3511</v>
      </c>
      <c r="D2148" s="44" t="s">
        <v>1012</v>
      </c>
      <c r="E2148" s="45">
        <v>1</v>
      </c>
      <c r="F2148" s="46">
        <v>7.49</v>
      </c>
      <c r="G2148" s="46">
        <f t="shared" si="33"/>
        <v>7.49</v>
      </c>
      <c r="H2148" s="47" t="s">
        <v>24</v>
      </c>
      <c r="I2148" s="47" t="s">
        <v>58</v>
      </c>
      <c r="J2148" s="32"/>
    </row>
    <row r="2149" spans="1:10" x14ac:dyDescent="0.2">
      <c r="A2149" s="32"/>
      <c r="B2149" s="36" t="s">
        <v>3519</v>
      </c>
      <c r="C2149" s="37" t="s">
        <v>3511</v>
      </c>
      <c r="D2149" s="38" t="s">
        <v>2678</v>
      </c>
      <c r="E2149" s="39">
        <v>1</v>
      </c>
      <c r="F2149" s="40">
        <v>3.99</v>
      </c>
      <c r="G2149" s="40">
        <f t="shared" si="33"/>
        <v>3.99</v>
      </c>
      <c r="H2149" s="41" t="s">
        <v>24</v>
      </c>
      <c r="I2149" s="41" t="s">
        <v>58</v>
      </c>
      <c r="J2149" s="32"/>
    </row>
    <row r="2150" spans="1:10" x14ac:dyDescent="0.2">
      <c r="A2150" s="32"/>
      <c r="B2150" s="42" t="s">
        <v>3520</v>
      </c>
      <c r="C2150" s="43" t="s">
        <v>3511</v>
      </c>
      <c r="D2150" s="44" t="s">
        <v>76</v>
      </c>
      <c r="E2150" s="45">
        <v>1</v>
      </c>
      <c r="F2150" s="46">
        <v>6.39</v>
      </c>
      <c r="G2150" s="46">
        <f t="shared" si="33"/>
        <v>6.39</v>
      </c>
      <c r="H2150" s="47" t="s">
        <v>24</v>
      </c>
      <c r="I2150" s="47" t="s">
        <v>58</v>
      </c>
      <c r="J2150" s="32"/>
    </row>
    <row r="2151" spans="1:10" x14ac:dyDescent="0.2">
      <c r="A2151" s="32"/>
      <c r="B2151" s="36" t="s">
        <v>3521</v>
      </c>
      <c r="C2151" s="37" t="s">
        <v>3511</v>
      </c>
      <c r="D2151" s="38" t="s">
        <v>38</v>
      </c>
      <c r="E2151" s="39">
        <v>1</v>
      </c>
      <c r="F2151" s="40">
        <v>6.99</v>
      </c>
      <c r="G2151" s="40">
        <f t="shared" si="33"/>
        <v>6.99</v>
      </c>
      <c r="H2151" s="41" t="s">
        <v>24</v>
      </c>
      <c r="I2151" s="41" t="s">
        <v>58</v>
      </c>
      <c r="J2151" s="32"/>
    </row>
    <row r="2152" spans="1:10" x14ac:dyDescent="0.2">
      <c r="A2152" s="32"/>
      <c r="B2152" s="42" t="s">
        <v>3522</v>
      </c>
      <c r="C2152" s="43" t="s">
        <v>3511</v>
      </c>
      <c r="D2152" s="44" t="s">
        <v>2925</v>
      </c>
      <c r="E2152" s="45">
        <v>1</v>
      </c>
      <c r="F2152" s="46">
        <v>5.59</v>
      </c>
      <c r="G2152" s="46">
        <f t="shared" si="33"/>
        <v>5.59</v>
      </c>
      <c r="H2152" s="47" t="s">
        <v>24</v>
      </c>
      <c r="I2152" s="47" t="s">
        <v>58</v>
      </c>
      <c r="J2152" s="32"/>
    </row>
    <row r="2153" spans="1:10" x14ac:dyDescent="0.2">
      <c r="A2153" s="32"/>
      <c r="B2153" s="36" t="s">
        <v>3523</v>
      </c>
      <c r="C2153" s="37" t="s">
        <v>3511</v>
      </c>
      <c r="D2153" s="38" t="s">
        <v>3524</v>
      </c>
      <c r="E2153" s="39">
        <v>1</v>
      </c>
      <c r="F2153" s="40">
        <v>6.99</v>
      </c>
      <c r="G2153" s="40">
        <f t="shared" si="33"/>
        <v>6.99</v>
      </c>
      <c r="H2153" s="41" t="s">
        <v>24</v>
      </c>
      <c r="I2153" s="41" t="s">
        <v>58</v>
      </c>
      <c r="J2153" s="32"/>
    </row>
    <row r="2154" spans="1:10" x14ac:dyDescent="0.2">
      <c r="A2154" s="32"/>
      <c r="B2154" s="42" t="s">
        <v>3525</v>
      </c>
      <c r="C2154" s="43" t="s">
        <v>3511</v>
      </c>
      <c r="D2154" s="44" t="s">
        <v>2577</v>
      </c>
      <c r="E2154" s="45">
        <v>1</v>
      </c>
      <c r="F2154" s="46">
        <v>6.99</v>
      </c>
      <c r="G2154" s="46">
        <f t="shared" si="33"/>
        <v>6.99</v>
      </c>
      <c r="H2154" s="47" t="s">
        <v>24</v>
      </c>
      <c r="I2154" s="47" t="s">
        <v>58</v>
      </c>
      <c r="J2154" s="32"/>
    </row>
    <row r="2155" spans="1:10" x14ac:dyDescent="0.2">
      <c r="A2155" s="32"/>
      <c r="B2155" s="36" t="s">
        <v>3526</v>
      </c>
      <c r="C2155" s="37" t="s">
        <v>3511</v>
      </c>
      <c r="D2155" s="38" t="s">
        <v>2573</v>
      </c>
      <c r="E2155" s="39">
        <v>1</v>
      </c>
      <c r="F2155" s="40">
        <v>11.49</v>
      </c>
      <c r="G2155" s="40">
        <f t="shared" si="33"/>
        <v>11.49</v>
      </c>
      <c r="H2155" s="41" t="s">
        <v>24</v>
      </c>
      <c r="I2155" s="41" t="s">
        <v>58</v>
      </c>
      <c r="J2155" s="32"/>
    </row>
    <row r="2156" spans="1:10" x14ac:dyDescent="0.2">
      <c r="A2156" s="32"/>
      <c r="B2156" s="42" t="s">
        <v>3527</v>
      </c>
      <c r="C2156" s="43" t="s">
        <v>3511</v>
      </c>
      <c r="D2156" s="44" t="s">
        <v>3528</v>
      </c>
      <c r="E2156" s="45">
        <v>1</v>
      </c>
      <c r="F2156" s="46">
        <v>5.99</v>
      </c>
      <c r="G2156" s="46">
        <f t="shared" si="33"/>
        <v>5.99</v>
      </c>
      <c r="H2156" s="47" t="s">
        <v>24</v>
      </c>
      <c r="I2156" s="47" t="s">
        <v>58</v>
      </c>
      <c r="J2156" s="32"/>
    </row>
    <row r="2157" spans="1:10" x14ac:dyDescent="0.2">
      <c r="A2157" s="32"/>
      <c r="B2157" s="36" t="s">
        <v>3529</v>
      </c>
      <c r="C2157" s="37" t="s">
        <v>3511</v>
      </c>
      <c r="D2157" s="38" t="s">
        <v>2932</v>
      </c>
      <c r="E2157" s="39">
        <v>1</v>
      </c>
      <c r="F2157" s="40">
        <v>6.29</v>
      </c>
      <c r="G2157" s="40">
        <f t="shared" si="33"/>
        <v>6.29</v>
      </c>
      <c r="H2157" s="41" t="s">
        <v>24</v>
      </c>
      <c r="I2157" s="41" t="s">
        <v>58</v>
      </c>
      <c r="J2157" s="32"/>
    </row>
    <row r="2158" spans="1:10" x14ac:dyDescent="0.2">
      <c r="A2158" s="32"/>
      <c r="B2158" s="42" t="s">
        <v>3530</v>
      </c>
      <c r="C2158" s="43" t="s">
        <v>3511</v>
      </c>
      <c r="D2158" s="44" t="s">
        <v>3152</v>
      </c>
      <c r="E2158" s="45">
        <v>1</v>
      </c>
      <c r="F2158" s="46">
        <v>6.29</v>
      </c>
      <c r="G2158" s="46">
        <f t="shared" si="33"/>
        <v>6.29</v>
      </c>
      <c r="H2158" s="47" t="s">
        <v>24</v>
      </c>
      <c r="I2158" s="47" t="s">
        <v>58</v>
      </c>
      <c r="J2158" s="32"/>
    </row>
    <row r="2159" spans="1:10" x14ac:dyDescent="0.2">
      <c r="A2159" s="32"/>
      <c r="B2159" s="36" t="s">
        <v>3531</v>
      </c>
      <c r="C2159" s="37" t="s">
        <v>3511</v>
      </c>
      <c r="D2159" s="38" t="s">
        <v>3532</v>
      </c>
      <c r="E2159" s="39">
        <v>1</v>
      </c>
      <c r="F2159" s="40">
        <v>8.89</v>
      </c>
      <c r="G2159" s="40">
        <f t="shared" si="33"/>
        <v>8.89</v>
      </c>
      <c r="H2159" s="41" t="s">
        <v>24</v>
      </c>
      <c r="I2159" s="41" t="s">
        <v>58</v>
      </c>
      <c r="J2159" s="32"/>
    </row>
    <row r="2160" spans="1:10" x14ac:dyDescent="0.2">
      <c r="A2160" s="32"/>
      <c r="B2160" s="42" t="s">
        <v>3533</v>
      </c>
      <c r="C2160" s="43" t="s">
        <v>3511</v>
      </c>
      <c r="D2160" s="44" t="s">
        <v>1831</v>
      </c>
      <c r="E2160" s="45">
        <v>1</v>
      </c>
      <c r="F2160" s="46">
        <v>8.99</v>
      </c>
      <c r="G2160" s="46">
        <f t="shared" si="33"/>
        <v>8.99</v>
      </c>
      <c r="H2160" s="47" t="s">
        <v>24</v>
      </c>
      <c r="I2160" s="47" t="s">
        <v>58</v>
      </c>
      <c r="J2160" s="32"/>
    </row>
    <row r="2161" spans="1:10" x14ac:dyDescent="0.2">
      <c r="A2161" s="32"/>
      <c r="B2161" s="36" t="s">
        <v>3534</v>
      </c>
      <c r="C2161" s="37" t="s">
        <v>3511</v>
      </c>
      <c r="D2161" s="38" t="s">
        <v>3535</v>
      </c>
      <c r="E2161" s="39">
        <v>1</v>
      </c>
      <c r="F2161" s="40">
        <v>7.29</v>
      </c>
      <c r="G2161" s="40">
        <f t="shared" si="33"/>
        <v>7.29</v>
      </c>
      <c r="H2161" s="41" t="s">
        <v>24</v>
      </c>
      <c r="I2161" s="41" t="s">
        <v>58</v>
      </c>
      <c r="J2161" s="32"/>
    </row>
    <row r="2162" spans="1:10" x14ac:dyDescent="0.2">
      <c r="A2162" s="32"/>
      <c r="B2162" s="42" t="s">
        <v>3536</v>
      </c>
      <c r="C2162" s="43" t="s">
        <v>3511</v>
      </c>
      <c r="D2162" s="44" t="s">
        <v>2317</v>
      </c>
      <c r="E2162" s="45">
        <v>1</v>
      </c>
      <c r="F2162" s="46">
        <v>7.29</v>
      </c>
      <c r="G2162" s="46">
        <f t="shared" si="33"/>
        <v>7.29</v>
      </c>
      <c r="H2162" s="47" t="s">
        <v>24</v>
      </c>
      <c r="I2162" s="47" t="s">
        <v>58</v>
      </c>
      <c r="J2162" s="32"/>
    </row>
    <row r="2163" spans="1:10" x14ac:dyDescent="0.2">
      <c r="A2163" s="32"/>
      <c r="B2163" s="36" t="s">
        <v>3537</v>
      </c>
      <c r="C2163" s="37" t="s">
        <v>3511</v>
      </c>
      <c r="D2163" s="38" t="s">
        <v>2688</v>
      </c>
      <c r="E2163" s="39">
        <v>1</v>
      </c>
      <c r="F2163" s="40">
        <v>10.69</v>
      </c>
      <c r="G2163" s="40">
        <f t="shared" si="33"/>
        <v>10.69</v>
      </c>
      <c r="H2163" s="41" t="s">
        <v>24</v>
      </c>
      <c r="I2163" s="41" t="s">
        <v>58</v>
      </c>
      <c r="J2163" s="32"/>
    </row>
    <row r="2164" spans="1:10" x14ac:dyDescent="0.2">
      <c r="A2164" s="32"/>
      <c r="B2164" s="42" t="s">
        <v>3538</v>
      </c>
      <c r="C2164" s="43" t="s">
        <v>3511</v>
      </c>
      <c r="D2164" s="44" t="s">
        <v>2688</v>
      </c>
      <c r="E2164" s="45">
        <v>1</v>
      </c>
      <c r="F2164" s="46">
        <v>10.69</v>
      </c>
      <c r="G2164" s="46">
        <f t="shared" si="33"/>
        <v>10.69</v>
      </c>
      <c r="H2164" s="47" t="s">
        <v>24</v>
      </c>
      <c r="I2164" s="47" t="s">
        <v>58</v>
      </c>
      <c r="J2164" s="32"/>
    </row>
    <row r="2165" spans="1:10" x14ac:dyDescent="0.2">
      <c r="A2165" s="32"/>
      <c r="B2165" s="36" t="s">
        <v>3539</v>
      </c>
      <c r="C2165" s="37" t="s">
        <v>3511</v>
      </c>
      <c r="D2165" s="38" t="s">
        <v>2834</v>
      </c>
      <c r="E2165" s="39">
        <v>1</v>
      </c>
      <c r="F2165" s="40">
        <v>1.99</v>
      </c>
      <c r="G2165" s="40">
        <f t="shared" si="33"/>
        <v>1.99</v>
      </c>
      <c r="H2165" s="41" t="s">
        <v>24</v>
      </c>
      <c r="I2165" s="41" t="s">
        <v>58</v>
      </c>
      <c r="J2165" s="32"/>
    </row>
    <row r="2166" spans="1:10" x14ac:dyDescent="0.2">
      <c r="A2166" s="32"/>
      <c r="B2166" s="42" t="s">
        <v>3540</v>
      </c>
      <c r="C2166" s="43" t="s">
        <v>3511</v>
      </c>
      <c r="D2166" s="44" t="s">
        <v>2816</v>
      </c>
      <c r="E2166" s="45">
        <v>1</v>
      </c>
      <c r="F2166" s="46">
        <v>3.19</v>
      </c>
      <c r="G2166" s="46">
        <f t="shared" si="33"/>
        <v>3.19</v>
      </c>
      <c r="H2166" s="47" t="s">
        <v>24</v>
      </c>
      <c r="I2166" s="47" t="s">
        <v>58</v>
      </c>
      <c r="J2166" s="32"/>
    </row>
    <row r="2167" spans="1:10" x14ac:dyDescent="0.2">
      <c r="A2167" s="32"/>
      <c r="B2167" s="36" t="s">
        <v>3541</v>
      </c>
      <c r="C2167" s="37" t="s">
        <v>3511</v>
      </c>
      <c r="D2167" s="38" t="s">
        <v>3542</v>
      </c>
      <c r="E2167" s="39">
        <v>1</v>
      </c>
      <c r="F2167" s="40">
        <v>4.99</v>
      </c>
      <c r="G2167" s="40">
        <f t="shared" si="33"/>
        <v>4.99</v>
      </c>
      <c r="H2167" s="41" t="s">
        <v>24</v>
      </c>
      <c r="I2167" s="41" t="s">
        <v>58</v>
      </c>
      <c r="J2167" s="32"/>
    </row>
    <row r="2168" spans="1:10" x14ac:dyDescent="0.2">
      <c r="A2168" s="32"/>
      <c r="B2168" s="42" t="s">
        <v>3543</v>
      </c>
      <c r="C2168" s="43" t="s">
        <v>3511</v>
      </c>
      <c r="D2168" s="44" t="s">
        <v>2834</v>
      </c>
      <c r="E2168" s="45">
        <v>1</v>
      </c>
      <c r="F2168" s="46">
        <v>1.99</v>
      </c>
      <c r="G2168" s="46">
        <f t="shared" si="33"/>
        <v>1.99</v>
      </c>
      <c r="H2168" s="47" t="s">
        <v>24</v>
      </c>
      <c r="I2168" s="47" t="s">
        <v>58</v>
      </c>
      <c r="J2168" s="32"/>
    </row>
    <row r="2169" spans="1:10" x14ac:dyDescent="0.2">
      <c r="A2169" s="32"/>
      <c r="B2169" s="36" t="s">
        <v>3544</v>
      </c>
      <c r="C2169" s="37" t="s">
        <v>3511</v>
      </c>
      <c r="D2169" s="38" t="s">
        <v>39</v>
      </c>
      <c r="E2169" s="39">
        <v>1</v>
      </c>
      <c r="F2169" s="40">
        <v>14.99</v>
      </c>
      <c r="G2169" s="40">
        <f t="shared" si="33"/>
        <v>14.99</v>
      </c>
      <c r="H2169" s="41" t="s">
        <v>24</v>
      </c>
      <c r="I2169" s="41" t="s">
        <v>58</v>
      </c>
      <c r="J2169" s="32"/>
    </row>
    <row r="2170" spans="1:10" x14ac:dyDescent="0.2">
      <c r="A2170" s="32"/>
      <c r="B2170" s="42" t="s">
        <v>3545</v>
      </c>
      <c r="C2170" s="43" t="s">
        <v>3511</v>
      </c>
      <c r="D2170" s="44" t="s">
        <v>39</v>
      </c>
      <c r="E2170" s="45">
        <v>1</v>
      </c>
      <c r="F2170" s="46">
        <v>14.99</v>
      </c>
      <c r="G2170" s="46">
        <f t="shared" si="33"/>
        <v>14.99</v>
      </c>
      <c r="H2170" s="47" t="s">
        <v>24</v>
      </c>
      <c r="I2170" s="47" t="s">
        <v>58</v>
      </c>
      <c r="J2170" s="32"/>
    </row>
    <row r="2171" spans="1:10" x14ac:dyDescent="0.2">
      <c r="A2171" s="32"/>
      <c r="B2171" s="36" t="s">
        <v>3546</v>
      </c>
      <c r="C2171" s="37" t="s">
        <v>3511</v>
      </c>
      <c r="D2171" s="38" t="s">
        <v>2965</v>
      </c>
      <c r="E2171" s="39">
        <v>1</v>
      </c>
      <c r="F2171" s="40">
        <v>9.39</v>
      </c>
      <c r="G2171" s="40">
        <f t="shared" si="33"/>
        <v>9.39</v>
      </c>
      <c r="H2171" s="41" t="s">
        <v>24</v>
      </c>
      <c r="I2171" s="41" t="s">
        <v>58</v>
      </c>
      <c r="J2171" s="32"/>
    </row>
    <row r="2172" spans="1:10" x14ac:dyDescent="0.2">
      <c r="A2172" s="32"/>
      <c r="B2172" s="42" t="s">
        <v>3547</v>
      </c>
      <c r="C2172" s="43" t="s">
        <v>3511</v>
      </c>
      <c r="D2172" s="44" t="s">
        <v>3548</v>
      </c>
      <c r="E2172" s="45">
        <v>1</v>
      </c>
      <c r="F2172" s="46">
        <v>16.989999999999998</v>
      </c>
      <c r="G2172" s="46">
        <f t="shared" si="33"/>
        <v>16.989999999999998</v>
      </c>
      <c r="H2172" s="47" t="s">
        <v>24</v>
      </c>
      <c r="I2172" s="47" t="s">
        <v>58</v>
      </c>
      <c r="J2172" s="32"/>
    </row>
    <row r="2173" spans="1:10" x14ac:dyDescent="0.2">
      <c r="A2173" s="32"/>
      <c r="B2173" s="36" t="s">
        <v>3549</v>
      </c>
      <c r="C2173" s="37" t="s">
        <v>3511</v>
      </c>
      <c r="D2173" s="38" t="s">
        <v>3550</v>
      </c>
      <c r="E2173" s="39">
        <v>1</v>
      </c>
      <c r="F2173" s="40">
        <v>4.99</v>
      </c>
      <c r="G2173" s="40">
        <f t="shared" si="33"/>
        <v>4.99</v>
      </c>
      <c r="H2173" s="41" t="s">
        <v>24</v>
      </c>
      <c r="I2173" s="41" t="s">
        <v>58</v>
      </c>
      <c r="J2173" s="32"/>
    </row>
    <row r="2174" spans="1:10" x14ac:dyDescent="0.2">
      <c r="A2174" s="32"/>
      <c r="B2174" s="42" t="s">
        <v>3551</v>
      </c>
      <c r="C2174" s="43" t="s">
        <v>3511</v>
      </c>
      <c r="D2174" s="44" t="s">
        <v>2589</v>
      </c>
      <c r="E2174" s="45">
        <v>1</v>
      </c>
      <c r="F2174" s="46">
        <v>7.29</v>
      </c>
      <c r="G2174" s="46">
        <f t="shared" si="33"/>
        <v>7.29</v>
      </c>
      <c r="H2174" s="47" t="s">
        <v>24</v>
      </c>
      <c r="I2174" s="47" t="s">
        <v>58</v>
      </c>
      <c r="J2174" s="32"/>
    </row>
    <row r="2175" spans="1:10" x14ac:dyDescent="0.2">
      <c r="A2175" s="32"/>
      <c r="B2175" s="36" t="s">
        <v>3552</v>
      </c>
      <c r="C2175" s="37" t="s">
        <v>3511</v>
      </c>
      <c r="D2175" s="38" t="s">
        <v>2589</v>
      </c>
      <c r="E2175" s="39">
        <v>1</v>
      </c>
      <c r="F2175" s="40">
        <v>7.29</v>
      </c>
      <c r="G2175" s="40">
        <f t="shared" si="33"/>
        <v>7.29</v>
      </c>
      <c r="H2175" s="41" t="s">
        <v>24</v>
      </c>
      <c r="I2175" s="41" t="s">
        <v>58</v>
      </c>
      <c r="J2175" s="32"/>
    </row>
    <row r="2176" spans="1:10" x14ac:dyDescent="0.2">
      <c r="A2176" s="32"/>
      <c r="B2176" s="42" t="s">
        <v>3553</v>
      </c>
      <c r="C2176" s="43" t="s">
        <v>3511</v>
      </c>
      <c r="D2176" s="44" t="s">
        <v>2965</v>
      </c>
      <c r="E2176" s="45">
        <v>1</v>
      </c>
      <c r="F2176" s="46">
        <v>9.39</v>
      </c>
      <c r="G2176" s="46">
        <f t="shared" si="33"/>
        <v>9.39</v>
      </c>
      <c r="H2176" s="47" t="s">
        <v>24</v>
      </c>
      <c r="I2176" s="47" t="s">
        <v>58</v>
      </c>
      <c r="J2176" s="32"/>
    </row>
    <row r="2177" spans="1:10" x14ac:dyDescent="0.2">
      <c r="A2177" s="32"/>
      <c r="B2177" s="36" t="s">
        <v>3554</v>
      </c>
      <c r="C2177" s="37" t="s">
        <v>3511</v>
      </c>
      <c r="D2177" s="38" t="s">
        <v>2816</v>
      </c>
      <c r="E2177" s="39">
        <v>1</v>
      </c>
      <c r="F2177" s="40">
        <v>3.19</v>
      </c>
      <c r="G2177" s="40">
        <f t="shared" si="33"/>
        <v>3.19</v>
      </c>
      <c r="H2177" s="41" t="s">
        <v>24</v>
      </c>
      <c r="I2177" s="41" t="s">
        <v>58</v>
      </c>
      <c r="J2177" s="32"/>
    </row>
    <row r="2178" spans="1:10" x14ac:dyDescent="0.2">
      <c r="A2178" s="32"/>
      <c r="B2178" s="42" t="s">
        <v>3555</v>
      </c>
      <c r="C2178" s="43" t="s">
        <v>3511</v>
      </c>
      <c r="D2178" s="44" t="s">
        <v>2793</v>
      </c>
      <c r="E2178" s="45">
        <v>1</v>
      </c>
      <c r="F2178" s="46">
        <v>8.7899999999999991</v>
      </c>
      <c r="G2178" s="46">
        <f t="shared" si="33"/>
        <v>8.7899999999999991</v>
      </c>
      <c r="H2178" s="47" t="s">
        <v>24</v>
      </c>
      <c r="I2178" s="47" t="s">
        <v>58</v>
      </c>
      <c r="J2178" s="32"/>
    </row>
    <row r="2179" spans="1:10" x14ac:dyDescent="0.2">
      <c r="A2179" s="32"/>
      <c r="B2179" s="36" t="s">
        <v>3556</v>
      </c>
      <c r="C2179" s="37" t="s">
        <v>3511</v>
      </c>
      <c r="D2179" s="38" t="s">
        <v>3557</v>
      </c>
      <c r="E2179" s="39">
        <v>1</v>
      </c>
      <c r="F2179" s="40">
        <v>6.29</v>
      </c>
      <c r="G2179" s="40">
        <f t="shared" si="33"/>
        <v>6.29</v>
      </c>
      <c r="H2179" s="41" t="s">
        <v>24</v>
      </c>
      <c r="I2179" s="41" t="s">
        <v>58</v>
      </c>
      <c r="J2179" s="32"/>
    </row>
    <row r="2180" spans="1:10" x14ac:dyDescent="0.2">
      <c r="A2180" s="32"/>
      <c r="B2180" s="42" t="s">
        <v>3558</v>
      </c>
      <c r="C2180" s="43" t="s">
        <v>3511</v>
      </c>
      <c r="D2180" s="44" t="s">
        <v>3559</v>
      </c>
      <c r="E2180" s="45">
        <v>1</v>
      </c>
      <c r="F2180" s="46">
        <v>7.19</v>
      </c>
      <c r="G2180" s="46">
        <f t="shared" si="33"/>
        <v>7.19</v>
      </c>
      <c r="H2180" s="47" t="s">
        <v>24</v>
      </c>
      <c r="I2180" s="47" t="s">
        <v>58</v>
      </c>
      <c r="J2180" s="32"/>
    </row>
    <row r="2181" spans="1:10" x14ac:dyDescent="0.2">
      <c r="A2181" s="32"/>
      <c r="B2181" s="36" t="s">
        <v>3560</v>
      </c>
      <c r="C2181" s="37" t="s">
        <v>3511</v>
      </c>
      <c r="D2181" s="38" t="s">
        <v>2816</v>
      </c>
      <c r="E2181" s="39">
        <v>1</v>
      </c>
      <c r="F2181" s="40">
        <v>3.19</v>
      </c>
      <c r="G2181" s="40">
        <f t="shared" ref="G2181:G2244" si="34">E2181*F2181</f>
        <v>3.19</v>
      </c>
      <c r="H2181" s="41" t="s">
        <v>24</v>
      </c>
      <c r="I2181" s="41" t="s">
        <v>58</v>
      </c>
      <c r="J2181" s="32"/>
    </row>
    <row r="2182" spans="1:10" x14ac:dyDescent="0.2">
      <c r="A2182" s="32"/>
      <c r="B2182" s="42" t="s">
        <v>3561</v>
      </c>
      <c r="C2182" s="43" t="s">
        <v>3511</v>
      </c>
      <c r="D2182" s="44" t="s">
        <v>3562</v>
      </c>
      <c r="E2182" s="45">
        <v>1</v>
      </c>
      <c r="F2182" s="46">
        <v>1.79</v>
      </c>
      <c r="G2182" s="46">
        <f t="shared" si="34"/>
        <v>1.79</v>
      </c>
      <c r="H2182" s="47" t="s">
        <v>24</v>
      </c>
      <c r="I2182" s="47" t="s">
        <v>58</v>
      </c>
      <c r="J2182" s="32"/>
    </row>
    <row r="2183" spans="1:10" x14ac:dyDescent="0.2">
      <c r="A2183" s="32"/>
      <c r="B2183" s="36" t="s">
        <v>3563</v>
      </c>
      <c r="C2183" s="37" t="s">
        <v>3511</v>
      </c>
      <c r="D2183" s="38" t="s">
        <v>3562</v>
      </c>
      <c r="E2183" s="39">
        <v>1</v>
      </c>
      <c r="F2183" s="40">
        <v>1.79</v>
      </c>
      <c r="G2183" s="40">
        <f t="shared" si="34"/>
        <v>1.79</v>
      </c>
      <c r="H2183" s="41" t="s">
        <v>24</v>
      </c>
      <c r="I2183" s="41" t="s">
        <v>58</v>
      </c>
      <c r="J2183" s="32"/>
    </row>
    <row r="2184" spans="1:10" x14ac:dyDescent="0.2">
      <c r="A2184" s="32"/>
      <c r="B2184" s="42" t="s">
        <v>3564</v>
      </c>
      <c r="C2184" s="43" t="s">
        <v>3511</v>
      </c>
      <c r="D2184" s="44" t="s">
        <v>3565</v>
      </c>
      <c r="E2184" s="45">
        <v>1</v>
      </c>
      <c r="F2184" s="46">
        <v>14.99</v>
      </c>
      <c r="G2184" s="46">
        <f t="shared" si="34"/>
        <v>14.99</v>
      </c>
      <c r="H2184" s="47" t="s">
        <v>24</v>
      </c>
      <c r="I2184" s="47" t="s">
        <v>58</v>
      </c>
      <c r="J2184" s="32"/>
    </row>
    <row r="2185" spans="1:10" x14ac:dyDescent="0.2">
      <c r="A2185" s="32"/>
      <c r="B2185" s="36" t="s">
        <v>3566</v>
      </c>
      <c r="C2185" s="37" t="s">
        <v>3511</v>
      </c>
      <c r="D2185" s="38" t="s">
        <v>3567</v>
      </c>
      <c r="E2185" s="39">
        <v>1</v>
      </c>
      <c r="F2185" s="40">
        <v>10.49</v>
      </c>
      <c r="G2185" s="40">
        <f t="shared" si="34"/>
        <v>10.49</v>
      </c>
      <c r="H2185" s="41" t="s">
        <v>24</v>
      </c>
      <c r="I2185" s="41" t="s">
        <v>58</v>
      </c>
      <c r="J2185" s="32"/>
    </row>
    <row r="2186" spans="1:10" x14ac:dyDescent="0.2">
      <c r="A2186" s="32"/>
      <c r="B2186" s="42" t="s">
        <v>3568</v>
      </c>
      <c r="C2186" s="43" t="s">
        <v>3511</v>
      </c>
      <c r="D2186" s="44" t="s">
        <v>2659</v>
      </c>
      <c r="E2186" s="45">
        <v>1</v>
      </c>
      <c r="F2186" s="46">
        <v>9.99</v>
      </c>
      <c r="G2186" s="46">
        <f t="shared" si="34"/>
        <v>9.99</v>
      </c>
      <c r="H2186" s="47" t="s">
        <v>24</v>
      </c>
      <c r="I2186" s="47" t="s">
        <v>58</v>
      </c>
      <c r="J2186" s="32"/>
    </row>
    <row r="2187" spans="1:10" x14ac:dyDescent="0.2">
      <c r="A2187" s="32"/>
      <c r="B2187" s="36" t="s">
        <v>3569</v>
      </c>
      <c r="C2187" s="37" t="s">
        <v>3511</v>
      </c>
      <c r="D2187" s="38" t="s">
        <v>1370</v>
      </c>
      <c r="E2187" s="39">
        <v>1</v>
      </c>
      <c r="F2187" s="40">
        <v>2.19</v>
      </c>
      <c r="G2187" s="40">
        <f t="shared" si="34"/>
        <v>2.19</v>
      </c>
      <c r="H2187" s="41" t="s">
        <v>24</v>
      </c>
      <c r="I2187" s="41" t="s">
        <v>58</v>
      </c>
      <c r="J2187" s="32"/>
    </row>
    <row r="2188" spans="1:10" x14ac:dyDescent="0.2">
      <c r="A2188" s="32"/>
      <c r="B2188" s="42" t="s">
        <v>3570</v>
      </c>
      <c r="C2188" s="43" t="s">
        <v>3511</v>
      </c>
      <c r="D2188" s="44" t="s">
        <v>2493</v>
      </c>
      <c r="E2188" s="45">
        <v>1</v>
      </c>
      <c r="F2188" s="46">
        <v>50.99</v>
      </c>
      <c r="G2188" s="46">
        <f t="shared" si="34"/>
        <v>50.99</v>
      </c>
      <c r="H2188" s="47" t="s">
        <v>24</v>
      </c>
      <c r="I2188" s="47" t="s">
        <v>58</v>
      </c>
      <c r="J2188" s="32"/>
    </row>
    <row r="2189" spans="1:10" x14ac:dyDescent="0.2">
      <c r="A2189" s="32"/>
      <c r="B2189" s="36" t="s">
        <v>3571</v>
      </c>
      <c r="C2189" s="37" t="s">
        <v>3511</v>
      </c>
      <c r="D2189" s="38" t="s">
        <v>2493</v>
      </c>
      <c r="E2189" s="39">
        <v>1</v>
      </c>
      <c r="F2189" s="40">
        <v>50.99</v>
      </c>
      <c r="G2189" s="40">
        <f t="shared" si="34"/>
        <v>50.99</v>
      </c>
      <c r="H2189" s="41" t="s">
        <v>24</v>
      </c>
      <c r="I2189" s="41" t="s">
        <v>58</v>
      </c>
      <c r="J2189" s="32"/>
    </row>
    <row r="2190" spans="1:10" x14ac:dyDescent="0.2">
      <c r="A2190" s="32"/>
      <c r="B2190" s="42" t="s">
        <v>3572</v>
      </c>
      <c r="C2190" s="43" t="s">
        <v>3511</v>
      </c>
      <c r="D2190" s="44" t="s">
        <v>1871</v>
      </c>
      <c r="E2190" s="45">
        <v>1</v>
      </c>
      <c r="F2190" s="46">
        <v>6.49</v>
      </c>
      <c r="G2190" s="46">
        <f t="shared" si="34"/>
        <v>6.49</v>
      </c>
      <c r="H2190" s="47" t="s">
        <v>24</v>
      </c>
      <c r="I2190" s="47" t="s">
        <v>58</v>
      </c>
      <c r="J2190" s="32"/>
    </row>
    <row r="2191" spans="1:10" x14ac:dyDescent="0.2">
      <c r="A2191" s="32"/>
      <c r="B2191" s="36" t="s">
        <v>3573</v>
      </c>
      <c r="C2191" s="37" t="s">
        <v>3511</v>
      </c>
      <c r="D2191" s="38" t="s">
        <v>1871</v>
      </c>
      <c r="E2191" s="39">
        <v>1</v>
      </c>
      <c r="F2191" s="40">
        <v>6.49</v>
      </c>
      <c r="G2191" s="40">
        <f t="shared" si="34"/>
        <v>6.49</v>
      </c>
      <c r="H2191" s="41" t="s">
        <v>24</v>
      </c>
      <c r="I2191" s="41" t="s">
        <v>58</v>
      </c>
      <c r="J2191" s="32"/>
    </row>
    <row r="2192" spans="1:10" x14ac:dyDescent="0.2">
      <c r="A2192" s="32"/>
      <c r="B2192" s="42" t="s">
        <v>3574</v>
      </c>
      <c r="C2192" s="43" t="s">
        <v>3511</v>
      </c>
      <c r="D2192" s="44" t="s">
        <v>3575</v>
      </c>
      <c r="E2192" s="45">
        <v>1</v>
      </c>
      <c r="F2192" s="46">
        <v>25.99</v>
      </c>
      <c r="G2192" s="46">
        <f t="shared" si="34"/>
        <v>25.99</v>
      </c>
      <c r="H2192" s="47" t="s">
        <v>24</v>
      </c>
      <c r="I2192" s="47" t="s">
        <v>58</v>
      </c>
      <c r="J2192" s="32"/>
    </row>
    <row r="2193" spans="1:10" x14ac:dyDescent="0.2">
      <c r="A2193" s="32"/>
      <c r="B2193" s="36" t="s">
        <v>3576</v>
      </c>
      <c r="C2193" s="37" t="s">
        <v>3511</v>
      </c>
      <c r="D2193" s="38" t="s">
        <v>3577</v>
      </c>
      <c r="E2193" s="39">
        <v>1</v>
      </c>
      <c r="F2193" s="40">
        <v>45.99</v>
      </c>
      <c r="G2193" s="40">
        <f t="shared" si="34"/>
        <v>45.99</v>
      </c>
      <c r="H2193" s="41" t="s">
        <v>24</v>
      </c>
      <c r="I2193" s="41" t="s">
        <v>58</v>
      </c>
      <c r="J2193" s="32"/>
    </row>
    <row r="2194" spans="1:10" x14ac:dyDescent="0.2">
      <c r="A2194" s="32"/>
      <c r="B2194" s="42" t="s">
        <v>3578</v>
      </c>
      <c r="C2194" s="43" t="s">
        <v>3511</v>
      </c>
      <c r="D2194" s="44" t="s">
        <v>3579</v>
      </c>
      <c r="E2194" s="45">
        <v>1</v>
      </c>
      <c r="F2194" s="46">
        <v>127.99</v>
      </c>
      <c r="G2194" s="46">
        <f t="shared" si="34"/>
        <v>127.99</v>
      </c>
      <c r="H2194" s="47" t="s">
        <v>24</v>
      </c>
      <c r="I2194" s="47" t="s">
        <v>58</v>
      </c>
      <c r="J2194" s="32"/>
    </row>
    <row r="2195" spans="1:10" x14ac:dyDescent="0.2">
      <c r="A2195" s="32"/>
      <c r="B2195" s="36" t="s">
        <v>3580</v>
      </c>
      <c r="C2195" s="37" t="s">
        <v>3511</v>
      </c>
      <c r="D2195" s="38" t="s">
        <v>139</v>
      </c>
      <c r="E2195" s="39">
        <v>1</v>
      </c>
      <c r="F2195" s="40">
        <v>4.3899999999999997</v>
      </c>
      <c r="G2195" s="40">
        <f t="shared" si="34"/>
        <v>4.3899999999999997</v>
      </c>
      <c r="H2195" s="41" t="s">
        <v>24</v>
      </c>
      <c r="I2195" s="41" t="s">
        <v>58</v>
      </c>
      <c r="J2195" s="32"/>
    </row>
    <row r="2196" spans="1:10" x14ac:dyDescent="0.2">
      <c r="A2196" s="32"/>
      <c r="B2196" s="42" t="s">
        <v>3581</v>
      </c>
      <c r="C2196" s="43" t="s">
        <v>3511</v>
      </c>
      <c r="D2196" s="44" t="s">
        <v>3582</v>
      </c>
      <c r="E2196" s="45">
        <v>1</v>
      </c>
      <c r="F2196" s="46">
        <v>5.29</v>
      </c>
      <c r="G2196" s="46">
        <f t="shared" si="34"/>
        <v>5.29</v>
      </c>
      <c r="H2196" s="47" t="s">
        <v>24</v>
      </c>
      <c r="I2196" s="47" t="s">
        <v>58</v>
      </c>
      <c r="J2196" s="32"/>
    </row>
    <row r="2197" spans="1:10" x14ac:dyDescent="0.2">
      <c r="A2197" s="32"/>
      <c r="B2197" s="36" t="s">
        <v>3583</v>
      </c>
      <c r="C2197" s="37" t="s">
        <v>3511</v>
      </c>
      <c r="D2197" s="38" t="s">
        <v>2908</v>
      </c>
      <c r="E2197" s="39">
        <v>1</v>
      </c>
      <c r="F2197" s="40">
        <v>16.989999999999998</v>
      </c>
      <c r="G2197" s="40">
        <f t="shared" si="34"/>
        <v>16.989999999999998</v>
      </c>
      <c r="H2197" s="41" t="s">
        <v>25</v>
      </c>
      <c r="I2197" s="41" t="s">
        <v>58</v>
      </c>
      <c r="J2197" s="32"/>
    </row>
    <row r="2198" spans="1:10" x14ac:dyDescent="0.2">
      <c r="A2198" s="32"/>
      <c r="B2198" s="42" t="s">
        <v>3584</v>
      </c>
      <c r="C2198" s="43" t="s">
        <v>3511</v>
      </c>
      <c r="D2198" s="44" t="s">
        <v>40</v>
      </c>
      <c r="E2198" s="45">
        <v>1</v>
      </c>
      <c r="F2198" s="46">
        <v>12.99</v>
      </c>
      <c r="G2198" s="46">
        <f t="shared" si="34"/>
        <v>12.99</v>
      </c>
      <c r="H2198" s="47" t="s">
        <v>25</v>
      </c>
      <c r="I2198" s="47" t="s">
        <v>58</v>
      </c>
      <c r="J2198" s="32"/>
    </row>
    <row r="2199" spans="1:10" x14ac:dyDescent="0.2">
      <c r="A2199" s="32"/>
      <c r="B2199" s="36" t="s">
        <v>3585</v>
      </c>
      <c r="C2199" s="37" t="s">
        <v>3511</v>
      </c>
      <c r="D2199" s="38" t="s">
        <v>3586</v>
      </c>
      <c r="E2199" s="39">
        <v>1</v>
      </c>
      <c r="F2199" s="40">
        <v>9.99</v>
      </c>
      <c r="G2199" s="40">
        <f t="shared" si="34"/>
        <v>9.99</v>
      </c>
      <c r="H2199" s="41" t="s">
        <v>24</v>
      </c>
      <c r="I2199" s="41" t="s">
        <v>58</v>
      </c>
      <c r="J2199" s="32"/>
    </row>
    <row r="2200" spans="1:10" x14ac:dyDescent="0.2">
      <c r="A2200" s="32"/>
      <c r="B2200" s="42" t="s">
        <v>3587</v>
      </c>
      <c r="C2200" s="43" t="s">
        <v>3511</v>
      </c>
      <c r="D2200" s="44" t="s">
        <v>3588</v>
      </c>
      <c r="E2200" s="45">
        <v>1</v>
      </c>
      <c r="F2200" s="46">
        <v>8.99</v>
      </c>
      <c r="G2200" s="46">
        <f t="shared" si="34"/>
        <v>8.99</v>
      </c>
      <c r="H2200" s="47" t="s">
        <v>24</v>
      </c>
      <c r="I2200" s="47" t="s">
        <v>58</v>
      </c>
      <c r="J2200" s="32"/>
    </row>
    <row r="2201" spans="1:10" x14ac:dyDescent="0.2">
      <c r="A2201" s="32"/>
      <c r="B2201" s="36" t="s">
        <v>3589</v>
      </c>
      <c r="C2201" s="37" t="s">
        <v>3511</v>
      </c>
      <c r="D2201" s="38" t="s">
        <v>2709</v>
      </c>
      <c r="E2201" s="39">
        <v>1</v>
      </c>
      <c r="F2201" s="40">
        <v>17.39</v>
      </c>
      <c r="G2201" s="40">
        <f t="shared" si="34"/>
        <v>17.39</v>
      </c>
      <c r="H2201" s="41" t="s">
        <v>25</v>
      </c>
      <c r="I2201" s="41" t="s">
        <v>58</v>
      </c>
      <c r="J2201" s="32"/>
    </row>
    <row r="2202" spans="1:10" x14ac:dyDescent="0.2">
      <c r="A2202" s="32"/>
      <c r="B2202" s="42" t="s">
        <v>3590</v>
      </c>
      <c r="C2202" s="43" t="s">
        <v>3511</v>
      </c>
      <c r="D2202" s="44" t="s">
        <v>2709</v>
      </c>
      <c r="E2202" s="45">
        <v>1</v>
      </c>
      <c r="F2202" s="46">
        <v>17.39</v>
      </c>
      <c r="G2202" s="46">
        <f t="shared" si="34"/>
        <v>17.39</v>
      </c>
      <c r="H2202" s="47" t="s">
        <v>25</v>
      </c>
      <c r="I2202" s="47" t="s">
        <v>58</v>
      </c>
      <c r="J2202" s="32"/>
    </row>
    <row r="2203" spans="1:10" x14ac:dyDescent="0.2">
      <c r="A2203" s="32"/>
      <c r="B2203" s="36" t="s">
        <v>3591</v>
      </c>
      <c r="C2203" s="37" t="s">
        <v>3511</v>
      </c>
      <c r="D2203" s="38" t="s">
        <v>3592</v>
      </c>
      <c r="E2203" s="39">
        <v>1</v>
      </c>
      <c r="F2203" s="40">
        <v>7.89</v>
      </c>
      <c r="G2203" s="40">
        <f t="shared" si="34"/>
        <v>7.89</v>
      </c>
      <c r="H2203" s="41" t="s">
        <v>24</v>
      </c>
      <c r="I2203" s="41" t="s">
        <v>58</v>
      </c>
      <c r="J2203" s="32"/>
    </row>
    <row r="2204" spans="1:10" x14ac:dyDescent="0.2">
      <c r="A2204" s="32"/>
      <c r="B2204" s="42" t="s">
        <v>3593</v>
      </c>
      <c r="C2204" s="43" t="s">
        <v>3511</v>
      </c>
      <c r="D2204" s="44" t="s">
        <v>1955</v>
      </c>
      <c r="E2204" s="45">
        <v>1</v>
      </c>
      <c r="F2204" s="46">
        <v>18.989999999999998</v>
      </c>
      <c r="G2204" s="46">
        <f t="shared" si="34"/>
        <v>18.989999999999998</v>
      </c>
      <c r="H2204" s="47" t="s">
        <v>24</v>
      </c>
      <c r="I2204" s="47" t="s">
        <v>58</v>
      </c>
      <c r="J2204" s="32"/>
    </row>
    <row r="2205" spans="1:10" x14ac:dyDescent="0.2">
      <c r="A2205" s="32"/>
      <c r="B2205" s="36" t="s">
        <v>3594</v>
      </c>
      <c r="C2205" s="37" t="s">
        <v>3511</v>
      </c>
      <c r="D2205" s="38" t="s">
        <v>633</v>
      </c>
      <c r="E2205" s="39">
        <v>1</v>
      </c>
      <c r="F2205" s="40">
        <v>5.79</v>
      </c>
      <c r="G2205" s="40">
        <f t="shared" si="34"/>
        <v>5.79</v>
      </c>
      <c r="H2205" s="41" t="s">
        <v>28</v>
      </c>
      <c r="I2205" s="41" t="s">
        <v>58</v>
      </c>
      <c r="J2205" s="32"/>
    </row>
    <row r="2206" spans="1:10" x14ac:dyDescent="0.2">
      <c r="A2206" s="32"/>
      <c r="B2206" s="42" t="s">
        <v>3595</v>
      </c>
      <c r="C2206" s="43" t="s">
        <v>3511</v>
      </c>
      <c r="D2206" s="44" t="s">
        <v>3596</v>
      </c>
      <c r="E2206" s="45">
        <v>1</v>
      </c>
      <c r="F2206" s="46">
        <v>11.59</v>
      </c>
      <c r="G2206" s="46">
        <f t="shared" si="34"/>
        <v>11.59</v>
      </c>
      <c r="H2206" s="47" t="s">
        <v>24</v>
      </c>
      <c r="I2206" s="47" t="s">
        <v>58</v>
      </c>
      <c r="J2206" s="32"/>
    </row>
    <row r="2207" spans="1:10" x14ac:dyDescent="0.2">
      <c r="A2207" s="32"/>
      <c r="B2207" s="36" t="s">
        <v>3597</v>
      </c>
      <c r="C2207" s="37" t="s">
        <v>3511</v>
      </c>
      <c r="D2207" s="38" t="s">
        <v>1678</v>
      </c>
      <c r="E2207" s="39">
        <v>1</v>
      </c>
      <c r="F2207" s="40">
        <v>26.99</v>
      </c>
      <c r="G2207" s="40">
        <f t="shared" si="34"/>
        <v>26.99</v>
      </c>
      <c r="H2207" s="41" t="s">
        <v>24</v>
      </c>
      <c r="I2207" s="41" t="s">
        <v>58</v>
      </c>
      <c r="J2207" s="32"/>
    </row>
    <row r="2208" spans="1:10" x14ac:dyDescent="0.2">
      <c r="A2208" s="32"/>
      <c r="B2208" s="42" t="s">
        <v>3598</v>
      </c>
      <c r="C2208" s="43" t="s">
        <v>3511</v>
      </c>
      <c r="D2208" s="44" t="s">
        <v>3182</v>
      </c>
      <c r="E2208" s="45">
        <v>1</v>
      </c>
      <c r="F2208" s="46">
        <v>25.99</v>
      </c>
      <c r="G2208" s="46">
        <f t="shared" si="34"/>
        <v>25.99</v>
      </c>
      <c r="H2208" s="47" t="s">
        <v>24</v>
      </c>
      <c r="I2208" s="47" t="s">
        <v>58</v>
      </c>
      <c r="J2208" s="32"/>
    </row>
    <row r="2209" spans="1:10" x14ac:dyDescent="0.2">
      <c r="A2209" s="32"/>
      <c r="B2209" s="36" t="s">
        <v>3599</v>
      </c>
      <c r="C2209" s="37" t="s">
        <v>3511</v>
      </c>
      <c r="D2209" s="38" t="s">
        <v>2587</v>
      </c>
      <c r="E2209" s="39">
        <v>1</v>
      </c>
      <c r="F2209" s="40">
        <v>4.99</v>
      </c>
      <c r="G2209" s="40">
        <f t="shared" si="34"/>
        <v>4.99</v>
      </c>
      <c r="H2209" s="41" t="s">
        <v>24</v>
      </c>
      <c r="I2209" s="41" t="s">
        <v>58</v>
      </c>
      <c r="J2209" s="32"/>
    </row>
    <row r="2210" spans="1:10" x14ac:dyDescent="0.2">
      <c r="A2210" s="32"/>
      <c r="B2210" s="42" t="s">
        <v>3600</v>
      </c>
      <c r="C2210" s="43" t="s">
        <v>3511</v>
      </c>
      <c r="D2210" s="44" t="s">
        <v>1321</v>
      </c>
      <c r="E2210" s="45">
        <v>1</v>
      </c>
      <c r="F2210" s="46">
        <v>25.9</v>
      </c>
      <c r="G2210" s="46">
        <f t="shared" si="34"/>
        <v>25.9</v>
      </c>
      <c r="H2210" s="47" t="s">
        <v>24</v>
      </c>
      <c r="I2210" s="47" t="s">
        <v>58</v>
      </c>
      <c r="J2210" s="32"/>
    </row>
    <row r="2211" spans="1:10" x14ac:dyDescent="0.2">
      <c r="A2211" s="32"/>
      <c r="B2211" s="36" t="s">
        <v>3601</v>
      </c>
      <c r="C2211" s="37" t="s">
        <v>3511</v>
      </c>
      <c r="D2211" s="38" t="s">
        <v>3104</v>
      </c>
      <c r="E2211" s="39">
        <v>1</v>
      </c>
      <c r="F2211" s="40">
        <v>41.99</v>
      </c>
      <c r="G2211" s="40">
        <f t="shared" si="34"/>
        <v>41.99</v>
      </c>
      <c r="H2211" s="41" t="s">
        <v>24</v>
      </c>
      <c r="I2211" s="41" t="s">
        <v>58</v>
      </c>
      <c r="J2211" s="32"/>
    </row>
    <row r="2212" spans="1:10" x14ac:dyDescent="0.2">
      <c r="A2212" s="32"/>
      <c r="B2212" s="42" t="s">
        <v>3602</v>
      </c>
      <c r="C2212" s="43" t="s">
        <v>3603</v>
      </c>
      <c r="D2212" s="44" t="s">
        <v>3604</v>
      </c>
      <c r="E2212" s="45">
        <v>1</v>
      </c>
      <c r="F2212" s="46">
        <v>16.989999999999998</v>
      </c>
      <c r="G2212" s="46">
        <f t="shared" si="34"/>
        <v>16.989999999999998</v>
      </c>
      <c r="H2212" s="47" t="s">
        <v>24</v>
      </c>
      <c r="I2212" s="47" t="s">
        <v>58</v>
      </c>
      <c r="J2212" s="32"/>
    </row>
    <row r="2213" spans="1:10" x14ac:dyDescent="0.2">
      <c r="A2213" s="32"/>
      <c r="B2213" s="36" t="s">
        <v>3605</v>
      </c>
      <c r="C2213" s="37" t="s">
        <v>3603</v>
      </c>
      <c r="D2213" s="38" t="s">
        <v>3606</v>
      </c>
      <c r="E2213" s="39">
        <v>1</v>
      </c>
      <c r="F2213" s="40">
        <v>16.989999999999998</v>
      </c>
      <c r="G2213" s="40">
        <f t="shared" si="34"/>
        <v>16.989999999999998</v>
      </c>
      <c r="H2213" s="41" t="s">
        <v>24</v>
      </c>
      <c r="I2213" s="41" t="s">
        <v>58</v>
      </c>
      <c r="J2213" s="32"/>
    </row>
    <row r="2214" spans="1:10" x14ac:dyDescent="0.2">
      <c r="A2214" s="32"/>
      <c r="B2214" s="42" t="s">
        <v>3607</v>
      </c>
      <c r="C2214" s="43" t="s">
        <v>3603</v>
      </c>
      <c r="D2214" s="44" t="s">
        <v>3608</v>
      </c>
      <c r="E2214" s="45">
        <v>1</v>
      </c>
      <c r="F2214" s="46">
        <v>8.59</v>
      </c>
      <c r="G2214" s="46">
        <f t="shared" si="34"/>
        <v>8.59</v>
      </c>
      <c r="H2214" s="47" t="s">
        <v>24</v>
      </c>
      <c r="I2214" s="47" t="s">
        <v>58</v>
      </c>
      <c r="J2214" s="32"/>
    </row>
    <row r="2215" spans="1:10" x14ac:dyDescent="0.2">
      <c r="A2215" s="32"/>
      <c r="B2215" s="36" t="s">
        <v>3609</v>
      </c>
      <c r="C2215" s="37" t="s">
        <v>3603</v>
      </c>
      <c r="D2215" s="38" t="s">
        <v>3610</v>
      </c>
      <c r="E2215" s="39">
        <v>1</v>
      </c>
      <c r="F2215" s="40">
        <v>1.99</v>
      </c>
      <c r="G2215" s="40">
        <f t="shared" si="34"/>
        <v>1.99</v>
      </c>
      <c r="H2215" s="41" t="s">
        <v>24</v>
      </c>
      <c r="I2215" s="41" t="s">
        <v>58</v>
      </c>
      <c r="J2215" s="32"/>
    </row>
    <row r="2216" spans="1:10" x14ac:dyDescent="0.2">
      <c r="A2216" s="32"/>
      <c r="B2216" s="42" t="s">
        <v>3611</v>
      </c>
      <c r="C2216" s="43" t="s">
        <v>3603</v>
      </c>
      <c r="D2216" s="44" t="s">
        <v>3612</v>
      </c>
      <c r="E2216" s="45">
        <v>1</v>
      </c>
      <c r="F2216" s="46">
        <v>10.99</v>
      </c>
      <c r="G2216" s="46">
        <f t="shared" si="34"/>
        <v>10.99</v>
      </c>
      <c r="H2216" s="47" t="s">
        <v>24</v>
      </c>
      <c r="I2216" s="47" t="s">
        <v>58</v>
      </c>
      <c r="J2216" s="32"/>
    </row>
    <row r="2217" spans="1:10" x14ac:dyDescent="0.2">
      <c r="A2217" s="32"/>
      <c r="B2217" s="36" t="s">
        <v>3613</v>
      </c>
      <c r="C2217" s="37" t="s">
        <v>3603</v>
      </c>
      <c r="D2217" s="38" t="s">
        <v>3612</v>
      </c>
      <c r="E2217" s="39">
        <v>1</v>
      </c>
      <c r="F2217" s="40">
        <v>10.99</v>
      </c>
      <c r="G2217" s="40">
        <f t="shared" si="34"/>
        <v>10.99</v>
      </c>
      <c r="H2217" s="41" t="s">
        <v>24</v>
      </c>
      <c r="I2217" s="41" t="s">
        <v>58</v>
      </c>
      <c r="J2217" s="32"/>
    </row>
    <row r="2218" spans="1:10" x14ac:dyDescent="0.2">
      <c r="A2218" s="32"/>
      <c r="B2218" s="42" t="s">
        <v>3614</v>
      </c>
      <c r="C2218" s="43" t="s">
        <v>3603</v>
      </c>
      <c r="D2218" s="44" t="s">
        <v>3615</v>
      </c>
      <c r="E2218" s="45">
        <v>1</v>
      </c>
      <c r="F2218" s="46">
        <v>34.5</v>
      </c>
      <c r="G2218" s="46">
        <f t="shared" si="34"/>
        <v>34.5</v>
      </c>
      <c r="H2218" s="47" t="s">
        <v>24</v>
      </c>
      <c r="I2218" s="47" t="s">
        <v>58</v>
      </c>
      <c r="J2218" s="32"/>
    </row>
    <row r="2219" spans="1:10" x14ac:dyDescent="0.2">
      <c r="A2219" s="32"/>
      <c r="B2219" s="36" t="s">
        <v>3616</v>
      </c>
      <c r="C2219" s="37" t="s">
        <v>3603</v>
      </c>
      <c r="D2219" s="38" t="s">
        <v>3617</v>
      </c>
      <c r="E2219" s="39">
        <v>1</v>
      </c>
      <c r="F2219" s="40">
        <v>108.9</v>
      </c>
      <c r="G2219" s="40">
        <f t="shared" si="34"/>
        <v>108.9</v>
      </c>
      <c r="H2219" s="41" t="s">
        <v>24</v>
      </c>
      <c r="I2219" s="41" t="s">
        <v>58</v>
      </c>
      <c r="J2219" s="32"/>
    </row>
    <row r="2220" spans="1:10" x14ac:dyDescent="0.2">
      <c r="A2220" s="32"/>
      <c r="B2220" s="42" t="s">
        <v>3618</v>
      </c>
      <c r="C2220" s="43" t="s">
        <v>3603</v>
      </c>
      <c r="D2220" s="44" t="s">
        <v>3610</v>
      </c>
      <c r="E2220" s="45">
        <v>1</v>
      </c>
      <c r="F2220" s="46">
        <v>1.99</v>
      </c>
      <c r="G2220" s="46">
        <f t="shared" si="34"/>
        <v>1.99</v>
      </c>
      <c r="H2220" s="47" t="s">
        <v>24</v>
      </c>
      <c r="I2220" s="47" t="s">
        <v>58</v>
      </c>
      <c r="J2220" s="32"/>
    </row>
    <row r="2221" spans="1:10" x14ac:dyDescent="0.2">
      <c r="A2221" s="32"/>
      <c r="B2221" s="36" t="s">
        <v>3619</v>
      </c>
      <c r="C2221" s="37" t="s">
        <v>3603</v>
      </c>
      <c r="D2221" s="38" t="s">
        <v>2048</v>
      </c>
      <c r="E2221" s="39">
        <v>1</v>
      </c>
      <c r="F2221" s="40">
        <v>9.99</v>
      </c>
      <c r="G2221" s="40">
        <f t="shared" si="34"/>
        <v>9.99</v>
      </c>
      <c r="H2221" s="41" t="s">
        <v>24</v>
      </c>
      <c r="I2221" s="41" t="s">
        <v>58</v>
      </c>
      <c r="J2221" s="32"/>
    </row>
    <row r="2222" spans="1:10" x14ac:dyDescent="0.2">
      <c r="A2222" s="32"/>
      <c r="B2222" s="42" t="s">
        <v>3620</v>
      </c>
      <c r="C2222" s="43" t="s">
        <v>3603</v>
      </c>
      <c r="D2222" s="44" t="s">
        <v>3621</v>
      </c>
      <c r="E2222" s="45">
        <v>1</v>
      </c>
      <c r="F2222" s="46">
        <v>109.9</v>
      </c>
      <c r="G2222" s="46">
        <f t="shared" si="34"/>
        <v>109.9</v>
      </c>
      <c r="H2222" s="47" t="s">
        <v>24</v>
      </c>
      <c r="I2222" s="47" t="s">
        <v>58</v>
      </c>
      <c r="J2222" s="32"/>
    </row>
    <row r="2223" spans="1:10" x14ac:dyDescent="0.2">
      <c r="A2223" s="32"/>
      <c r="B2223" s="36" t="s">
        <v>3622</v>
      </c>
      <c r="C2223" s="37" t="s">
        <v>3603</v>
      </c>
      <c r="D2223" s="38" t="s">
        <v>3623</v>
      </c>
      <c r="E2223" s="39">
        <v>1</v>
      </c>
      <c r="F2223" s="40">
        <v>129.9</v>
      </c>
      <c r="G2223" s="40">
        <f t="shared" si="34"/>
        <v>129.9</v>
      </c>
      <c r="H2223" s="41" t="s">
        <v>24</v>
      </c>
      <c r="I2223" s="41" t="s">
        <v>58</v>
      </c>
      <c r="J2223" s="32"/>
    </row>
    <row r="2224" spans="1:10" x14ac:dyDescent="0.2">
      <c r="A2224" s="32"/>
      <c r="B2224" s="42" t="s">
        <v>3624</v>
      </c>
      <c r="C2224" s="43" t="s">
        <v>3603</v>
      </c>
      <c r="D2224" s="44" t="s">
        <v>3625</v>
      </c>
      <c r="E2224" s="45">
        <v>1</v>
      </c>
      <c r="F2224" s="46">
        <v>139.9</v>
      </c>
      <c r="G2224" s="46">
        <f t="shared" si="34"/>
        <v>139.9</v>
      </c>
      <c r="H2224" s="47" t="s">
        <v>24</v>
      </c>
      <c r="I2224" s="47" t="s">
        <v>58</v>
      </c>
      <c r="J2224" s="32"/>
    </row>
    <row r="2225" spans="1:10" x14ac:dyDescent="0.2">
      <c r="A2225" s="32"/>
      <c r="B2225" s="36" t="s">
        <v>3626</v>
      </c>
      <c r="C2225" s="37" t="s">
        <v>3603</v>
      </c>
      <c r="D2225" s="38" t="s">
        <v>3627</v>
      </c>
      <c r="E2225" s="39">
        <v>1</v>
      </c>
      <c r="F2225" s="40">
        <v>24.99</v>
      </c>
      <c r="G2225" s="40">
        <f t="shared" si="34"/>
        <v>24.99</v>
      </c>
      <c r="H2225" s="41" t="s">
        <v>24</v>
      </c>
      <c r="I2225" s="41" t="s">
        <v>58</v>
      </c>
      <c r="J2225" s="32"/>
    </row>
    <row r="2226" spans="1:10" x14ac:dyDescent="0.2">
      <c r="A2226" s="32"/>
      <c r="B2226" s="42" t="s">
        <v>3628</v>
      </c>
      <c r="C2226" s="43" t="s">
        <v>3603</v>
      </c>
      <c r="D2226" s="44" t="s">
        <v>3629</v>
      </c>
      <c r="E2226" s="45">
        <v>1</v>
      </c>
      <c r="F2226" s="46">
        <v>2.39</v>
      </c>
      <c r="G2226" s="46">
        <f t="shared" si="34"/>
        <v>2.39</v>
      </c>
      <c r="H2226" s="47" t="s">
        <v>24</v>
      </c>
      <c r="I2226" s="47" t="s">
        <v>58</v>
      </c>
      <c r="J2226" s="32"/>
    </row>
    <row r="2227" spans="1:10" x14ac:dyDescent="0.2">
      <c r="A2227" s="32"/>
      <c r="B2227" s="36" t="s">
        <v>3630</v>
      </c>
      <c r="C2227" s="37" t="s">
        <v>3603</v>
      </c>
      <c r="D2227" s="38" t="s">
        <v>3629</v>
      </c>
      <c r="E2227" s="39">
        <v>1</v>
      </c>
      <c r="F2227" s="40">
        <v>2.39</v>
      </c>
      <c r="G2227" s="40">
        <f t="shared" si="34"/>
        <v>2.39</v>
      </c>
      <c r="H2227" s="41" t="s">
        <v>24</v>
      </c>
      <c r="I2227" s="41" t="s">
        <v>58</v>
      </c>
      <c r="J2227" s="32"/>
    </row>
    <row r="2228" spans="1:10" x14ac:dyDescent="0.2">
      <c r="A2228" s="32"/>
      <c r="B2228" s="42" t="s">
        <v>3631</v>
      </c>
      <c r="C2228" s="43" t="s">
        <v>3603</v>
      </c>
      <c r="D2228" s="44" t="s">
        <v>3632</v>
      </c>
      <c r="E2228" s="45">
        <v>1</v>
      </c>
      <c r="F2228" s="46">
        <v>2.4900000000000002</v>
      </c>
      <c r="G2228" s="46">
        <f t="shared" si="34"/>
        <v>2.4900000000000002</v>
      </c>
      <c r="H2228" s="47" t="s">
        <v>24</v>
      </c>
      <c r="I2228" s="47" t="s">
        <v>58</v>
      </c>
      <c r="J2228" s="32"/>
    </row>
    <row r="2229" spans="1:10" x14ac:dyDescent="0.2">
      <c r="A2229" s="32"/>
      <c r="B2229" s="36" t="s">
        <v>3633</v>
      </c>
      <c r="C2229" s="37" t="s">
        <v>3603</v>
      </c>
      <c r="D2229" s="38" t="s">
        <v>3629</v>
      </c>
      <c r="E2229" s="39">
        <v>1</v>
      </c>
      <c r="F2229" s="40">
        <v>2.39</v>
      </c>
      <c r="G2229" s="40">
        <f t="shared" si="34"/>
        <v>2.39</v>
      </c>
      <c r="H2229" s="41" t="s">
        <v>24</v>
      </c>
      <c r="I2229" s="41" t="s">
        <v>58</v>
      </c>
      <c r="J2229" s="32"/>
    </row>
    <row r="2230" spans="1:10" x14ac:dyDescent="0.2">
      <c r="A2230" s="32"/>
      <c r="B2230" s="42" t="s">
        <v>3634</v>
      </c>
      <c r="C2230" s="43" t="s">
        <v>3603</v>
      </c>
      <c r="D2230" s="44" t="s">
        <v>3629</v>
      </c>
      <c r="E2230" s="45">
        <v>1</v>
      </c>
      <c r="F2230" s="46">
        <v>2.39</v>
      </c>
      <c r="G2230" s="46">
        <f t="shared" si="34"/>
        <v>2.39</v>
      </c>
      <c r="H2230" s="47" t="s">
        <v>24</v>
      </c>
      <c r="I2230" s="47" t="s">
        <v>58</v>
      </c>
      <c r="J2230" s="32"/>
    </row>
    <row r="2231" spans="1:10" x14ac:dyDescent="0.2">
      <c r="A2231" s="32"/>
      <c r="B2231" s="36" t="s">
        <v>3635</v>
      </c>
      <c r="C2231" s="37" t="s">
        <v>3603</v>
      </c>
      <c r="D2231" s="38" t="s">
        <v>3632</v>
      </c>
      <c r="E2231" s="39">
        <v>1</v>
      </c>
      <c r="F2231" s="40">
        <v>2.4900000000000002</v>
      </c>
      <c r="G2231" s="40">
        <f t="shared" si="34"/>
        <v>2.4900000000000002</v>
      </c>
      <c r="H2231" s="41" t="s">
        <v>24</v>
      </c>
      <c r="I2231" s="41" t="s">
        <v>58</v>
      </c>
      <c r="J2231" s="32"/>
    </row>
    <row r="2232" spans="1:10" x14ac:dyDescent="0.2">
      <c r="A2232" s="32"/>
      <c r="B2232" s="42" t="s">
        <v>3636</v>
      </c>
      <c r="C2232" s="43" t="s">
        <v>3603</v>
      </c>
      <c r="D2232" s="44" t="s">
        <v>3637</v>
      </c>
      <c r="E2232" s="45">
        <v>1</v>
      </c>
      <c r="F2232" s="46">
        <v>6.49</v>
      </c>
      <c r="G2232" s="46">
        <f t="shared" si="34"/>
        <v>6.49</v>
      </c>
      <c r="H2232" s="47" t="s">
        <v>24</v>
      </c>
      <c r="I2232" s="47" t="s">
        <v>58</v>
      </c>
      <c r="J2232" s="32"/>
    </row>
    <row r="2233" spans="1:10" x14ac:dyDescent="0.2">
      <c r="A2233" s="32"/>
      <c r="B2233" s="36" t="s">
        <v>3638</v>
      </c>
      <c r="C2233" s="37" t="s">
        <v>3603</v>
      </c>
      <c r="D2233" s="38" t="s">
        <v>3639</v>
      </c>
      <c r="E2233" s="39">
        <v>1</v>
      </c>
      <c r="F2233" s="40">
        <v>6.79</v>
      </c>
      <c r="G2233" s="40">
        <f t="shared" si="34"/>
        <v>6.79</v>
      </c>
      <c r="H2233" s="41" t="s">
        <v>24</v>
      </c>
      <c r="I2233" s="41" t="s">
        <v>58</v>
      </c>
      <c r="J2233" s="32"/>
    </row>
    <row r="2234" spans="1:10" x14ac:dyDescent="0.2">
      <c r="A2234" s="32"/>
      <c r="B2234" s="42" t="s">
        <v>3640</v>
      </c>
      <c r="C2234" s="43" t="s">
        <v>3603</v>
      </c>
      <c r="D2234" s="44" t="s">
        <v>3641</v>
      </c>
      <c r="E2234" s="45">
        <v>1</v>
      </c>
      <c r="F2234" s="46">
        <v>2.99</v>
      </c>
      <c r="G2234" s="46">
        <f t="shared" si="34"/>
        <v>2.99</v>
      </c>
      <c r="H2234" s="47" t="s">
        <v>24</v>
      </c>
      <c r="I2234" s="47" t="s">
        <v>58</v>
      </c>
      <c r="J2234" s="32"/>
    </row>
    <row r="2235" spans="1:10" x14ac:dyDescent="0.2">
      <c r="A2235" s="32"/>
      <c r="B2235" s="36" t="s">
        <v>3642</v>
      </c>
      <c r="C2235" s="37" t="s">
        <v>3603</v>
      </c>
      <c r="D2235" s="38" t="s">
        <v>3643</v>
      </c>
      <c r="E2235" s="39">
        <v>1</v>
      </c>
      <c r="F2235" s="40">
        <v>5.99</v>
      </c>
      <c r="G2235" s="40">
        <f t="shared" si="34"/>
        <v>5.99</v>
      </c>
      <c r="H2235" s="41" t="s">
        <v>24</v>
      </c>
      <c r="I2235" s="41" t="s">
        <v>58</v>
      </c>
      <c r="J2235" s="32"/>
    </row>
    <row r="2236" spans="1:10" x14ac:dyDescent="0.2">
      <c r="A2236" s="32"/>
      <c r="B2236" s="42" t="s">
        <v>3644</v>
      </c>
      <c r="C2236" s="43" t="s">
        <v>3603</v>
      </c>
      <c r="D2236" s="44" t="s">
        <v>3645</v>
      </c>
      <c r="E2236" s="45">
        <v>1</v>
      </c>
      <c r="F2236" s="46">
        <v>39.9</v>
      </c>
      <c r="G2236" s="46">
        <f t="shared" si="34"/>
        <v>39.9</v>
      </c>
      <c r="H2236" s="47" t="s">
        <v>24</v>
      </c>
      <c r="I2236" s="47" t="s">
        <v>58</v>
      </c>
      <c r="J2236" s="32"/>
    </row>
    <row r="2237" spans="1:10" x14ac:dyDescent="0.2">
      <c r="A2237" s="32"/>
      <c r="B2237" s="36" t="s">
        <v>3646</v>
      </c>
      <c r="C2237" s="37" t="s">
        <v>3603</v>
      </c>
      <c r="D2237" s="38" t="s">
        <v>3647</v>
      </c>
      <c r="E2237" s="39">
        <v>1</v>
      </c>
      <c r="F2237" s="40">
        <v>49.99</v>
      </c>
      <c r="G2237" s="40">
        <f t="shared" si="34"/>
        <v>49.99</v>
      </c>
      <c r="H2237" s="41" t="s">
        <v>24</v>
      </c>
      <c r="I2237" s="41" t="s">
        <v>58</v>
      </c>
      <c r="J2237" s="32"/>
    </row>
    <row r="2238" spans="1:10" x14ac:dyDescent="0.2">
      <c r="A2238" s="32"/>
      <c r="B2238" s="42" t="s">
        <v>3648</v>
      </c>
      <c r="C2238" s="43" t="s">
        <v>3603</v>
      </c>
      <c r="D2238" s="44" t="s">
        <v>3647</v>
      </c>
      <c r="E2238" s="45">
        <v>1</v>
      </c>
      <c r="F2238" s="46">
        <v>49.99</v>
      </c>
      <c r="G2238" s="46">
        <f t="shared" si="34"/>
        <v>49.99</v>
      </c>
      <c r="H2238" s="47" t="s">
        <v>24</v>
      </c>
      <c r="I2238" s="47" t="s">
        <v>58</v>
      </c>
      <c r="J2238" s="32"/>
    </row>
    <row r="2239" spans="1:10" x14ac:dyDescent="0.2">
      <c r="A2239" s="32"/>
      <c r="B2239" s="36" t="s">
        <v>3649</v>
      </c>
      <c r="C2239" s="37" t="s">
        <v>3603</v>
      </c>
      <c r="D2239" s="38" t="s">
        <v>3645</v>
      </c>
      <c r="E2239" s="39">
        <v>1</v>
      </c>
      <c r="F2239" s="40">
        <v>39.9</v>
      </c>
      <c r="G2239" s="40">
        <f t="shared" si="34"/>
        <v>39.9</v>
      </c>
      <c r="H2239" s="41" t="s">
        <v>24</v>
      </c>
      <c r="I2239" s="41" t="s">
        <v>58</v>
      </c>
      <c r="J2239" s="32"/>
    </row>
    <row r="2240" spans="1:10" x14ac:dyDescent="0.2">
      <c r="A2240" s="32"/>
      <c r="B2240" s="42" t="s">
        <v>3650</v>
      </c>
      <c r="C2240" s="43" t="s">
        <v>3603</v>
      </c>
      <c r="D2240" s="44" t="s">
        <v>3651</v>
      </c>
      <c r="E2240" s="45">
        <v>1</v>
      </c>
      <c r="F2240" s="46">
        <v>529.9</v>
      </c>
      <c r="G2240" s="46">
        <f t="shared" si="34"/>
        <v>529.9</v>
      </c>
      <c r="H2240" s="47" t="s">
        <v>24</v>
      </c>
      <c r="I2240" s="47" t="s">
        <v>58</v>
      </c>
      <c r="J2240" s="32"/>
    </row>
    <row r="2241" spans="1:10" x14ac:dyDescent="0.2">
      <c r="A2241" s="32"/>
      <c r="B2241" s="36" t="s">
        <v>3652</v>
      </c>
      <c r="C2241" s="37" t="s">
        <v>3603</v>
      </c>
      <c r="D2241" s="38" t="s">
        <v>3653</v>
      </c>
      <c r="E2241" s="39">
        <v>1</v>
      </c>
      <c r="F2241" s="40">
        <v>3.59</v>
      </c>
      <c r="G2241" s="40">
        <f t="shared" si="34"/>
        <v>3.59</v>
      </c>
      <c r="H2241" s="41" t="s">
        <v>24</v>
      </c>
      <c r="I2241" s="41" t="s">
        <v>58</v>
      </c>
      <c r="J2241" s="32"/>
    </row>
    <row r="2242" spans="1:10" x14ac:dyDescent="0.2">
      <c r="A2242" s="32"/>
      <c r="B2242" s="42" t="s">
        <v>3654</v>
      </c>
      <c r="C2242" s="43" t="s">
        <v>3603</v>
      </c>
      <c r="D2242" s="44" t="s">
        <v>367</v>
      </c>
      <c r="E2242" s="45">
        <v>1</v>
      </c>
      <c r="F2242" s="46">
        <v>5.99</v>
      </c>
      <c r="G2242" s="46">
        <f t="shared" si="34"/>
        <v>5.99</v>
      </c>
      <c r="H2242" s="47" t="s">
        <v>24</v>
      </c>
      <c r="I2242" s="47" t="s">
        <v>58</v>
      </c>
      <c r="J2242" s="32"/>
    </row>
    <row r="2243" spans="1:10" x14ac:dyDescent="0.2">
      <c r="A2243" s="32"/>
      <c r="B2243" s="36" t="s">
        <v>3655</v>
      </c>
      <c r="C2243" s="37" t="s">
        <v>3603</v>
      </c>
      <c r="D2243" s="38" t="s">
        <v>2267</v>
      </c>
      <c r="E2243" s="39">
        <v>1</v>
      </c>
      <c r="F2243" s="40">
        <v>64</v>
      </c>
      <c r="G2243" s="40">
        <f t="shared" si="34"/>
        <v>64</v>
      </c>
      <c r="H2243" s="41" t="s">
        <v>24</v>
      </c>
      <c r="I2243" s="41" t="s">
        <v>58</v>
      </c>
      <c r="J2243" s="32"/>
    </row>
    <row r="2244" spans="1:10" x14ac:dyDescent="0.2">
      <c r="A2244" s="32"/>
      <c r="B2244" s="42" t="s">
        <v>3656</v>
      </c>
      <c r="C2244" s="43" t="s">
        <v>3603</v>
      </c>
      <c r="D2244" s="44" t="s">
        <v>2267</v>
      </c>
      <c r="E2244" s="45">
        <v>1</v>
      </c>
      <c r="F2244" s="46">
        <v>76</v>
      </c>
      <c r="G2244" s="46">
        <f t="shared" si="34"/>
        <v>76</v>
      </c>
      <c r="H2244" s="47" t="s">
        <v>24</v>
      </c>
      <c r="I2244" s="47" t="s">
        <v>58</v>
      </c>
      <c r="J2244" s="32"/>
    </row>
    <row r="2245" spans="1:10" x14ac:dyDescent="0.2">
      <c r="A2245" s="32"/>
      <c r="B2245" s="36" t="s">
        <v>3657</v>
      </c>
      <c r="C2245" s="37" t="s">
        <v>3603</v>
      </c>
      <c r="D2245" s="38" t="s">
        <v>2267</v>
      </c>
      <c r="E2245" s="39">
        <v>1</v>
      </c>
      <c r="F2245" s="40">
        <v>76</v>
      </c>
      <c r="G2245" s="40">
        <f t="shared" ref="G2245:G2308" si="35">E2245*F2245</f>
        <v>76</v>
      </c>
      <c r="H2245" s="41" t="s">
        <v>24</v>
      </c>
      <c r="I2245" s="41" t="s">
        <v>58</v>
      </c>
      <c r="J2245" s="32"/>
    </row>
    <row r="2246" spans="1:10" x14ac:dyDescent="0.2">
      <c r="A2246" s="32"/>
      <c r="B2246" s="42" t="s">
        <v>3658</v>
      </c>
      <c r="C2246" s="43" t="s">
        <v>3603</v>
      </c>
      <c r="D2246" s="44" t="s">
        <v>41</v>
      </c>
      <c r="E2246" s="45">
        <v>1</v>
      </c>
      <c r="F2246" s="46">
        <v>22</v>
      </c>
      <c r="G2246" s="46">
        <f t="shared" si="35"/>
        <v>22</v>
      </c>
      <c r="H2246" s="47" t="s">
        <v>26</v>
      </c>
      <c r="I2246" s="47" t="s">
        <v>58</v>
      </c>
      <c r="J2246" s="32"/>
    </row>
    <row r="2247" spans="1:10" x14ac:dyDescent="0.2">
      <c r="A2247" s="32"/>
      <c r="B2247" s="36" t="s">
        <v>3659</v>
      </c>
      <c r="C2247" s="37" t="s">
        <v>3603</v>
      </c>
      <c r="D2247" s="38" t="s">
        <v>3660</v>
      </c>
      <c r="E2247" s="39">
        <v>1</v>
      </c>
      <c r="F2247" s="40">
        <v>88.9</v>
      </c>
      <c r="G2247" s="40">
        <f t="shared" si="35"/>
        <v>88.9</v>
      </c>
      <c r="H2247" s="41" t="s">
        <v>24</v>
      </c>
      <c r="I2247" s="41" t="s">
        <v>58</v>
      </c>
      <c r="J2247" s="32"/>
    </row>
    <row r="2248" spans="1:10" x14ac:dyDescent="0.2">
      <c r="A2248" s="32"/>
      <c r="B2248" s="42" t="s">
        <v>3661</v>
      </c>
      <c r="C2248" s="43" t="s">
        <v>3603</v>
      </c>
      <c r="D2248" s="44" t="s">
        <v>3660</v>
      </c>
      <c r="E2248" s="45">
        <v>1</v>
      </c>
      <c r="F2248" s="46">
        <v>100.9</v>
      </c>
      <c r="G2248" s="46">
        <f t="shared" si="35"/>
        <v>100.9</v>
      </c>
      <c r="H2248" s="47" t="s">
        <v>24</v>
      </c>
      <c r="I2248" s="47" t="s">
        <v>58</v>
      </c>
      <c r="J2248" s="32"/>
    </row>
    <row r="2249" spans="1:10" x14ac:dyDescent="0.2">
      <c r="A2249" s="32"/>
      <c r="B2249" s="36" t="s">
        <v>3662</v>
      </c>
      <c r="C2249" s="37" t="s">
        <v>3603</v>
      </c>
      <c r="D2249" s="38" t="s">
        <v>3660</v>
      </c>
      <c r="E2249" s="39">
        <v>1</v>
      </c>
      <c r="F2249" s="40">
        <v>96.9</v>
      </c>
      <c r="G2249" s="40">
        <f t="shared" si="35"/>
        <v>96.9</v>
      </c>
      <c r="H2249" s="41" t="s">
        <v>24</v>
      </c>
      <c r="I2249" s="41" t="s">
        <v>58</v>
      </c>
      <c r="J2249" s="32"/>
    </row>
    <row r="2250" spans="1:10" x14ac:dyDescent="0.2">
      <c r="A2250" s="32"/>
      <c r="B2250" s="42" t="s">
        <v>3663</v>
      </c>
      <c r="C2250" s="43" t="s">
        <v>3664</v>
      </c>
      <c r="D2250" s="44" t="s">
        <v>906</v>
      </c>
      <c r="E2250" s="45">
        <v>1</v>
      </c>
      <c r="F2250" s="46">
        <v>7</v>
      </c>
      <c r="G2250" s="46">
        <f t="shared" si="35"/>
        <v>7</v>
      </c>
      <c r="H2250" s="47" t="s">
        <v>24</v>
      </c>
      <c r="I2250" s="47" t="s">
        <v>58</v>
      </c>
      <c r="J2250" s="32"/>
    </row>
    <row r="2251" spans="1:10" x14ac:dyDescent="0.2">
      <c r="A2251" s="32"/>
      <c r="B2251" s="36" t="s">
        <v>3665</v>
      </c>
      <c r="C2251" s="37" t="s">
        <v>3664</v>
      </c>
      <c r="D2251" s="38" t="s">
        <v>3216</v>
      </c>
      <c r="E2251" s="39">
        <v>1</v>
      </c>
      <c r="F2251" s="40">
        <v>51</v>
      </c>
      <c r="G2251" s="40">
        <f t="shared" si="35"/>
        <v>51</v>
      </c>
      <c r="H2251" s="41" t="s">
        <v>24</v>
      </c>
      <c r="I2251" s="41" t="s">
        <v>338</v>
      </c>
      <c r="J2251" s="32"/>
    </row>
    <row r="2252" spans="1:10" x14ac:dyDescent="0.2">
      <c r="A2252" s="32"/>
      <c r="B2252" s="42" t="s">
        <v>3666</v>
      </c>
      <c r="C2252" s="43" t="s">
        <v>3664</v>
      </c>
      <c r="D2252" s="44" t="s">
        <v>3218</v>
      </c>
      <c r="E2252" s="45">
        <v>1</v>
      </c>
      <c r="F2252" s="46">
        <v>54</v>
      </c>
      <c r="G2252" s="46">
        <f t="shared" si="35"/>
        <v>54</v>
      </c>
      <c r="H2252" s="47" t="s">
        <v>24</v>
      </c>
      <c r="I2252" s="47" t="s">
        <v>338</v>
      </c>
      <c r="J2252" s="32"/>
    </row>
    <row r="2253" spans="1:10" x14ac:dyDescent="0.2">
      <c r="A2253" s="32"/>
      <c r="B2253" s="36" t="s">
        <v>3667</v>
      </c>
      <c r="C2253" s="37" t="s">
        <v>3664</v>
      </c>
      <c r="D2253" s="38" t="s">
        <v>41</v>
      </c>
      <c r="E2253" s="39">
        <v>1</v>
      </c>
      <c r="F2253" s="40">
        <v>16</v>
      </c>
      <c r="G2253" s="40">
        <f t="shared" si="35"/>
        <v>16</v>
      </c>
      <c r="H2253" s="41" t="s">
        <v>26</v>
      </c>
      <c r="I2253" s="41" t="s">
        <v>58</v>
      </c>
      <c r="J2253" s="32"/>
    </row>
    <row r="2254" spans="1:10" x14ac:dyDescent="0.2">
      <c r="A2254" s="32"/>
      <c r="B2254" s="42" t="s">
        <v>3668</v>
      </c>
      <c r="C2254" s="43" t="s">
        <v>3669</v>
      </c>
      <c r="D2254" s="44" t="s">
        <v>3670</v>
      </c>
      <c r="E2254" s="45">
        <v>1</v>
      </c>
      <c r="F2254" s="46">
        <v>21.99</v>
      </c>
      <c r="G2254" s="46">
        <f t="shared" si="35"/>
        <v>21.99</v>
      </c>
      <c r="H2254" s="47" t="s">
        <v>24</v>
      </c>
      <c r="I2254" s="47" t="s">
        <v>58</v>
      </c>
      <c r="J2254" s="32"/>
    </row>
    <row r="2255" spans="1:10" x14ac:dyDescent="0.2">
      <c r="A2255" s="32"/>
      <c r="B2255" s="36" t="s">
        <v>3671</v>
      </c>
      <c r="C2255" s="37" t="s">
        <v>3669</v>
      </c>
      <c r="D2255" s="38" t="s">
        <v>3672</v>
      </c>
      <c r="E2255" s="39">
        <v>1</v>
      </c>
      <c r="F2255" s="40">
        <v>21.99</v>
      </c>
      <c r="G2255" s="40">
        <f t="shared" si="35"/>
        <v>21.99</v>
      </c>
      <c r="H2255" s="41" t="s">
        <v>24</v>
      </c>
      <c r="I2255" s="41" t="s">
        <v>58</v>
      </c>
      <c r="J2255" s="32"/>
    </row>
    <row r="2256" spans="1:10" x14ac:dyDescent="0.2">
      <c r="A2256" s="32"/>
      <c r="B2256" s="42" t="s">
        <v>3673</v>
      </c>
      <c r="C2256" s="43" t="s">
        <v>3669</v>
      </c>
      <c r="D2256" s="44" t="s">
        <v>3674</v>
      </c>
      <c r="E2256" s="45">
        <v>1</v>
      </c>
      <c r="F2256" s="46">
        <v>21.99</v>
      </c>
      <c r="G2256" s="46">
        <f t="shared" si="35"/>
        <v>21.99</v>
      </c>
      <c r="H2256" s="47" t="s">
        <v>24</v>
      </c>
      <c r="I2256" s="47" t="s">
        <v>58</v>
      </c>
      <c r="J2256" s="32"/>
    </row>
    <row r="2257" spans="1:10" x14ac:dyDescent="0.2">
      <c r="A2257" s="32"/>
      <c r="B2257" s="36" t="s">
        <v>3675</v>
      </c>
      <c r="C2257" s="37" t="s">
        <v>3669</v>
      </c>
      <c r="D2257" s="38" t="s">
        <v>3676</v>
      </c>
      <c r="E2257" s="39">
        <v>1</v>
      </c>
      <c r="F2257" s="40">
        <v>17.989999999999998</v>
      </c>
      <c r="G2257" s="40">
        <f t="shared" si="35"/>
        <v>17.989999999999998</v>
      </c>
      <c r="H2257" s="41" t="s">
        <v>24</v>
      </c>
      <c r="I2257" s="41" t="s">
        <v>58</v>
      </c>
      <c r="J2257" s="32"/>
    </row>
    <row r="2258" spans="1:10" x14ac:dyDescent="0.2">
      <c r="A2258" s="32"/>
      <c r="B2258" s="42" t="s">
        <v>3677</v>
      </c>
      <c r="C2258" s="43" t="s">
        <v>3669</v>
      </c>
      <c r="D2258" s="44" t="s">
        <v>3676</v>
      </c>
      <c r="E2258" s="45">
        <v>1</v>
      </c>
      <c r="F2258" s="46">
        <v>17.989999999999998</v>
      </c>
      <c r="G2258" s="46">
        <f t="shared" si="35"/>
        <v>17.989999999999998</v>
      </c>
      <c r="H2258" s="47" t="s">
        <v>24</v>
      </c>
      <c r="I2258" s="47" t="s">
        <v>58</v>
      </c>
      <c r="J2258" s="32"/>
    </row>
    <row r="2259" spans="1:10" x14ac:dyDescent="0.2">
      <c r="A2259" s="32"/>
      <c r="B2259" s="36" t="s">
        <v>3678</v>
      </c>
      <c r="C2259" s="37" t="s">
        <v>3669</v>
      </c>
      <c r="D2259" s="38" t="s">
        <v>2840</v>
      </c>
      <c r="E2259" s="39">
        <v>1</v>
      </c>
      <c r="F2259" s="40">
        <v>59.99</v>
      </c>
      <c r="G2259" s="40">
        <f t="shared" si="35"/>
        <v>59.99</v>
      </c>
      <c r="H2259" s="41" t="s">
        <v>24</v>
      </c>
      <c r="I2259" s="41" t="s">
        <v>58</v>
      </c>
      <c r="J2259" s="32"/>
    </row>
    <row r="2260" spans="1:10" x14ac:dyDescent="0.2">
      <c r="A2260" s="32"/>
      <c r="B2260" s="42" t="s">
        <v>3679</v>
      </c>
      <c r="C2260" s="43" t="s">
        <v>3669</v>
      </c>
      <c r="D2260" s="44" t="s">
        <v>1400</v>
      </c>
      <c r="E2260" s="45">
        <v>1</v>
      </c>
      <c r="F2260" s="46">
        <v>99.99</v>
      </c>
      <c r="G2260" s="46">
        <f t="shared" si="35"/>
        <v>99.99</v>
      </c>
      <c r="H2260" s="47" t="s">
        <v>24</v>
      </c>
      <c r="I2260" s="47" t="s">
        <v>58</v>
      </c>
      <c r="J2260" s="32"/>
    </row>
    <row r="2261" spans="1:10" x14ac:dyDescent="0.2">
      <c r="A2261" s="32"/>
      <c r="B2261" s="36" t="s">
        <v>3680</v>
      </c>
      <c r="C2261" s="37" t="s">
        <v>3669</v>
      </c>
      <c r="D2261" s="38" t="s">
        <v>1398</v>
      </c>
      <c r="E2261" s="39">
        <v>1</v>
      </c>
      <c r="F2261" s="40">
        <v>55.99</v>
      </c>
      <c r="G2261" s="40">
        <f t="shared" si="35"/>
        <v>55.99</v>
      </c>
      <c r="H2261" s="41" t="s">
        <v>24</v>
      </c>
      <c r="I2261" s="41" t="s">
        <v>58</v>
      </c>
      <c r="J2261" s="32"/>
    </row>
    <row r="2262" spans="1:10" x14ac:dyDescent="0.2">
      <c r="A2262" s="32"/>
      <c r="B2262" s="42" t="s">
        <v>3681</v>
      </c>
      <c r="C2262" s="43" t="s">
        <v>3669</v>
      </c>
      <c r="D2262" s="44" t="s">
        <v>735</v>
      </c>
      <c r="E2262" s="45">
        <v>1</v>
      </c>
      <c r="F2262" s="46">
        <v>5.99</v>
      </c>
      <c r="G2262" s="46">
        <f t="shared" si="35"/>
        <v>5.99</v>
      </c>
      <c r="H2262" s="47" t="s">
        <v>24</v>
      </c>
      <c r="I2262" s="47" t="s">
        <v>58</v>
      </c>
      <c r="J2262" s="32"/>
    </row>
    <row r="2263" spans="1:10" x14ac:dyDescent="0.2">
      <c r="A2263" s="32"/>
      <c r="B2263" s="36" t="s">
        <v>3682</v>
      </c>
      <c r="C2263" s="37" t="s">
        <v>3669</v>
      </c>
      <c r="D2263" s="38" t="s">
        <v>42</v>
      </c>
      <c r="E2263" s="39">
        <v>1</v>
      </c>
      <c r="F2263" s="40">
        <v>11.99</v>
      </c>
      <c r="G2263" s="40">
        <f t="shared" si="35"/>
        <v>11.99</v>
      </c>
      <c r="H2263" s="41" t="s">
        <v>24</v>
      </c>
      <c r="I2263" s="41" t="s">
        <v>58</v>
      </c>
      <c r="J2263" s="32"/>
    </row>
    <row r="2264" spans="1:10" x14ac:dyDescent="0.2">
      <c r="A2264" s="32"/>
      <c r="B2264" s="42" t="s">
        <v>3683</v>
      </c>
      <c r="C2264" s="43" t="s">
        <v>3669</v>
      </c>
      <c r="D2264" s="44" t="s">
        <v>3684</v>
      </c>
      <c r="E2264" s="45">
        <v>1</v>
      </c>
      <c r="F2264" s="46">
        <v>4.99</v>
      </c>
      <c r="G2264" s="46">
        <f t="shared" si="35"/>
        <v>4.99</v>
      </c>
      <c r="H2264" s="47" t="s">
        <v>24</v>
      </c>
      <c r="I2264" s="47" t="s">
        <v>58</v>
      </c>
      <c r="J2264" s="32"/>
    </row>
    <row r="2265" spans="1:10" x14ac:dyDescent="0.2">
      <c r="A2265" s="32"/>
      <c r="B2265" s="36" t="s">
        <v>3685</v>
      </c>
      <c r="C2265" s="37" t="s">
        <v>3669</v>
      </c>
      <c r="D2265" s="38" t="s">
        <v>1463</v>
      </c>
      <c r="E2265" s="39">
        <v>1</v>
      </c>
      <c r="F2265" s="40">
        <v>5.99</v>
      </c>
      <c r="G2265" s="40">
        <f t="shared" si="35"/>
        <v>5.99</v>
      </c>
      <c r="H2265" s="41" t="s">
        <v>24</v>
      </c>
      <c r="I2265" s="41" t="s">
        <v>58</v>
      </c>
      <c r="J2265" s="32"/>
    </row>
    <row r="2266" spans="1:10" x14ac:dyDescent="0.2">
      <c r="A2266" s="32"/>
      <c r="B2266" s="42" t="s">
        <v>3686</v>
      </c>
      <c r="C2266" s="43" t="s">
        <v>3669</v>
      </c>
      <c r="D2266" s="44" t="s">
        <v>3687</v>
      </c>
      <c r="E2266" s="45">
        <v>1</v>
      </c>
      <c r="F2266" s="46">
        <v>5.49</v>
      </c>
      <c r="G2266" s="46">
        <f t="shared" si="35"/>
        <v>5.49</v>
      </c>
      <c r="H2266" s="47" t="s">
        <v>24</v>
      </c>
      <c r="I2266" s="47" t="s">
        <v>58</v>
      </c>
      <c r="J2266" s="32"/>
    </row>
    <row r="2267" spans="1:10" x14ac:dyDescent="0.2">
      <c r="A2267" s="32"/>
      <c r="B2267" s="36" t="s">
        <v>3688</v>
      </c>
      <c r="C2267" s="37" t="s">
        <v>3669</v>
      </c>
      <c r="D2267" s="38" t="s">
        <v>982</v>
      </c>
      <c r="E2267" s="39">
        <v>1</v>
      </c>
      <c r="F2267" s="40">
        <v>7.99</v>
      </c>
      <c r="G2267" s="40">
        <f t="shared" si="35"/>
        <v>7.99</v>
      </c>
      <c r="H2267" s="41" t="s">
        <v>24</v>
      </c>
      <c r="I2267" s="41" t="s">
        <v>58</v>
      </c>
      <c r="J2267" s="32"/>
    </row>
    <row r="2268" spans="1:10" x14ac:dyDescent="0.2">
      <c r="A2268" s="32"/>
      <c r="B2268" s="42" t="s">
        <v>3689</v>
      </c>
      <c r="C2268" s="43" t="s">
        <v>3669</v>
      </c>
      <c r="D2268" s="44" t="s">
        <v>81</v>
      </c>
      <c r="E2268" s="45">
        <v>1</v>
      </c>
      <c r="F2268" s="46">
        <v>4.49</v>
      </c>
      <c r="G2268" s="46">
        <f t="shared" si="35"/>
        <v>4.49</v>
      </c>
      <c r="H2268" s="47" t="s">
        <v>24</v>
      </c>
      <c r="I2268" s="47" t="s">
        <v>58</v>
      </c>
      <c r="J2268" s="32"/>
    </row>
    <row r="2269" spans="1:10" x14ac:dyDescent="0.2">
      <c r="A2269" s="32"/>
      <c r="B2269" s="36" t="s">
        <v>3690</v>
      </c>
      <c r="C2269" s="37" t="s">
        <v>3669</v>
      </c>
      <c r="D2269" s="38" t="s">
        <v>3524</v>
      </c>
      <c r="E2269" s="39">
        <v>1</v>
      </c>
      <c r="F2269" s="40">
        <v>6.99</v>
      </c>
      <c r="G2269" s="40">
        <f t="shared" si="35"/>
        <v>6.99</v>
      </c>
      <c r="H2269" s="41" t="s">
        <v>24</v>
      </c>
      <c r="I2269" s="41" t="s">
        <v>58</v>
      </c>
      <c r="J2269" s="32"/>
    </row>
    <row r="2270" spans="1:10" x14ac:dyDescent="0.2">
      <c r="A2270" s="32"/>
      <c r="B2270" s="42" t="s">
        <v>3691</v>
      </c>
      <c r="C2270" s="43" t="s">
        <v>3669</v>
      </c>
      <c r="D2270" s="44" t="s">
        <v>3463</v>
      </c>
      <c r="E2270" s="45">
        <v>1</v>
      </c>
      <c r="F2270" s="46">
        <v>24.99</v>
      </c>
      <c r="G2270" s="46">
        <f t="shared" si="35"/>
        <v>24.99</v>
      </c>
      <c r="H2270" s="47" t="s">
        <v>24</v>
      </c>
      <c r="I2270" s="47" t="s">
        <v>58</v>
      </c>
      <c r="J2270" s="32"/>
    </row>
    <row r="2271" spans="1:10" x14ac:dyDescent="0.2">
      <c r="A2271" s="32"/>
      <c r="B2271" s="36" t="s">
        <v>3692</v>
      </c>
      <c r="C2271" s="37" t="s">
        <v>3669</v>
      </c>
      <c r="D2271" s="38" t="s">
        <v>2982</v>
      </c>
      <c r="E2271" s="39">
        <v>1</v>
      </c>
      <c r="F2271" s="40">
        <v>13.99</v>
      </c>
      <c r="G2271" s="40">
        <f t="shared" si="35"/>
        <v>13.99</v>
      </c>
      <c r="H2271" s="41" t="s">
        <v>24</v>
      </c>
      <c r="I2271" s="41" t="s">
        <v>58</v>
      </c>
      <c r="J2271" s="32"/>
    </row>
    <row r="2272" spans="1:10" x14ac:dyDescent="0.2">
      <c r="A2272" s="32"/>
      <c r="B2272" s="42" t="s">
        <v>3693</v>
      </c>
      <c r="C2272" s="43" t="s">
        <v>3669</v>
      </c>
      <c r="D2272" s="44" t="s">
        <v>1340</v>
      </c>
      <c r="E2272" s="45">
        <v>1</v>
      </c>
      <c r="F2272" s="46">
        <v>49.99</v>
      </c>
      <c r="G2272" s="46">
        <f t="shared" si="35"/>
        <v>49.99</v>
      </c>
      <c r="H2272" s="47" t="s">
        <v>24</v>
      </c>
      <c r="I2272" s="47" t="s">
        <v>58</v>
      </c>
      <c r="J2272" s="32"/>
    </row>
    <row r="2273" spans="1:10" x14ac:dyDescent="0.2">
      <c r="A2273" s="32"/>
      <c r="B2273" s="36" t="s">
        <v>3694</v>
      </c>
      <c r="C2273" s="37" t="s">
        <v>3669</v>
      </c>
      <c r="D2273" s="38" t="s">
        <v>2493</v>
      </c>
      <c r="E2273" s="39">
        <v>1</v>
      </c>
      <c r="F2273" s="40">
        <v>50.99</v>
      </c>
      <c r="G2273" s="40">
        <f t="shared" si="35"/>
        <v>50.99</v>
      </c>
      <c r="H2273" s="41" t="s">
        <v>24</v>
      </c>
      <c r="I2273" s="41" t="s">
        <v>58</v>
      </c>
      <c r="J2273" s="32"/>
    </row>
    <row r="2274" spans="1:10" x14ac:dyDescent="0.2">
      <c r="A2274" s="32"/>
      <c r="B2274" s="42" t="s">
        <v>3695</v>
      </c>
      <c r="C2274" s="43" t="s">
        <v>3669</v>
      </c>
      <c r="D2274" s="44" t="s">
        <v>2930</v>
      </c>
      <c r="E2274" s="45">
        <v>1</v>
      </c>
      <c r="F2274" s="46">
        <v>39.99</v>
      </c>
      <c r="G2274" s="46">
        <f t="shared" si="35"/>
        <v>39.99</v>
      </c>
      <c r="H2274" s="47" t="s">
        <v>24</v>
      </c>
      <c r="I2274" s="47" t="s">
        <v>58</v>
      </c>
      <c r="J2274" s="32"/>
    </row>
    <row r="2275" spans="1:10" x14ac:dyDescent="0.2">
      <c r="A2275" s="32"/>
      <c r="B2275" s="36" t="s">
        <v>3696</v>
      </c>
      <c r="C2275" s="37" t="s">
        <v>3669</v>
      </c>
      <c r="D2275" s="38" t="s">
        <v>3697</v>
      </c>
      <c r="E2275" s="39">
        <v>1</v>
      </c>
      <c r="F2275" s="40">
        <v>8.99</v>
      </c>
      <c r="G2275" s="40">
        <f t="shared" si="35"/>
        <v>8.99</v>
      </c>
      <c r="H2275" s="41" t="s">
        <v>24</v>
      </c>
      <c r="I2275" s="41" t="s">
        <v>58</v>
      </c>
      <c r="J2275" s="32"/>
    </row>
    <row r="2276" spans="1:10" x14ac:dyDescent="0.2">
      <c r="A2276" s="32"/>
      <c r="B2276" s="42" t="s">
        <v>3698</v>
      </c>
      <c r="C2276" s="43" t="s">
        <v>3669</v>
      </c>
      <c r="D2276" s="44" t="s">
        <v>3474</v>
      </c>
      <c r="E2276" s="45">
        <v>1</v>
      </c>
      <c r="F2276" s="46">
        <v>13.79</v>
      </c>
      <c r="G2276" s="46">
        <f t="shared" si="35"/>
        <v>13.79</v>
      </c>
      <c r="H2276" s="47" t="s">
        <v>24</v>
      </c>
      <c r="I2276" s="47" t="s">
        <v>58</v>
      </c>
      <c r="J2276" s="32"/>
    </row>
    <row r="2277" spans="1:10" x14ac:dyDescent="0.2">
      <c r="A2277" s="32"/>
      <c r="B2277" s="36" t="s">
        <v>3699</v>
      </c>
      <c r="C2277" s="37" t="s">
        <v>3669</v>
      </c>
      <c r="D2277" s="38" t="s">
        <v>2685</v>
      </c>
      <c r="E2277" s="39">
        <v>1</v>
      </c>
      <c r="F2277" s="40">
        <v>6.39</v>
      </c>
      <c r="G2277" s="40">
        <f t="shared" si="35"/>
        <v>6.39</v>
      </c>
      <c r="H2277" s="41" t="s">
        <v>24</v>
      </c>
      <c r="I2277" s="41" t="s">
        <v>58</v>
      </c>
      <c r="J2277" s="32"/>
    </row>
    <row r="2278" spans="1:10" x14ac:dyDescent="0.2">
      <c r="A2278" s="32"/>
      <c r="B2278" s="42" t="s">
        <v>3700</v>
      </c>
      <c r="C2278" s="43" t="s">
        <v>3669</v>
      </c>
      <c r="D2278" s="44" t="s">
        <v>2596</v>
      </c>
      <c r="E2278" s="45">
        <v>1</v>
      </c>
      <c r="F2278" s="46">
        <v>8.2899999999999991</v>
      </c>
      <c r="G2278" s="46">
        <f t="shared" si="35"/>
        <v>8.2899999999999991</v>
      </c>
      <c r="H2278" s="47" t="s">
        <v>24</v>
      </c>
      <c r="I2278" s="47" t="s">
        <v>58</v>
      </c>
      <c r="J2278" s="32"/>
    </row>
    <row r="2279" spans="1:10" x14ac:dyDescent="0.2">
      <c r="A2279" s="32"/>
      <c r="B2279" s="36" t="s">
        <v>3701</v>
      </c>
      <c r="C2279" s="37" t="s">
        <v>3669</v>
      </c>
      <c r="D2279" s="38" t="s">
        <v>2596</v>
      </c>
      <c r="E2279" s="39">
        <v>1</v>
      </c>
      <c r="F2279" s="40">
        <v>8.2899999999999991</v>
      </c>
      <c r="G2279" s="40">
        <f t="shared" si="35"/>
        <v>8.2899999999999991</v>
      </c>
      <c r="H2279" s="41" t="s">
        <v>24</v>
      </c>
      <c r="I2279" s="41" t="s">
        <v>58</v>
      </c>
      <c r="J2279" s="32"/>
    </row>
    <row r="2280" spans="1:10" x14ac:dyDescent="0.2">
      <c r="A2280" s="32"/>
      <c r="B2280" s="42" t="s">
        <v>3702</v>
      </c>
      <c r="C2280" s="43" t="s">
        <v>3669</v>
      </c>
      <c r="D2280" s="44" t="s">
        <v>2577</v>
      </c>
      <c r="E2280" s="45">
        <v>1</v>
      </c>
      <c r="F2280" s="46">
        <v>6.99</v>
      </c>
      <c r="G2280" s="46">
        <f t="shared" si="35"/>
        <v>6.99</v>
      </c>
      <c r="H2280" s="47" t="s">
        <v>24</v>
      </c>
      <c r="I2280" s="47" t="s">
        <v>58</v>
      </c>
      <c r="J2280" s="32"/>
    </row>
    <row r="2281" spans="1:10" x14ac:dyDescent="0.2">
      <c r="A2281" s="32"/>
      <c r="B2281" s="36" t="s">
        <v>3703</v>
      </c>
      <c r="C2281" s="37" t="s">
        <v>3669</v>
      </c>
      <c r="D2281" s="38" t="s">
        <v>2580</v>
      </c>
      <c r="E2281" s="39">
        <v>1</v>
      </c>
      <c r="F2281" s="40">
        <v>5.99</v>
      </c>
      <c r="G2281" s="40">
        <f t="shared" si="35"/>
        <v>5.99</v>
      </c>
      <c r="H2281" s="41" t="s">
        <v>24</v>
      </c>
      <c r="I2281" s="41" t="s">
        <v>58</v>
      </c>
      <c r="J2281" s="32"/>
    </row>
    <row r="2282" spans="1:10" x14ac:dyDescent="0.2">
      <c r="A2282" s="32"/>
      <c r="B2282" s="42" t="s">
        <v>3704</v>
      </c>
      <c r="C2282" s="43" t="s">
        <v>3669</v>
      </c>
      <c r="D2282" s="44" t="s">
        <v>3705</v>
      </c>
      <c r="E2282" s="45">
        <v>1</v>
      </c>
      <c r="F2282" s="46">
        <v>18.39</v>
      </c>
      <c r="G2282" s="46">
        <f t="shared" si="35"/>
        <v>18.39</v>
      </c>
      <c r="H2282" s="47" t="s">
        <v>24</v>
      </c>
      <c r="I2282" s="47" t="s">
        <v>58</v>
      </c>
      <c r="J2282" s="32"/>
    </row>
    <row r="2283" spans="1:10" x14ac:dyDescent="0.2">
      <c r="A2283" s="32"/>
      <c r="B2283" s="36" t="s">
        <v>3706</v>
      </c>
      <c r="C2283" s="37" t="s">
        <v>3669</v>
      </c>
      <c r="D2283" s="38" t="s">
        <v>1501</v>
      </c>
      <c r="E2283" s="39">
        <v>1</v>
      </c>
      <c r="F2283" s="40">
        <v>5.99</v>
      </c>
      <c r="G2283" s="40">
        <f t="shared" si="35"/>
        <v>5.99</v>
      </c>
      <c r="H2283" s="41" t="s">
        <v>24</v>
      </c>
      <c r="I2283" s="41" t="s">
        <v>58</v>
      </c>
      <c r="J2283" s="32"/>
    </row>
    <row r="2284" spans="1:10" x14ac:dyDescent="0.2">
      <c r="A2284" s="32"/>
      <c r="B2284" s="42" t="s">
        <v>3707</v>
      </c>
      <c r="C2284" s="43" t="s">
        <v>3669</v>
      </c>
      <c r="D2284" s="44" t="s">
        <v>1501</v>
      </c>
      <c r="E2284" s="45">
        <v>1</v>
      </c>
      <c r="F2284" s="46">
        <v>5.99</v>
      </c>
      <c r="G2284" s="46">
        <f t="shared" si="35"/>
        <v>5.99</v>
      </c>
      <c r="H2284" s="47" t="s">
        <v>24</v>
      </c>
      <c r="I2284" s="47" t="s">
        <v>58</v>
      </c>
      <c r="J2284" s="32"/>
    </row>
    <row r="2285" spans="1:10" x14ac:dyDescent="0.2">
      <c r="A2285" s="32"/>
      <c r="B2285" s="36" t="s">
        <v>3708</v>
      </c>
      <c r="C2285" s="37" t="s">
        <v>3669</v>
      </c>
      <c r="D2285" s="38" t="s">
        <v>3697</v>
      </c>
      <c r="E2285" s="39">
        <v>1</v>
      </c>
      <c r="F2285" s="40">
        <v>8.99</v>
      </c>
      <c r="G2285" s="40">
        <f t="shared" si="35"/>
        <v>8.99</v>
      </c>
      <c r="H2285" s="41" t="s">
        <v>24</v>
      </c>
      <c r="I2285" s="41" t="s">
        <v>58</v>
      </c>
      <c r="J2285" s="32"/>
    </row>
    <row r="2286" spans="1:10" x14ac:dyDescent="0.2">
      <c r="A2286" s="32"/>
      <c r="B2286" s="42" t="s">
        <v>3709</v>
      </c>
      <c r="C2286" s="43" t="s">
        <v>3669</v>
      </c>
      <c r="D2286" s="44" t="s">
        <v>1676</v>
      </c>
      <c r="E2286" s="45">
        <v>1</v>
      </c>
      <c r="F2286" s="46">
        <v>22.99</v>
      </c>
      <c r="G2286" s="46">
        <f t="shared" si="35"/>
        <v>22.99</v>
      </c>
      <c r="H2286" s="47" t="s">
        <v>24</v>
      </c>
      <c r="I2286" s="47" t="s">
        <v>58</v>
      </c>
      <c r="J2286" s="32"/>
    </row>
    <row r="2287" spans="1:10" x14ac:dyDescent="0.2">
      <c r="A2287" s="32"/>
      <c r="B2287" s="36" t="s">
        <v>3710</v>
      </c>
      <c r="C2287" s="37" t="s">
        <v>3669</v>
      </c>
      <c r="D2287" s="38" t="s">
        <v>3711</v>
      </c>
      <c r="E2287" s="39">
        <v>1</v>
      </c>
      <c r="F2287" s="40">
        <v>21.49</v>
      </c>
      <c r="G2287" s="40">
        <f t="shared" si="35"/>
        <v>21.49</v>
      </c>
      <c r="H2287" s="41" t="s">
        <v>24</v>
      </c>
      <c r="I2287" s="41" t="s">
        <v>58</v>
      </c>
      <c r="J2287" s="32"/>
    </row>
    <row r="2288" spans="1:10" x14ac:dyDescent="0.2">
      <c r="A2288" s="32"/>
      <c r="B2288" s="42" t="s">
        <v>3712</v>
      </c>
      <c r="C2288" s="43" t="s">
        <v>3669</v>
      </c>
      <c r="D2288" s="44" t="s">
        <v>3713</v>
      </c>
      <c r="E2288" s="45">
        <v>1</v>
      </c>
      <c r="F2288" s="46">
        <v>13.79</v>
      </c>
      <c r="G2288" s="46">
        <f t="shared" si="35"/>
        <v>13.79</v>
      </c>
      <c r="H2288" s="47" t="s">
        <v>24</v>
      </c>
      <c r="I2288" s="47" t="s">
        <v>58</v>
      </c>
      <c r="J2288" s="32"/>
    </row>
    <row r="2289" spans="1:10" x14ac:dyDescent="0.2">
      <c r="A2289" s="32"/>
      <c r="B2289" s="36" t="s">
        <v>3714</v>
      </c>
      <c r="C2289" s="37" t="s">
        <v>3669</v>
      </c>
      <c r="D2289" s="38" t="s">
        <v>3090</v>
      </c>
      <c r="E2289" s="39">
        <v>1</v>
      </c>
      <c r="F2289" s="40">
        <v>8.49</v>
      </c>
      <c r="G2289" s="40">
        <f t="shared" si="35"/>
        <v>8.49</v>
      </c>
      <c r="H2289" s="41" t="s">
        <v>24</v>
      </c>
      <c r="I2289" s="41" t="s">
        <v>58</v>
      </c>
      <c r="J2289" s="32"/>
    </row>
    <row r="2290" spans="1:10" x14ac:dyDescent="0.2">
      <c r="A2290" s="32"/>
      <c r="B2290" s="42" t="s">
        <v>3715</v>
      </c>
      <c r="C2290" s="43" t="s">
        <v>3669</v>
      </c>
      <c r="D2290" s="44" t="s">
        <v>1478</v>
      </c>
      <c r="E2290" s="45">
        <v>1</v>
      </c>
      <c r="F2290" s="46">
        <v>4.59</v>
      </c>
      <c r="G2290" s="46">
        <f t="shared" si="35"/>
        <v>4.59</v>
      </c>
      <c r="H2290" s="47" t="s">
        <v>24</v>
      </c>
      <c r="I2290" s="47" t="s">
        <v>58</v>
      </c>
      <c r="J2290" s="32"/>
    </row>
    <row r="2291" spans="1:10" x14ac:dyDescent="0.2">
      <c r="A2291" s="32"/>
      <c r="B2291" s="36" t="s">
        <v>3716</v>
      </c>
      <c r="C2291" s="37" t="s">
        <v>3669</v>
      </c>
      <c r="D2291" s="38" t="s">
        <v>2803</v>
      </c>
      <c r="E2291" s="39">
        <v>1</v>
      </c>
      <c r="F2291" s="40">
        <v>6.29</v>
      </c>
      <c r="G2291" s="40">
        <f t="shared" si="35"/>
        <v>6.29</v>
      </c>
      <c r="H2291" s="41" t="s">
        <v>24</v>
      </c>
      <c r="I2291" s="41" t="s">
        <v>58</v>
      </c>
      <c r="J2291" s="32"/>
    </row>
    <row r="2292" spans="1:10" x14ac:dyDescent="0.2">
      <c r="A2292" s="32"/>
      <c r="B2292" s="42" t="s">
        <v>3717</v>
      </c>
      <c r="C2292" s="43" t="s">
        <v>3669</v>
      </c>
      <c r="D2292" s="44" t="s">
        <v>2801</v>
      </c>
      <c r="E2292" s="45">
        <v>1</v>
      </c>
      <c r="F2292" s="46">
        <v>6.29</v>
      </c>
      <c r="G2292" s="46">
        <f t="shared" si="35"/>
        <v>6.29</v>
      </c>
      <c r="H2292" s="47" t="s">
        <v>24</v>
      </c>
      <c r="I2292" s="47" t="s">
        <v>58</v>
      </c>
      <c r="J2292" s="32"/>
    </row>
    <row r="2293" spans="1:10" x14ac:dyDescent="0.2">
      <c r="A2293" s="32"/>
      <c r="B2293" s="36" t="s">
        <v>3718</v>
      </c>
      <c r="C2293" s="37" t="s">
        <v>3669</v>
      </c>
      <c r="D2293" s="38" t="s">
        <v>2497</v>
      </c>
      <c r="E2293" s="39">
        <v>1</v>
      </c>
      <c r="F2293" s="40">
        <v>10.89</v>
      </c>
      <c r="G2293" s="40">
        <f t="shared" si="35"/>
        <v>10.89</v>
      </c>
      <c r="H2293" s="41" t="s">
        <v>24</v>
      </c>
      <c r="I2293" s="41" t="s">
        <v>58</v>
      </c>
      <c r="J2293" s="32"/>
    </row>
    <row r="2294" spans="1:10" x14ac:dyDescent="0.2">
      <c r="A2294" s="32"/>
      <c r="B2294" s="42" t="s">
        <v>3719</v>
      </c>
      <c r="C2294" s="43" t="s">
        <v>3669</v>
      </c>
      <c r="D2294" s="44" t="s">
        <v>2497</v>
      </c>
      <c r="E2294" s="45">
        <v>1</v>
      </c>
      <c r="F2294" s="46">
        <v>10.89</v>
      </c>
      <c r="G2294" s="46">
        <f t="shared" si="35"/>
        <v>10.89</v>
      </c>
      <c r="H2294" s="47" t="s">
        <v>24</v>
      </c>
      <c r="I2294" s="47" t="s">
        <v>58</v>
      </c>
      <c r="J2294" s="32"/>
    </row>
    <row r="2295" spans="1:10" x14ac:dyDescent="0.2">
      <c r="A2295" s="32"/>
      <c r="B2295" s="36" t="s">
        <v>3720</v>
      </c>
      <c r="C2295" s="37" t="s">
        <v>3669</v>
      </c>
      <c r="D2295" s="38" t="s">
        <v>3721</v>
      </c>
      <c r="E2295" s="39">
        <v>1</v>
      </c>
      <c r="F2295" s="40">
        <v>3.39</v>
      </c>
      <c r="G2295" s="40">
        <f t="shared" si="35"/>
        <v>3.39</v>
      </c>
      <c r="H2295" s="41" t="s">
        <v>24</v>
      </c>
      <c r="I2295" s="41" t="s">
        <v>58</v>
      </c>
      <c r="J2295" s="32"/>
    </row>
    <row r="2296" spans="1:10" x14ac:dyDescent="0.2">
      <c r="A2296" s="32"/>
      <c r="B2296" s="42" t="s">
        <v>3722</v>
      </c>
      <c r="C2296" s="43" t="s">
        <v>3669</v>
      </c>
      <c r="D2296" s="44" t="s">
        <v>2849</v>
      </c>
      <c r="E2296" s="45">
        <v>1</v>
      </c>
      <c r="F2296" s="46">
        <v>3.39</v>
      </c>
      <c r="G2296" s="46">
        <f t="shared" si="35"/>
        <v>3.39</v>
      </c>
      <c r="H2296" s="47" t="s">
        <v>24</v>
      </c>
      <c r="I2296" s="47" t="s">
        <v>58</v>
      </c>
      <c r="J2296" s="32"/>
    </row>
    <row r="2297" spans="1:10" x14ac:dyDescent="0.2">
      <c r="A2297" s="32"/>
      <c r="B2297" s="36" t="s">
        <v>3723</v>
      </c>
      <c r="C2297" s="37" t="s">
        <v>3669</v>
      </c>
      <c r="D2297" s="38" t="s">
        <v>3721</v>
      </c>
      <c r="E2297" s="39">
        <v>1</v>
      </c>
      <c r="F2297" s="40">
        <v>3.39</v>
      </c>
      <c r="G2297" s="40">
        <f t="shared" si="35"/>
        <v>3.39</v>
      </c>
      <c r="H2297" s="41" t="s">
        <v>24</v>
      </c>
      <c r="I2297" s="41" t="s">
        <v>58</v>
      </c>
      <c r="J2297" s="32"/>
    </row>
    <row r="2298" spans="1:10" x14ac:dyDescent="0.2">
      <c r="A2298" s="32"/>
      <c r="B2298" s="42" t="s">
        <v>3724</v>
      </c>
      <c r="C2298" s="43" t="s">
        <v>3669</v>
      </c>
      <c r="D2298" s="44" t="s">
        <v>3721</v>
      </c>
      <c r="E2298" s="45">
        <v>1</v>
      </c>
      <c r="F2298" s="46">
        <v>3.39</v>
      </c>
      <c r="G2298" s="46">
        <f t="shared" si="35"/>
        <v>3.39</v>
      </c>
      <c r="H2298" s="47" t="s">
        <v>24</v>
      </c>
      <c r="I2298" s="47" t="s">
        <v>58</v>
      </c>
      <c r="J2298" s="32"/>
    </row>
    <row r="2299" spans="1:10" x14ac:dyDescent="0.2">
      <c r="A2299" s="32"/>
      <c r="B2299" s="36" t="s">
        <v>3725</v>
      </c>
      <c r="C2299" s="37" t="s">
        <v>3669</v>
      </c>
      <c r="D2299" s="38" t="s">
        <v>3721</v>
      </c>
      <c r="E2299" s="39">
        <v>1</v>
      </c>
      <c r="F2299" s="40">
        <v>3.39</v>
      </c>
      <c r="G2299" s="40">
        <f t="shared" si="35"/>
        <v>3.39</v>
      </c>
      <c r="H2299" s="41" t="s">
        <v>24</v>
      </c>
      <c r="I2299" s="41" t="s">
        <v>58</v>
      </c>
      <c r="J2299" s="32"/>
    </row>
    <row r="2300" spans="1:10" x14ac:dyDescent="0.2">
      <c r="A2300" s="32"/>
      <c r="B2300" s="42" t="s">
        <v>3726</v>
      </c>
      <c r="C2300" s="43" t="s">
        <v>3669</v>
      </c>
      <c r="D2300" s="44" t="s">
        <v>2499</v>
      </c>
      <c r="E2300" s="45">
        <v>1</v>
      </c>
      <c r="F2300" s="46">
        <v>29.9</v>
      </c>
      <c r="G2300" s="46">
        <f t="shared" si="35"/>
        <v>29.9</v>
      </c>
      <c r="H2300" s="47" t="s">
        <v>24</v>
      </c>
      <c r="I2300" s="47" t="s">
        <v>58</v>
      </c>
      <c r="J2300" s="32"/>
    </row>
    <row r="2301" spans="1:10" x14ac:dyDescent="0.2">
      <c r="A2301" s="32"/>
      <c r="B2301" s="36" t="s">
        <v>3727</v>
      </c>
      <c r="C2301" s="37" t="s">
        <v>3669</v>
      </c>
      <c r="D2301" s="38" t="s">
        <v>2589</v>
      </c>
      <c r="E2301" s="39">
        <v>1</v>
      </c>
      <c r="F2301" s="40">
        <v>8.2899999999999991</v>
      </c>
      <c r="G2301" s="40">
        <f t="shared" si="35"/>
        <v>8.2899999999999991</v>
      </c>
      <c r="H2301" s="41" t="s">
        <v>24</v>
      </c>
      <c r="I2301" s="41" t="s">
        <v>58</v>
      </c>
      <c r="J2301" s="32"/>
    </row>
    <row r="2302" spans="1:10" x14ac:dyDescent="0.2">
      <c r="A2302" s="32"/>
      <c r="B2302" s="42" t="s">
        <v>3728</v>
      </c>
      <c r="C2302" s="43" t="s">
        <v>3669</v>
      </c>
      <c r="D2302" s="44" t="s">
        <v>3729</v>
      </c>
      <c r="E2302" s="45">
        <v>1</v>
      </c>
      <c r="F2302" s="46">
        <v>7.99</v>
      </c>
      <c r="G2302" s="46">
        <f t="shared" si="35"/>
        <v>7.99</v>
      </c>
      <c r="H2302" s="47" t="s">
        <v>24</v>
      </c>
      <c r="I2302" s="47" t="s">
        <v>58</v>
      </c>
      <c r="J2302" s="32"/>
    </row>
    <row r="2303" spans="1:10" x14ac:dyDescent="0.2">
      <c r="A2303" s="32"/>
      <c r="B2303" s="36" t="s">
        <v>3730</v>
      </c>
      <c r="C2303" s="37" t="s">
        <v>3669</v>
      </c>
      <c r="D2303" s="38" t="s">
        <v>1368</v>
      </c>
      <c r="E2303" s="39">
        <v>1</v>
      </c>
      <c r="F2303" s="40">
        <v>1.55</v>
      </c>
      <c r="G2303" s="40">
        <f t="shared" si="35"/>
        <v>1.55</v>
      </c>
      <c r="H2303" s="41" t="s">
        <v>24</v>
      </c>
      <c r="I2303" s="41" t="s">
        <v>58</v>
      </c>
      <c r="J2303" s="32"/>
    </row>
    <row r="2304" spans="1:10" x14ac:dyDescent="0.2">
      <c r="A2304" s="32"/>
      <c r="B2304" s="42" t="s">
        <v>3731</v>
      </c>
      <c r="C2304" s="43" t="s">
        <v>3669</v>
      </c>
      <c r="D2304" s="44" t="s">
        <v>3261</v>
      </c>
      <c r="E2304" s="45">
        <v>1</v>
      </c>
      <c r="F2304" s="46">
        <v>3.25</v>
      </c>
      <c r="G2304" s="46">
        <f t="shared" si="35"/>
        <v>3.25</v>
      </c>
      <c r="H2304" s="47" t="s">
        <v>24</v>
      </c>
      <c r="I2304" s="47" t="s">
        <v>58</v>
      </c>
      <c r="J2304" s="32"/>
    </row>
    <row r="2305" spans="1:10" x14ac:dyDescent="0.2">
      <c r="A2305" s="32"/>
      <c r="B2305" s="36" t="s">
        <v>3732</v>
      </c>
      <c r="C2305" s="37" t="s">
        <v>3669</v>
      </c>
      <c r="D2305" s="38" t="s">
        <v>39</v>
      </c>
      <c r="E2305" s="39">
        <v>1</v>
      </c>
      <c r="F2305" s="40">
        <v>16.989999999999998</v>
      </c>
      <c r="G2305" s="40">
        <f t="shared" si="35"/>
        <v>16.989999999999998</v>
      </c>
      <c r="H2305" s="41" t="s">
        <v>24</v>
      </c>
      <c r="I2305" s="41" t="s">
        <v>58</v>
      </c>
      <c r="J2305" s="32"/>
    </row>
    <row r="2306" spans="1:10" x14ac:dyDescent="0.2">
      <c r="A2306" s="32"/>
      <c r="B2306" s="42" t="s">
        <v>3733</v>
      </c>
      <c r="C2306" s="43" t="s">
        <v>3669</v>
      </c>
      <c r="D2306" s="44" t="s">
        <v>1370</v>
      </c>
      <c r="E2306" s="45">
        <v>1</v>
      </c>
      <c r="F2306" s="46">
        <v>2.19</v>
      </c>
      <c r="G2306" s="46">
        <f t="shared" si="35"/>
        <v>2.19</v>
      </c>
      <c r="H2306" s="47" t="s">
        <v>24</v>
      </c>
      <c r="I2306" s="47" t="s">
        <v>58</v>
      </c>
      <c r="J2306" s="32"/>
    </row>
    <row r="2307" spans="1:10" x14ac:dyDescent="0.2">
      <c r="A2307" s="32"/>
      <c r="B2307" s="36" t="s">
        <v>3734</v>
      </c>
      <c r="C2307" s="37" t="s">
        <v>3669</v>
      </c>
      <c r="D2307" s="38" t="s">
        <v>2624</v>
      </c>
      <c r="E2307" s="39">
        <v>1</v>
      </c>
      <c r="F2307" s="40">
        <v>64.989999999999995</v>
      </c>
      <c r="G2307" s="40">
        <f t="shared" si="35"/>
        <v>64.989999999999995</v>
      </c>
      <c r="H2307" s="41" t="s">
        <v>24</v>
      </c>
      <c r="I2307" s="41" t="s">
        <v>58</v>
      </c>
      <c r="J2307" s="32"/>
    </row>
    <row r="2308" spans="1:10" x14ac:dyDescent="0.2">
      <c r="A2308" s="32"/>
      <c r="B2308" s="42" t="s">
        <v>3735</v>
      </c>
      <c r="C2308" s="43" t="s">
        <v>3669</v>
      </c>
      <c r="D2308" s="44" t="s">
        <v>3736</v>
      </c>
      <c r="E2308" s="45">
        <v>1</v>
      </c>
      <c r="F2308" s="46">
        <v>19.989999999999998</v>
      </c>
      <c r="G2308" s="46">
        <f t="shared" si="35"/>
        <v>19.989999999999998</v>
      </c>
      <c r="H2308" s="47" t="s">
        <v>24</v>
      </c>
      <c r="I2308" s="47" t="s">
        <v>58</v>
      </c>
      <c r="J2308" s="32"/>
    </row>
    <row r="2309" spans="1:10" x14ac:dyDescent="0.2">
      <c r="A2309" s="32"/>
      <c r="B2309" s="36" t="s">
        <v>3737</v>
      </c>
      <c r="C2309" s="37" t="s">
        <v>3669</v>
      </c>
      <c r="D2309" s="38" t="s">
        <v>3738</v>
      </c>
      <c r="E2309" s="39">
        <v>1</v>
      </c>
      <c r="F2309" s="40">
        <v>15.99</v>
      </c>
      <c r="G2309" s="40">
        <f t="shared" ref="G2309:G2372" si="36">E2309*F2309</f>
        <v>15.99</v>
      </c>
      <c r="H2309" s="41" t="s">
        <v>24</v>
      </c>
      <c r="I2309" s="41" t="s">
        <v>58</v>
      </c>
      <c r="J2309" s="32"/>
    </row>
    <row r="2310" spans="1:10" x14ac:dyDescent="0.2">
      <c r="A2310" s="32"/>
      <c r="B2310" s="42" t="s">
        <v>3739</v>
      </c>
      <c r="C2310" s="43" t="s">
        <v>3669</v>
      </c>
      <c r="D2310" s="44" t="s">
        <v>40</v>
      </c>
      <c r="E2310" s="45">
        <v>1</v>
      </c>
      <c r="F2310" s="46">
        <v>12.99</v>
      </c>
      <c r="G2310" s="46">
        <f t="shared" si="36"/>
        <v>12.99</v>
      </c>
      <c r="H2310" s="47" t="s">
        <v>25</v>
      </c>
      <c r="I2310" s="47" t="s">
        <v>58</v>
      </c>
      <c r="J2310" s="32"/>
    </row>
    <row r="2311" spans="1:10" x14ac:dyDescent="0.2">
      <c r="A2311" s="32"/>
      <c r="B2311" s="36" t="s">
        <v>3740</v>
      </c>
      <c r="C2311" s="37" t="s">
        <v>3669</v>
      </c>
      <c r="D2311" s="38" t="s">
        <v>1387</v>
      </c>
      <c r="E2311" s="39">
        <v>1</v>
      </c>
      <c r="F2311" s="40">
        <v>26.99</v>
      </c>
      <c r="G2311" s="40">
        <f t="shared" si="36"/>
        <v>26.99</v>
      </c>
      <c r="H2311" s="41" t="s">
        <v>24</v>
      </c>
      <c r="I2311" s="41" t="s">
        <v>58</v>
      </c>
      <c r="J2311" s="32"/>
    </row>
    <row r="2312" spans="1:10" x14ac:dyDescent="0.2">
      <c r="A2312" s="32"/>
      <c r="B2312" s="42" t="s">
        <v>3741</v>
      </c>
      <c r="C2312" s="43" t="s">
        <v>3669</v>
      </c>
      <c r="D2312" s="44" t="s">
        <v>2333</v>
      </c>
      <c r="E2312" s="45">
        <v>1</v>
      </c>
      <c r="F2312" s="46">
        <v>14.99</v>
      </c>
      <c r="G2312" s="46">
        <f t="shared" si="36"/>
        <v>14.99</v>
      </c>
      <c r="H2312" s="47" t="s">
        <v>25</v>
      </c>
      <c r="I2312" s="47" t="s">
        <v>58</v>
      </c>
      <c r="J2312" s="32"/>
    </row>
    <row r="2313" spans="1:10" x14ac:dyDescent="0.2">
      <c r="A2313" s="32"/>
      <c r="B2313" s="36" t="s">
        <v>3742</v>
      </c>
      <c r="C2313" s="37" t="s">
        <v>3669</v>
      </c>
      <c r="D2313" s="38" t="s">
        <v>2722</v>
      </c>
      <c r="E2313" s="39">
        <v>1</v>
      </c>
      <c r="F2313" s="40">
        <v>15.99</v>
      </c>
      <c r="G2313" s="40">
        <f t="shared" si="36"/>
        <v>15.99</v>
      </c>
      <c r="H2313" s="41" t="s">
        <v>28</v>
      </c>
      <c r="I2313" s="41" t="s">
        <v>58</v>
      </c>
      <c r="J2313" s="32"/>
    </row>
    <row r="2314" spans="1:10" x14ac:dyDescent="0.2">
      <c r="A2314" s="32"/>
      <c r="B2314" s="42" t="s">
        <v>3743</v>
      </c>
      <c r="C2314" s="43" t="s">
        <v>3669</v>
      </c>
      <c r="D2314" s="44" t="s">
        <v>3744</v>
      </c>
      <c r="E2314" s="45">
        <v>1</v>
      </c>
      <c r="F2314" s="46">
        <v>31.69</v>
      </c>
      <c r="G2314" s="46">
        <f t="shared" si="36"/>
        <v>31.69</v>
      </c>
      <c r="H2314" s="47" t="s">
        <v>24</v>
      </c>
      <c r="I2314" s="47" t="s">
        <v>58</v>
      </c>
      <c r="J2314" s="32"/>
    </row>
    <row r="2315" spans="1:10" x14ac:dyDescent="0.2">
      <c r="A2315" s="32"/>
      <c r="B2315" s="36" t="s">
        <v>3745</v>
      </c>
      <c r="C2315" s="37" t="s">
        <v>3669</v>
      </c>
      <c r="D2315" s="38" t="s">
        <v>192</v>
      </c>
      <c r="E2315" s="39">
        <v>1</v>
      </c>
      <c r="F2315" s="40">
        <v>15.39</v>
      </c>
      <c r="G2315" s="40">
        <f t="shared" si="36"/>
        <v>15.39</v>
      </c>
      <c r="H2315" s="41" t="s">
        <v>24</v>
      </c>
      <c r="I2315" s="41" t="s">
        <v>58</v>
      </c>
      <c r="J2315" s="32"/>
    </row>
    <row r="2316" spans="1:10" x14ac:dyDescent="0.2">
      <c r="A2316" s="32"/>
      <c r="B2316" s="42" t="s">
        <v>3746</v>
      </c>
      <c r="C2316" s="43" t="s">
        <v>3747</v>
      </c>
      <c r="D2316" s="44" t="s">
        <v>735</v>
      </c>
      <c r="E2316" s="45">
        <v>1</v>
      </c>
      <c r="F2316" s="46">
        <v>5.99</v>
      </c>
      <c r="G2316" s="46">
        <f t="shared" si="36"/>
        <v>5.99</v>
      </c>
      <c r="H2316" s="47" t="s">
        <v>24</v>
      </c>
      <c r="I2316" s="47" t="s">
        <v>58</v>
      </c>
      <c r="J2316" s="32"/>
    </row>
    <row r="2317" spans="1:10" x14ac:dyDescent="0.2">
      <c r="A2317" s="32"/>
      <c r="B2317" s="36" t="s">
        <v>3748</v>
      </c>
      <c r="C2317" s="37" t="s">
        <v>3747</v>
      </c>
      <c r="D2317" s="38" t="s">
        <v>42</v>
      </c>
      <c r="E2317" s="39">
        <v>1</v>
      </c>
      <c r="F2317" s="40">
        <v>7.99</v>
      </c>
      <c r="G2317" s="40">
        <f t="shared" si="36"/>
        <v>7.99</v>
      </c>
      <c r="H2317" s="41" t="s">
        <v>24</v>
      </c>
      <c r="I2317" s="41" t="s">
        <v>58</v>
      </c>
      <c r="J2317" s="32"/>
    </row>
    <row r="2318" spans="1:10" x14ac:dyDescent="0.2">
      <c r="A2318" s="32"/>
      <c r="B2318" s="42" t="s">
        <v>3749</v>
      </c>
      <c r="C2318" s="43" t="s">
        <v>3747</v>
      </c>
      <c r="D2318" s="44" t="s">
        <v>735</v>
      </c>
      <c r="E2318" s="45">
        <v>1</v>
      </c>
      <c r="F2318" s="46">
        <v>5.99</v>
      </c>
      <c r="G2318" s="46">
        <f t="shared" si="36"/>
        <v>5.99</v>
      </c>
      <c r="H2318" s="47" t="s">
        <v>24</v>
      </c>
      <c r="I2318" s="47" t="s">
        <v>58</v>
      </c>
      <c r="J2318" s="32"/>
    </row>
    <row r="2319" spans="1:10" x14ac:dyDescent="0.2">
      <c r="A2319" s="32"/>
      <c r="B2319" s="36" t="s">
        <v>3750</v>
      </c>
      <c r="C2319" s="37" t="s">
        <v>3747</v>
      </c>
      <c r="D2319" s="38" t="s">
        <v>982</v>
      </c>
      <c r="E2319" s="39">
        <v>1</v>
      </c>
      <c r="F2319" s="40">
        <v>8.69</v>
      </c>
      <c r="G2319" s="40">
        <f t="shared" si="36"/>
        <v>8.69</v>
      </c>
      <c r="H2319" s="41" t="s">
        <v>24</v>
      </c>
      <c r="I2319" s="41" t="s">
        <v>58</v>
      </c>
      <c r="J2319" s="32"/>
    </row>
    <row r="2320" spans="1:10" x14ac:dyDescent="0.2">
      <c r="A2320" s="32"/>
      <c r="B2320" s="42" t="s">
        <v>3751</v>
      </c>
      <c r="C2320" s="43" t="s">
        <v>3747</v>
      </c>
      <c r="D2320" s="44" t="s">
        <v>2568</v>
      </c>
      <c r="E2320" s="45">
        <v>1</v>
      </c>
      <c r="F2320" s="46">
        <v>9.99</v>
      </c>
      <c r="G2320" s="46">
        <f t="shared" si="36"/>
        <v>9.99</v>
      </c>
      <c r="H2320" s="47" t="s">
        <v>24</v>
      </c>
      <c r="I2320" s="47" t="s">
        <v>58</v>
      </c>
      <c r="J2320" s="32"/>
    </row>
    <row r="2321" spans="1:10" x14ac:dyDescent="0.2">
      <c r="A2321" s="32"/>
      <c r="B2321" s="36" t="s">
        <v>3752</v>
      </c>
      <c r="C2321" s="37" t="s">
        <v>3747</v>
      </c>
      <c r="D2321" s="38" t="s">
        <v>2307</v>
      </c>
      <c r="E2321" s="39">
        <v>1</v>
      </c>
      <c r="F2321" s="40">
        <v>129.99</v>
      </c>
      <c r="G2321" s="40">
        <f t="shared" si="36"/>
        <v>129.99</v>
      </c>
      <c r="H2321" s="41" t="s">
        <v>24</v>
      </c>
      <c r="I2321" s="41" t="s">
        <v>58</v>
      </c>
      <c r="J2321" s="32"/>
    </row>
    <row r="2322" spans="1:10" x14ac:dyDescent="0.2">
      <c r="A2322" s="32"/>
      <c r="B2322" s="42" t="s">
        <v>3753</v>
      </c>
      <c r="C2322" s="43" t="s">
        <v>3747</v>
      </c>
      <c r="D2322" s="44" t="s">
        <v>3754</v>
      </c>
      <c r="E2322" s="45">
        <v>1</v>
      </c>
      <c r="F2322" s="46">
        <v>9.49</v>
      </c>
      <c r="G2322" s="46">
        <f t="shared" si="36"/>
        <v>9.49</v>
      </c>
      <c r="H2322" s="47" t="s">
        <v>24</v>
      </c>
      <c r="I2322" s="47" t="s">
        <v>58</v>
      </c>
      <c r="J2322" s="32"/>
    </row>
    <row r="2323" spans="1:10" x14ac:dyDescent="0.2">
      <c r="A2323" s="32"/>
      <c r="B2323" s="36" t="s">
        <v>3755</v>
      </c>
      <c r="C2323" s="37" t="s">
        <v>3747</v>
      </c>
      <c r="D2323" s="38" t="s">
        <v>2493</v>
      </c>
      <c r="E2323" s="39">
        <v>1</v>
      </c>
      <c r="F2323" s="40">
        <v>50.99</v>
      </c>
      <c r="G2323" s="40">
        <f t="shared" si="36"/>
        <v>50.99</v>
      </c>
      <c r="H2323" s="41" t="s">
        <v>24</v>
      </c>
      <c r="I2323" s="41" t="s">
        <v>58</v>
      </c>
      <c r="J2323" s="32"/>
    </row>
    <row r="2324" spans="1:10" x14ac:dyDescent="0.2">
      <c r="A2324" s="32"/>
      <c r="B2324" s="42" t="s">
        <v>3756</v>
      </c>
      <c r="C2324" s="43" t="s">
        <v>3747</v>
      </c>
      <c r="D2324" s="44" t="s">
        <v>2493</v>
      </c>
      <c r="E2324" s="45">
        <v>1</v>
      </c>
      <c r="F2324" s="46">
        <v>50.99</v>
      </c>
      <c r="G2324" s="46">
        <f t="shared" si="36"/>
        <v>50.99</v>
      </c>
      <c r="H2324" s="47" t="s">
        <v>24</v>
      </c>
      <c r="I2324" s="47" t="s">
        <v>58</v>
      </c>
      <c r="J2324" s="32"/>
    </row>
    <row r="2325" spans="1:10" x14ac:dyDescent="0.2">
      <c r="A2325" s="32"/>
      <c r="B2325" s="36" t="s">
        <v>3757</v>
      </c>
      <c r="C2325" s="37" t="s">
        <v>3747</v>
      </c>
      <c r="D2325" s="38" t="s">
        <v>2932</v>
      </c>
      <c r="E2325" s="39">
        <v>1</v>
      </c>
      <c r="F2325" s="40">
        <v>6.29</v>
      </c>
      <c r="G2325" s="40">
        <f t="shared" si="36"/>
        <v>6.29</v>
      </c>
      <c r="H2325" s="41" t="s">
        <v>24</v>
      </c>
      <c r="I2325" s="41" t="s">
        <v>58</v>
      </c>
      <c r="J2325" s="32"/>
    </row>
    <row r="2326" spans="1:10" x14ac:dyDescent="0.2">
      <c r="A2326" s="32"/>
      <c r="B2326" s="42" t="s">
        <v>3758</v>
      </c>
      <c r="C2326" s="43" t="s">
        <v>3747</v>
      </c>
      <c r="D2326" s="44" t="s">
        <v>3759</v>
      </c>
      <c r="E2326" s="45">
        <v>1</v>
      </c>
      <c r="F2326" s="46">
        <v>9.99</v>
      </c>
      <c r="G2326" s="46">
        <f t="shared" si="36"/>
        <v>9.99</v>
      </c>
      <c r="H2326" s="47" t="s">
        <v>24</v>
      </c>
      <c r="I2326" s="47" t="s">
        <v>58</v>
      </c>
      <c r="J2326" s="32"/>
    </row>
    <row r="2327" spans="1:10" x14ac:dyDescent="0.2">
      <c r="A2327" s="32"/>
      <c r="B2327" s="36" t="s">
        <v>3760</v>
      </c>
      <c r="C2327" s="37" t="s">
        <v>3747</v>
      </c>
      <c r="D2327" s="38" t="s">
        <v>3761</v>
      </c>
      <c r="E2327" s="39">
        <v>1</v>
      </c>
      <c r="F2327" s="40">
        <v>4.99</v>
      </c>
      <c r="G2327" s="40">
        <f t="shared" si="36"/>
        <v>4.99</v>
      </c>
      <c r="H2327" s="41" t="s">
        <v>24</v>
      </c>
      <c r="I2327" s="41" t="s">
        <v>58</v>
      </c>
      <c r="J2327" s="32"/>
    </row>
    <row r="2328" spans="1:10" x14ac:dyDescent="0.2">
      <c r="A2328" s="32"/>
      <c r="B2328" s="42" t="s">
        <v>3762</v>
      </c>
      <c r="C2328" s="43" t="s">
        <v>3747</v>
      </c>
      <c r="D2328" s="44" t="s">
        <v>3763</v>
      </c>
      <c r="E2328" s="45">
        <v>1</v>
      </c>
      <c r="F2328" s="46">
        <v>9.99</v>
      </c>
      <c r="G2328" s="46">
        <f t="shared" si="36"/>
        <v>9.99</v>
      </c>
      <c r="H2328" s="47" t="s">
        <v>24</v>
      </c>
      <c r="I2328" s="47" t="s">
        <v>58</v>
      </c>
      <c r="J2328" s="32"/>
    </row>
    <row r="2329" spans="1:10" x14ac:dyDescent="0.2">
      <c r="A2329" s="32"/>
      <c r="B2329" s="36" t="s">
        <v>3764</v>
      </c>
      <c r="C2329" s="37" t="s">
        <v>3747</v>
      </c>
      <c r="D2329" s="38" t="s">
        <v>1839</v>
      </c>
      <c r="E2329" s="39">
        <v>1</v>
      </c>
      <c r="F2329" s="40">
        <v>21.59</v>
      </c>
      <c r="G2329" s="40">
        <f t="shared" si="36"/>
        <v>21.59</v>
      </c>
      <c r="H2329" s="41" t="s">
        <v>24</v>
      </c>
      <c r="I2329" s="41" t="s">
        <v>58</v>
      </c>
      <c r="J2329" s="32"/>
    </row>
    <row r="2330" spans="1:10" x14ac:dyDescent="0.2">
      <c r="A2330" s="32"/>
      <c r="B2330" s="42" t="s">
        <v>3765</v>
      </c>
      <c r="C2330" s="43" t="s">
        <v>3747</v>
      </c>
      <c r="D2330" s="44" t="s">
        <v>3474</v>
      </c>
      <c r="E2330" s="45">
        <v>1</v>
      </c>
      <c r="F2330" s="46">
        <v>13.79</v>
      </c>
      <c r="G2330" s="46">
        <f t="shared" si="36"/>
        <v>13.79</v>
      </c>
      <c r="H2330" s="47" t="s">
        <v>24</v>
      </c>
      <c r="I2330" s="47" t="s">
        <v>58</v>
      </c>
      <c r="J2330" s="32"/>
    </row>
    <row r="2331" spans="1:10" x14ac:dyDescent="0.2">
      <c r="A2331" s="32"/>
      <c r="B2331" s="36" t="s">
        <v>3766</v>
      </c>
      <c r="C2331" s="37" t="s">
        <v>3747</v>
      </c>
      <c r="D2331" s="38" t="s">
        <v>3767</v>
      </c>
      <c r="E2331" s="39">
        <v>1</v>
      </c>
      <c r="F2331" s="40">
        <v>16.989999999999998</v>
      </c>
      <c r="G2331" s="40">
        <f t="shared" si="36"/>
        <v>16.989999999999998</v>
      </c>
      <c r="H2331" s="41" t="s">
        <v>24</v>
      </c>
      <c r="I2331" s="41" t="s">
        <v>58</v>
      </c>
      <c r="J2331" s="32"/>
    </row>
    <row r="2332" spans="1:10" x14ac:dyDescent="0.2">
      <c r="A2332" s="32"/>
      <c r="B2332" s="42" t="s">
        <v>3768</v>
      </c>
      <c r="C2332" s="43" t="s">
        <v>3747</v>
      </c>
      <c r="D2332" s="44" t="s">
        <v>3769</v>
      </c>
      <c r="E2332" s="45">
        <v>1</v>
      </c>
      <c r="F2332" s="46">
        <v>21.99</v>
      </c>
      <c r="G2332" s="46">
        <f t="shared" si="36"/>
        <v>21.99</v>
      </c>
      <c r="H2332" s="47" t="s">
        <v>24</v>
      </c>
      <c r="I2332" s="47" t="s">
        <v>58</v>
      </c>
      <c r="J2332" s="32"/>
    </row>
    <row r="2333" spans="1:10" x14ac:dyDescent="0.2">
      <c r="A2333" s="32"/>
      <c r="B2333" s="36" t="s">
        <v>3770</v>
      </c>
      <c r="C2333" s="37" t="s">
        <v>3747</v>
      </c>
      <c r="D2333" s="38" t="s">
        <v>3771</v>
      </c>
      <c r="E2333" s="39">
        <v>1</v>
      </c>
      <c r="F2333" s="40">
        <v>4.59</v>
      </c>
      <c r="G2333" s="40">
        <f t="shared" si="36"/>
        <v>4.59</v>
      </c>
      <c r="H2333" s="41" t="s">
        <v>24</v>
      </c>
      <c r="I2333" s="41" t="s">
        <v>58</v>
      </c>
      <c r="J2333" s="32"/>
    </row>
    <row r="2334" spans="1:10" x14ac:dyDescent="0.2">
      <c r="A2334" s="32"/>
      <c r="B2334" s="42" t="s">
        <v>3772</v>
      </c>
      <c r="C2334" s="43" t="s">
        <v>3747</v>
      </c>
      <c r="D2334" s="44" t="s">
        <v>3773</v>
      </c>
      <c r="E2334" s="45">
        <v>1</v>
      </c>
      <c r="F2334" s="46">
        <v>4.59</v>
      </c>
      <c r="G2334" s="46">
        <f t="shared" si="36"/>
        <v>4.59</v>
      </c>
      <c r="H2334" s="47" t="s">
        <v>24</v>
      </c>
      <c r="I2334" s="47" t="s">
        <v>58</v>
      </c>
      <c r="J2334" s="32"/>
    </row>
    <row r="2335" spans="1:10" x14ac:dyDescent="0.2">
      <c r="A2335" s="32"/>
      <c r="B2335" s="36" t="s">
        <v>3774</v>
      </c>
      <c r="C2335" s="37" t="s">
        <v>3747</v>
      </c>
      <c r="D2335" s="38" t="s">
        <v>2497</v>
      </c>
      <c r="E2335" s="39">
        <v>1</v>
      </c>
      <c r="F2335" s="40">
        <v>11.99</v>
      </c>
      <c r="G2335" s="40">
        <f t="shared" si="36"/>
        <v>11.99</v>
      </c>
      <c r="H2335" s="41" t="s">
        <v>24</v>
      </c>
      <c r="I2335" s="41" t="s">
        <v>58</v>
      </c>
      <c r="J2335" s="32"/>
    </row>
    <row r="2336" spans="1:10" x14ac:dyDescent="0.2">
      <c r="A2336" s="32"/>
      <c r="B2336" s="42" t="s">
        <v>3775</v>
      </c>
      <c r="C2336" s="43" t="s">
        <v>3747</v>
      </c>
      <c r="D2336" s="44" t="s">
        <v>2828</v>
      </c>
      <c r="E2336" s="45">
        <v>1</v>
      </c>
      <c r="F2336" s="46">
        <v>7.99</v>
      </c>
      <c r="G2336" s="46">
        <f t="shared" si="36"/>
        <v>7.99</v>
      </c>
      <c r="H2336" s="47" t="s">
        <v>24</v>
      </c>
      <c r="I2336" s="47" t="s">
        <v>58</v>
      </c>
      <c r="J2336" s="32"/>
    </row>
    <row r="2337" spans="1:10" x14ac:dyDescent="0.2">
      <c r="A2337" s="32"/>
      <c r="B2337" s="36" t="s">
        <v>3776</v>
      </c>
      <c r="C2337" s="37" t="s">
        <v>3747</v>
      </c>
      <c r="D2337" s="38" t="s">
        <v>3535</v>
      </c>
      <c r="E2337" s="39">
        <v>1</v>
      </c>
      <c r="F2337" s="40">
        <v>7.29</v>
      </c>
      <c r="G2337" s="40">
        <f t="shared" si="36"/>
        <v>7.29</v>
      </c>
      <c r="H2337" s="41" t="s">
        <v>24</v>
      </c>
      <c r="I2337" s="41" t="s">
        <v>58</v>
      </c>
      <c r="J2337" s="32"/>
    </row>
    <row r="2338" spans="1:10" x14ac:dyDescent="0.2">
      <c r="A2338" s="32"/>
      <c r="B2338" s="42" t="s">
        <v>3777</v>
      </c>
      <c r="C2338" s="43" t="s">
        <v>3747</v>
      </c>
      <c r="D2338" s="44" t="s">
        <v>607</v>
      </c>
      <c r="E2338" s="45">
        <v>1</v>
      </c>
      <c r="F2338" s="46">
        <v>7.59</v>
      </c>
      <c r="G2338" s="46">
        <f t="shared" si="36"/>
        <v>7.59</v>
      </c>
      <c r="H2338" s="47" t="s">
        <v>24</v>
      </c>
      <c r="I2338" s="47" t="s">
        <v>58</v>
      </c>
      <c r="J2338" s="32"/>
    </row>
    <row r="2339" spans="1:10" x14ac:dyDescent="0.2">
      <c r="A2339" s="32"/>
      <c r="B2339" s="36" t="s">
        <v>3778</v>
      </c>
      <c r="C2339" s="37" t="s">
        <v>3747</v>
      </c>
      <c r="D2339" s="38" t="s">
        <v>3184</v>
      </c>
      <c r="E2339" s="39">
        <v>1</v>
      </c>
      <c r="F2339" s="40">
        <v>4.8899999999999997</v>
      </c>
      <c r="G2339" s="40">
        <f t="shared" si="36"/>
        <v>4.8899999999999997</v>
      </c>
      <c r="H2339" s="41" t="s">
        <v>24</v>
      </c>
      <c r="I2339" s="41" t="s">
        <v>58</v>
      </c>
      <c r="J2339" s="32"/>
    </row>
    <row r="2340" spans="1:10" x14ac:dyDescent="0.2">
      <c r="A2340" s="32"/>
      <c r="B2340" s="42" t="s">
        <v>3779</v>
      </c>
      <c r="C2340" s="43" t="s">
        <v>3747</v>
      </c>
      <c r="D2340" s="44" t="s">
        <v>2688</v>
      </c>
      <c r="E2340" s="45">
        <v>1</v>
      </c>
      <c r="F2340" s="46">
        <v>9.2899999999999991</v>
      </c>
      <c r="G2340" s="46">
        <f t="shared" si="36"/>
        <v>9.2899999999999991</v>
      </c>
      <c r="H2340" s="47" t="s">
        <v>24</v>
      </c>
      <c r="I2340" s="47" t="s">
        <v>58</v>
      </c>
      <c r="J2340" s="32"/>
    </row>
    <row r="2341" spans="1:10" x14ac:dyDescent="0.2">
      <c r="A2341" s="32"/>
      <c r="B2341" s="36" t="s">
        <v>3780</v>
      </c>
      <c r="C2341" s="37" t="s">
        <v>3747</v>
      </c>
      <c r="D2341" s="38" t="s">
        <v>3781</v>
      </c>
      <c r="E2341" s="39">
        <v>1</v>
      </c>
      <c r="F2341" s="40">
        <v>7.59</v>
      </c>
      <c r="G2341" s="40">
        <f t="shared" si="36"/>
        <v>7.59</v>
      </c>
      <c r="H2341" s="41" t="s">
        <v>24</v>
      </c>
      <c r="I2341" s="41" t="s">
        <v>58</v>
      </c>
      <c r="J2341" s="32"/>
    </row>
    <row r="2342" spans="1:10" x14ac:dyDescent="0.2">
      <c r="A2342" s="32"/>
      <c r="B2342" s="42" t="s">
        <v>3782</v>
      </c>
      <c r="C2342" s="43" t="s">
        <v>3747</v>
      </c>
      <c r="D2342" s="44" t="s">
        <v>834</v>
      </c>
      <c r="E2342" s="45">
        <v>1</v>
      </c>
      <c r="F2342" s="46">
        <v>4.9800000000000004</v>
      </c>
      <c r="G2342" s="46">
        <f t="shared" si="36"/>
        <v>4.9800000000000004</v>
      </c>
      <c r="H2342" s="47" t="s">
        <v>25</v>
      </c>
      <c r="I2342" s="47" t="s">
        <v>58</v>
      </c>
      <c r="J2342" s="32"/>
    </row>
    <row r="2343" spans="1:10" x14ac:dyDescent="0.2">
      <c r="A2343" s="32"/>
      <c r="B2343" s="36" t="s">
        <v>3783</v>
      </c>
      <c r="C2343" s="37" t="s">
        <v>3747</v>
      </c>
      <c r="D2343" s="38" t="s">
        <v>1712</v>
      </c>
      <c r="E2343" s="39">
        <v>1</v>
      </c>
      <c r="F2343" s="40">
        <v>12.99</v>
      </c>
      <c r="G2343" s="40">
        <f t="shared" si="36"/>
        <v>12.99</v>
      </c>
      <c r="H2343" s="41" t="s">
        <v>25</v>
      </c>
      <c r="I2343" s="41" t="s">
        <v>58</v>
      </c>
      <c r="J2343" s="32"/>
    </row>
    <row r="2344" spans="1:10" x14ac:dyDescent="0.2">
      <c r="A2344" s="32"/>
      <c r="B2344" s="42" t="s">
        <v>3784</v>
      </c>
      <c r="C2344" s="43" t="s">
        <v>3747</v>
      </c>
      <c r="D2344" s="44" t="s">
        <v>3672</v>
      </c>
      <c r="E2344" s="45">
        <v>1</v>
      </c>
      <c r="F2344" s="46">
        <v>18.989999999999998</v>
      </c>
      <c r="G2344" s="46">
        <f t="shared" si="36"/>
        <v>18.989999999999998</v>
      </c>
      <c r="H2344" s="47" t="s">
        <v>24</v>
      </c>
      <c r="I2344" s="47" t="s">
        <v>58</v>
      </c>
      <c r="J2344" s="32"/>
    </row>
    <row r="2345" spans="1:10" x14ac:dyDescent="0.2">
      <c r="A2345" s="32"/>
      <c r="B2345" s="36" t="s">
        <v>3785</v>
      </c>
      <c r="C2345" s="37" t="s">
        <v>3747</v>
      </c>
      <c r="D2345" s="38" t="s">
        <v>3786</v>
      </c>
      <c r="E2345" s="39">
        <v>1</v>
      </c>
      <c r="F2345" s="40">
        <v>18.989999999999998</v>
      </c>
      <c r="G2345" s="40">
        <f t="shared" si="36"/>
        <v>18.989999999999998</v>
      </c>
      <c r="H2345" s="41" t="s">
        <v>24</v>
      </c>
      <c r="I2345" s="41" t="s">
        <v>58</v>
      </c>
      <c r="J2345" s="32"/>
    </row>
    <row r="2346" spans="1:10" x14ac:dyDescent="0.2">
      <c r="A2346" s="32"/>
      <c r="B2346" s="42" t="s">
        <v>3787</v>
      </c>
      <c r="C2346" s="43" t="s">
        <v>3747</v>
      </c>
      <c r="D2346" s="44" t="s">
        <v>3788</v>
      </c>
      <c r="E2346" s="45">
        <v>1</v>
      </c>
      <c r="F2346" s="46">
        <v>18.989999999999998</v>
      </c>
      <c r="G2346" s="46">
        <f t="shared" si="36"/>
        <v>18.989999999999998</v>
      </c>
      <c r="H2346" s="47" t="s">
        <v>24</v>
      </c>
      <c r="I2346" s="47" t="s">
        <v>58</v>
      </c>
      <c r="J2346" s="32"/>
    </row>
    <row r="2347" spans="1:10" x14ac:dyDescent="0.2">
      <c r="A2347" s="32"/>
      <c r="B2347" s="36" t="s">
        <v>3789</v>
      </c>
      <c r="C2347" s="37" t="s">
        <v>3747</v>
      </c>
      <c r="D2347" s="38" t="s">
        <v>3786</v>
      </c>
      <c r="E2347" s="39">
        <v>1</v>
      </c>
      <c r="F2347" s="40">
        <v>18.989999999999998</v>
      </c>
      <c r="G2347" s="40">
        <f t="shared" si="36"/>
        <v>18.989999999999998</v>
      </c>
      <c r="H2347" s="41" t="s">
        <v>24</v>
      </c>
      <c r="I2347" s="41" t="s">
        <v>58</v>
      </c>
      <c r="J2347" s="32"/>
    </row>
    <row r="2348" spans="1:10" x14ac:dyDescent="0.2">
      <c r="A2348" s="32"/>
      <c r="B2348" s="42" t="s">
        <v>3790</v>
      </c>
      <c r="C2348" s="43" t="s">
        <v>3747</v>
      </c>
      <c r="D2348" s="44" t="s">
        <v>3791</v>
      </c>
      <c r="E2348" s="45">
        <v>1</v>
      </c>
      <c r="F2348" s="46">
        <v>16.989999999999998</v>
      </c>
      <c r="G2348" s="46">
        <f t="shared" si="36"/>
        <v>16.989999999999998</v>
      </c>
      <c r="H2348" s="47" t="s">
        <v>25</v>
      </c>
      <c r="I2348" s="47" t="s">
        <v>58</v>
      </c>
      <c r="J2348" s="32"/>
    </row>
    <row r="2349" spans="1:10" x14ac:dyDescent="0.2">
      <c r="A2349" s="32"/>
      <c r="B2349" s="36" t="s">
        <v>3792</v>
      </c>
      <c r="C2349" s="37" t="s">
        <v>3747</v>
      </c>
      <c r="D2349" s="38" t="s">
        <v>3793</v>
      </c>
      <c r="E2349" s="39">
        <v>1</v>
      </c>
      <c r="F2349" s="40">
        <v>27.89</v>
      </c>
      <c r="G2349" s="40">
        <f t="shared" si="36"/>
        <v>27.89</v>
      </c>
      <c r="H2349" s="41" t="s">
        <v>24</v>
      </c>
      <c r="I2349" s="41" t="s">
        <v>58</v>
      </c>
      <c r="J2349" s="32"/>
    </row>
    <row r="2350" spans="1:10" x14ac:dyDescent="0.2">
      <c r="A2350" s="32"/>
      <c r="B2350" s="42" t="s">
        <v>3794</v>
      </c>
      <c r="C2350" s="43" t="s">
        <v>3747</v>
      </c>
      <c r="D2350" s="44" t="s">
        <v>3795</v>
      </c>
      <c r="E2350" s="45">
        <v>1</v>
      </c>
      <c r="F2350" s="46">
        <v>18.59</v>
      </c>
      <c r="G2350" s="46">
        <f t="shared" si="36"/>
        <v>18.59</v>
      </c>
      <c r="H2350" s="47" t="s">
        <v>24</v>
      </c>
      <c r="I2350" s="47" t="s">
        <v>58</v>
      </c>
      <c r="J2350" s="32"/>
    </row>
    <row r="2351" spans="1:10" x14ac:dyDescent="0.2">
      <c r="A2351" s="32"/>
      <c r="B2351" s="36" t="s">
        <v>3796</v>
      </c>
      <c r="C2351" s="37" t="s">
        <v>3747</v>
      </c>
      <c r="D2351" s="38" t="s">
        <v>1871</v>
      </c>
      <c r="E2351" s="39">
        <v>1</v>
      </c>
      <c r="F2351" s="40">
        <v>5.59</v>
      </c>
      <c r="G2351" s="40">
        <f t="shared" si="36"/>
        <v>5.59</v>
      </c>
      <c r="H2351" s="41" t="s">
        <v>24</v>
      </c>
      <c r="I2351" s="41" t="s">
        <v>58</v>
      </c>
      <c r="J2351" s="32"/>
    </row>
    <row r="2352" spans="1:10" x14ac:dyDescent="0.2">
      <c r="A2352" s="32"/>
      <c r="B2352" s="42" t="s">
        <v>3797</v>
      </c>
      <c r="C2352" s="43" t="s">
        <v>3747</v>
      </c>
      <c r="D2352" s="44" t="s">
        <v>1871</v>
      </c>
      <c r="E2352" s="45">
        <v>1</v>
      </c>
      <c r="F2352" s="46">
        <v>5.59</v>
      </c>
      <c r="G2352" s="46">
        <f t="shared" si="36"/>
        <v>5.59</v>
      </c>
      <c r="H2352" s="47" t="s">
        <v>24</v>
      </c>
      <c r="I2352" s="47" t="s">
        <v>58</v>
      </c>
      <c r="J2352" s="32"/>
    </row>
    <row r="2353" spans="1:10" x14ac:dyDescent="0.2">
      <c r="A2353" s="32"/>
      <c r="B2353" s="36" t="s">
        <v>3798</v>
      </c>
      <c r="C2353" s="37" t="s">
        <v>3747</v>
      </c>
      <c r="D2353" s="38" t="s">
        <v>1871</v>
      </c>
      <c r="E2353" s="39">
        <v>1</v>
      </c>
      <c r="F2353" s="40">
        <v>5.59</v>
      </c>
      <c r="G2353" s="40">
        <f t="shared" si="36"/>
        <v>5.59</v>
      </c>
      <c r="H2353" s="41" t="s">
        <v>24</v>
      </c>
      <c r="I2353" s="41" t="s">
        <v>58</v>
      </c>
      <c r="J2353" s="32"/>
    </row>
    <row r="2354" spans="1:10" x14ac:dyDescent="0.2">
      <c r="A2354" s="32"/>
      <c r="B2354" s="42" t="s">
        <v>3799</v>
      </c>
      <c r="C2354" s="43" t="s">
        <v>3747</v>
      </c>
      <c r="D2354" s="44" t="s">
        <v>3800</v>
      </c>
      <c r="E2354" s="45">
        <v>1</v>
      </c>
      <c r="F2354" s="46">
        <v>16.39</v>
      </c>
      <c r="G2354" s="46">
        <f t="shared" si="36"/>
        <v>16.39</v>
      </c>
      <c r="H2354" s="47" t="s">
        <v>24</v>
      </c>
      <c r="I2354" s="47" t="s">
        <v>58</v>
      </c>
      <c r="J2354" s="32"/>
    </row>
    <row r="2355" spans="1:10" x14ac:dyDescent="0.2">
      <c r="A2355" s="32"/>
      <c r="B2355" s="36" t="s">
        <v>3801</v>
      </c>
      <c r="C2355" s="37" t="s">
        <v>3747</v>
      </c>
      <c r="D2355" s="38" t="s">
        <v>2333</v>
      </c>
      <c r="E2355" s="39">
        <v>1</v>
      </c>
      <c r="F2355" s="40">
        <v>15.99</v>
      </c>
      <c r="G2355" s="40">
        <f t="shared" si="36"/>
        <v>15.99</v>
      </c>
      <c r="H2355" s="41" t="s">
        <v>25</v>
      </c>
      <c r="I2355" s="41" t="s">
        <v>58</v>
      </c>
      <c r="J2355" s="32"/>
    </row>
    <row r="2356" spans="1:10" x14ac:dyDescent="0.2">
      <c r="A2356" s="32"/>
      <c r="B2356" s="42" t="s">
        <v>3802</v>
      </c>
      <c r="C2356" s="43" t="s">
        <v>3747</v>
      </c>
      <c r="D2356" s="44" t="s">
        <v>3803</v>
      </c>
      <c r="E2356" s="45">
        <v>1</v>
      </c>
      <c r="F2356" s="46">
        <v>24.99</v>
      </c>
      <c r="G2356" s="46">
        <f t="shared" si="36"/>
        <v>24.99</v>
      </c>
      <c r="H2356" s="47" t="s">
        <v>24</v>
      </c>
      <c r="I2356" s="47" t="s">
        <v>58</v>
      </c>
      <c r="J2356" s="32"/>
    </row>
    <row r="2357" spans="1:10" x14ac:dyDescent="0.2">
      <c r="A2357" s="32"/>
      <c r="B2357" s="36" t="s">
        <v>3804</v>
      </c>
      <c r="C2357" s="37" t="s">
        <v>3747</v>
      </c>
      <c r="D2357" s="38" t="s">
        <v>1463</v>
      </c>
      <c r="E2357" s="39">
        <v>1</v>
      </c>
      <c r="F2357" s="40">
        <v>5.99</v>
      </c>
      <c r="G2357" s="40">
        <f t="shared" si="36"/>
        <v>5.99</v>
      </c>
      <c r="H2357" s="41" t="s">
        <v>24</v>
      </c>
      <c r="I2357" s="41" t="s">
        <v>58</v>
      </c>
      <c r="J2357" s="32"/>
    </row>
    <row r="2358" spans="1:10" x14ac:dyDescent="0.2">
      <c r="A2358" s="32"/>
      <c r="B2358" s="42" t="s">
        <v>3805</v>
      </c>
      <c r="C2358" s="43" t="s">
        <v>3747</v>
      </c>
      <c r="D2358" s="44" t="s">
        <v>3806</v>
      </c>
      <c r="E2358" s="45">
        <v>1</v>
      </c>
      <c r="F2358" s="46">
        <v>2.23</v>
      </c>
      <c r="G2358" s="46">
        <f t="shared" si="36"/>
        <v>2.23</v>
      </c>
      <c r="H2358" s="47" t="s">
        <v>24</v>
      </c>
      <c r="I2358" s="47" t="s">
        <v>58</v>
      </c>
      <c r="J2358" s="32"/>
    </row>
    <row r="2359" spans="1:10" x14ac:dyDescent="0.2">
      <c r="A2359" s="32"/>
      <c r="B2359" s="36" t="s">
        <v>3807</v>
      </c>
      <c r="C2359" s="37" t="s">
        <v>3747</v>
      </c>
      <c r="D2359" s="38" t="s">
        <v>834</v>
      </c>
      <c r="E2359" s="39">
        <v>1</v>
      </c>
      <c r="F2359" s="40">
        <v>4.9800000000000004</v>
      </c>
      <c r="G2359" s="40">
        <f t="shared" si="36"/>
        <v>4.9800000000000004</v>
      </c>
      <c r="H2359" s="41" t="s">
        <v>25</v>
      </c>
      <c r="I2359" s="41" t="s">
        <v>58</v>
      </c>
      <c r="J2359" s="32"/>
    </row>
    <row r="2360" spans="1:10" x14ac:dyDescent="0.2">
      <c r="A2360" s="32"/>
      <c r="B2360" s="42" t="s">
        <v>3808</v>
      </c>
      <c r="C2360" s="43" t="s">
        <v>3747</v>
      </c>
      <c r="D2360" s="44" t="s">
        <v>633</v>
      </c>
      <c r="E2360" s="45">
        <v>1</v>
      </c>
      <c r="F2360" s="46">
        <v>4.99</v>
      </c>
      <c r="G2360" s="46">
        <f t="shared" si="36"/>
        <v>4.99</v>
      </c>
      <c r="H2360" s="47" t="s">
        <v>28</v>
      </c>
      <c r="I2360" s="47" t="s">
        <v>58</v>
      </c>
      <c r="J2360" s="32"/>
    </row>
    <row r="2361" spans="1:10" x14ac:dyDescent="0.2">
      <c r="A2361" s="32"/>
      <c r="B2361" s="36" t="s">
        <v>3809</v>
      </c>
      <c r="C2361" s="37" t="s">
        <v>3747</v>
      </c>
      <c r="D2361" s="38" t="s">
        <v>1896</v>
      </c>
      <c r="E2361" s="39">
        <v>1</v>
      </c>
      <c r="F2361" s="40">
        <v>4.79</v>
      </c>
      <c r="G2361" s="40">
        <f t="shared" si="36"/>
        <v>4.79</v>
      </c>
      <c r="H2361" s="41" t="s">
        <v>24</v>
      </c>
      <c r="I2361" s="41" t="s">
        <v>58</v>
      </c>
      <c r="J2361" s="32"/>
    </row>
    <row r="2362" spans="1:10" x14ac:dyDescent="0.2">
      <c r="A2362" s="32"/>
      <c r="B2362" s="42" t="s">
        <v>3810</v>
      </c>
      <c r="C2362" s="43" t="s">
        <v>3747</v>
      </c>
      <c r="D2362" s="44" t="s">
        <v>1955</v>
      </c>
      <c r="E2362" s="45">
        <v>1</v>
      </c>
      <c r="F2362" s="46">
        <v>23.79</v>
      </c>
      <c r="G2362" s="46">
        <f t="shared" si="36"/>
        <v>23.79</v>
      </c>
      <c r="H2362" s="47" t="s">
        <v>24</v>
      </c>
      <c r="I2362" s="47" t="s">
        <v>58</v>
      </c>
      <c r="J2362" s="32"/>
    </row>
    <row r="2363" spans="1:10" x14ac:dyDescent="0.2">
      <c r="A2363" s="32"/>
      <c r="B2363" s="36" t="s">
        <v>3811</v>
      </c>
      <c r="C2363" s="37" t="s">
        <v>3747</v>
      </c>
      <c r="D2363" s="38" t="s">
        <v>43</v>
      </c>
      <c r="E2363" s="39">
        <v>1</v>
      </c>
      <c r="F2363" s="40">
        <v>2.59</v>
      </c>
      <c r="G2363" s="40">
        <f t="shared" si="36"/>
        <v>2.59</v>
      </c>
      <c r="H2363" s="41" t="s">
        <v>24</v>
      </c>
      <c r="I2363" s="41" t="s">
        <v>58</v>
      </c>
      <c r="J2363" s="32"/>
    </row>
    <row r="2364" spans="1:10" x14ac:dyDescent="0.2">
      <c r="A2364" s="32"/>
      <c r="B2364" s="42" t="s">
        <v>3812</v>
      </c>
      <c r="C2364" s="43" t="s">
        <v>3747</v>
      </c>
      <c r="D2364" s="44" t="s">
        <v>3513</v>
      </c>
      <c r="E2364" s="45">
        <v>1</v>
      </c>
      <c r="F2364" s="46">
        <v>20.99</v>
      </c>
      <c r="G2364" s="46">
        <f t="shared" si="36"/>
        <v>20.99</v>
      </c>
      <c r="H2364" s="47" t="s">
        <v>24</v>
      </c>
      <c r="I2364" s="47" t="s">
        <v>58</v>
      </c>
      <c r="J2364" s="32"/>
    </row>
    <row r="2365" spans="1:10" x14ac:dyDescent="0.2">
      <c r="A2365" s="32"/>
      <c r="B2365" s="36" t="s">
        <v>3813</v>
      </c>
      <c r="C2365" s="37" t="s">
        <v>3747</v>
      </c>
      <c r="D2365" s="38" t="s">
        <v>1381</v>
      </c>
      <c r="E2365" s="39">
        <v>1</v>
      </c>
      <c r="F2365" s="40">
        <v>16.89</v>
      </c>
      <c r="G2365" s="40">
        <f t="shared" si="36"/>
        <v>16.89</v>
      </c>
      <c r="H2365" s="41" t="s">
        <v>24</v>
      </c>
      <c r="I2365" s="41" t="s">
        <v>58</v>
      </c>
      <c r="J2365" s="32"/>
    </row>
    <row r="2366" spans="1:10" x14ac:dyDescent="0.2">
      <c r="A2366" s="32"/>
      <c r="B2366" s="42" t="s">
        <v>3814</v>
      </c>
      <c r="C2366" s="43" t="s">
        <v>3747</v>
      </c>
      <c r="D2366" s="44" t="s">
        <v>3274</v>
      </c>
      <c r="E2366" s="45">
        <v>1</v>
      </c>
      <c r="F2366" s="46">
        <v>15.89</v>
      </c>
      <c r="G2366" s="46">
        <f t="shared" si="36"/>
        <v>15.89</v>
      </c>
      <c r="H2366" s="47" t="s">
        <v>24</v>
      </c>
      <c r="I2366" s="47" t="s">
        <v>58</v>
      </c>
      <c r="J2366" s="32"/>
    </row>
    <row r="2367" spans="1:10" x14ac:dyDescent="0.2">
      <c r="A2367" s="32"/>
      <c r="B2367" s="36" t="s">
        <v>3815</v>
      </c>
      <c r="C2367" s="37" t="s">
        <v>3664</v>
      </c>
      <c r="D2367" s="38" t="s">
        <v>3396</v>
      </c>
      <c r="E2367" s="39">
        <v>1</v>
      </c>
      <c r="F2367" s="40">
        <v>9.5</v>
      </c>
      <c r="G2367" s="40">
        <f t="shared" si="36"/>
        <v>9.5</v>
      </c>
      <c r="H2367" s="41" t="s">
        <v>26</v>
      </c>
      <c r="I2367" s="41" t="s">
        <v>58</v>
      </c>
      <c r="J2367" s="32"/>
    </row>
    <row r="2368" spans="1:10" x14ac:dyDescent="0.2">
      <c r="A2368" s="32"/>
      <c r="B2368" s="42" t="s">
        <v>3816</v>
      </c>
      <c r="C2368" s="43" t="s">
        <v>3664</v>
      </c>
      <c r="D2368" s="44" t="s">
        <v>1202</v>
      </c>
      <c r="E2368" s="45">
        <v>1</v>
      </c>
      <c r="F2368" s="46">
        <v>70.5</v>
      </c>
      <c r="G2368" s="46">
        <f t="shared" si="36"/>
        <v>70.5</v>
      </c>
      <c r="H2368" s="47" t="s">
        <v>24</v>
      </c>
      <c r="I2368" s="47" t="s">
        <v>58</v>
      </c>
      <c r="J2368" s="32"/>
    </row>
    <row r="2369" spans="1:10" x14ac:dyDescent="0.2">
      <c r="A2369" s="32"/>
      <c r="B2369" s="36" t="s">
        <v>3817</v>
      </c>
      <c r="C2369" s="37" t="s">
        <v>3664</v>
      </c>
      <c r="D2369" s="38" t="s">
        <v>41</v>
      </c>
      <c r="E2369" s="39">
        <v>1</v>
      </c>
      <c r="F2369" s="40">
        <v>9</v>
      </c>
      <c r="G2369" s="40">
        <f t="shared" si="36"/>
        <v>9</v>
      </c>
      <c r="H2369" s="41" t="s">
        <v>26</v>
      </c>
      <c r="I2369" s="41" t="s">
        <v>58</v>
      </c>
      <c r="J2369" s="32"/>
    </row>
    <row r="2370" spans="1:10" x14ac:dyDescent="0.2">
      <c r="A2370" s="32"/>
      <c r="B2370" s="42" t="s">
        <v>3818</v>
      </c>
      <c r="C2370" s="43" t="s">
        <v>3819</v>
      </c>
      <c r="D2370" s="44" t="s">
        <v>2267</v>
      </c>
      <c r="E2370" s="45">
        <v>1</v>
      </c>
      <c r="F2370" s="46">
        <v>76</v>
      </c>
      <c r="G2370" s="46">
        <f t="shared" si="36"/>
        <v>76</v>
      </c>
      <c r="H2370" s="47" t="s">
        <v>24</v>
      </c>
      <c r="I2370" s="47" t="s">
        <v>58</v>
      </c>
      <c r="J2370" s="32"/>
    </row>
    <row r="2371" spans="1:10" x14ac:dyDescent="0.2">
      <c r="A2371" s="32"/>
      <c r="B2371" s="36" t="s">
        <v>3820</v>
      </c>
      <c r="C2371" s="37" t="s">
        <v>3819</v>
      </c>
      <c r="D2371" s="38" t="s">
        <v>2267</v>
      </c>
      <c r="E2371" s="39">
        <v>1</v>
      </c>
      <c r="F2371" s="40">
        <v>87.9</v>
      </c>
      <c r="G2371" s="40">
        <f t="shared" si="36"/>
        <v>87.9</v>
      </c>
      <c r="H2371" s="41" t="s">
        <v>24</v>
      </c>
      <c r="I2371" s="41" t="s">
        <v>58</v>
      </c>
      <c r="J2371" s="32"/>
    </row>
    <row r="2372" spans="1:10" x14ac:dyDescent="0.2">
      <c r="A2372" s="32"/>
      <c r="B2372" s="42" t="s">
        <v>3821</v>
      </c>
      <c r="C2372" s="43" t="s">
        <v>3819</v>
      </c>
      <c r="D2372" s="44" t="s">
        <v>41</v>
      </c>
      <c r="E2372" s="45">
        <v>1</v>
      </c>
      <c r="F2372" s="46">
        <v>22</v>
      </c>
      <c r="G2372" s="46">
        <f t="shared" si="36"/>
        <v>22</v>
      </c>
      <c r="H2372" s="47" t="s">
        <v>26</v>
      </c>
      <c r="I2372" s="47" t="s">
        <v>58</v>
      </c>
      <c r="J2372" s="32"/>
    </row>
    <row r="2373" spans="1:10" x14ac:dyDescent="0.2">
      <c r="A2373" s="32"/>
      <c r="B2373" s="36" t="s">
        <v>3822</v>
      </c>
      <c r="C2373" s="37" t="s">
        <v>3823</v>
      </c>
      <c r="D2373" s="38" t="s">
        <v>2267</v>
      </c>
      <c r="E2373" s="39">
        <v>1</v>
      </c>
      <c r="F2373" s="40">
        <v>74</v>
      </c>
      <c r="G2373" s="40">
        <f t="shared" ref="G2373:G2436" si="37">E2373*F2373</f>
        <v>74</v>
      </c>
      <c r="H2373" s="41" t="s">
        <v>24</v>
      </c>
      <c r="I2373" s="41" t="s">
        <v>58</v>
      </c>
      <c r="J2373" s="32"/>
    </row>
    <row r="2374" spans="1:10" x14ac:dyDescent="0.2">
      <c r="A2374" s="32"/>
      <c r="B2374" s="42" t="s">
        <v>3824</v>
      </c>
      <c r="C2374" s="43" t="s">
        <v>3823</v>
      </c>
      <c r="D2374" s="44" t="s">
        <v>41</v>
      </c>
      <c r="E2374" s="45">
        <v>1</v>
      </c>
      <c r="F2374" s="46">
        <v>22</v>
      </c>
      <c r="G2374" s="46">
        <f t="shared" si="37"/>
        <v>22</v>
      </c>
      <c r="H2374" s="47" t="s">
        <v>26</v>
      </c>
      <c r="I2374" s="47" t="s">
        <v>58</v>
      </c>
      <c r="J2374" s="32"/>
    </row>
    <row r="2375" spans="1:10" x14ac:dyDescent="0.2">
      <c r="A2375" s="32"/>
      <c r="B2375" s="36" t="s">
        <v>3825</v>
      </c>
      <c r="C2375" s="37" t="s">
        <v>3826</v>
      </c>
      <c r="D2375" s="38" t="s">
        <v>3827</v>
      </c>
      <c r="E2375" s="39">
        <v>1</v>
      </c>
      <c r="F2375" s="40">
        <v>28.64</v>
      </c>
      <c r="G2375" s="40">
        <f t="shared" si="37"/>
        <v>28.64</v>
      </c>
      <c r="H2375" s="41" t="s">
        <v>24</v>
      </c>
      <c r="I2375" s="41" t="s">
        <v>58</v>
      </c>
      <c r="J2375" s="32"/>
    </row>
    <row r="2376" spans="1:10" x14ac:dyDescent="0.2">
      <c r="A2376" s="32"/>
      <c r="B2376" s="42" t="s">
        <v>3828</v>
      </c>
      <c r="C2376" s="43" t="s">
        <v>3826</v>
      </c>
      <c r="D2376" s="44" t="s">
        <v>3829</v>
      </c>
      <c r="E2376" s="45">
        <v>1</v>
      </c>
      <c r="F2376" s="46">
        <v>100.01</v>
      </c>
      <c r="G2376" s="46">
        <f t="shared" si="37"/>
        <v>100.01</v>
      </c>
      <c r="H2376" s="47" t="s">
        <v>25</v>
      </c>
      <c r="I2376" s="47" t="s">
        <v>58</v>
      </c>
      <c r="J2376" s="32"/>
    </row>
    <row r="2377" spans="1:10" x14ac:dyDescent="0.2">
      <c r="A2377" s="32"/>
      <c r="B2377" s="36" t="s">
        <v>3830</v>
      </c>
      <c r="C2377" s="37" t="s">
        <v>3826</v>
      </c>
      <c r="D2377" s="38" t="s">
        <v>3831</v>
      </c>
      <c r="E2377" s="39">
        <v>1</v>
      </c>
      <c r="F2377" s="40">
        <v>18.29</v>
      </c>
      <c r="G2377" s="40">
        <f t="shared" si="37"/>
        <v>18.29</v>
      </c>
      <c r="H2377" s="41" t="s">
        <v>24</v>
      </c>
      <c r="I2377" s="41" t="s">
        <v>58</v>
      </c>
      <c r="J2377" s="32"/>
    </row>
    <row r="2378" spans="1:10" x14ac:dyDescent="0.2">
      <c r="A2378" s="32"/>
      <c r="B2378" s="42" t="s">
        <v>3832</v>
      </c>
      <c r="C2378" s="43" t="s">
        <v>3833</v>
      </c>
      <c r="D2378" s="44" t="s">
        <v>3416</v>
      </c>
      <c r="E2378" s="45">
        <v>1</v>
      </c>
      <c r="F2378" s="46">
        <v>14.99</v>
      </c>
      <c r="G2378" s="46">
        <f t="shared" si="37"/>
        <v>14.99</v>
      </c>
      <c r="H2378" s="47" t="s">
        <v>24</v>
      </c>
      <c r="I2378" s="47" t="s">
        <v>58</v>
      </c>
      <c r="J2378" s="32"/>
    </row>
    <row r="2379" spans="1:10" x14ac:dyDescent="0.2">
      <c r="A2379" s="32"/>
      <c r="B2379" s="36" t="s">
        <v>3834</v>
      </c>
      <c r="C2379" s="37" t="s">
        <v>3833</v>
      </c>
      <c r="D2379" s="38" t="s">
        <v>1806</v>
      </c>
      <c r="E2379" s="39">
        <v>1</v>
      </c>
      <c r="F2379" s="40">
        <v>32.99</v>
      </c>
      <c r="G2379" s="40">
        <f t="shared" si="37"/>
        <v>32.99</v>
      </c>
      <c r="H2379" s="41" t="s">
        <v>25</v>
      </c>
      <c r="I2379" s="41" t="s">
        <v>58</v>
      </c>
      <c r="J2379" s="32"/>
    </row>
    <row r="2380" spans="1:10" x14ac:dyDescent="0.2">
      <c r="A2380" s="32"/>
      <c r="B2380" s="42" t="s">
        <v>3835</v>
      </c>
      <c r="C2380" s="43" t="s">
        <v>3833</v>
      </c>
      <c r="D2380" s="44" t="s">
        <v>3418</v>
      </c>
      <c r="E2380" s="45">
        <v>1</v>
      </c>
      <c r="F2380" s="46">
        <v>6.79</v>
      </c>
      <c r="G2380" s="46">
        <f t="shared" si="37"/>
        <v>6.79</v>
      </c>
      <c r="H2380" s="47" t="s">
        <v>24</v>
      </c>
      <c r="I2380" s="47" t="s">
        <v>58</v>
      </c>
      <c r="J2380" s="32"/>
    </row>
    <row r="2381" spans="1:10" x14ac:dyDescent="0.2">
      <c r="A2381" s="32"/>
      <c r="B2381" s="36" t="s">
        <v>3836</v>
      </c>
      <c r="C2381" s="37" t="s">
        <v>3833</v>
      </c>
      <c r="D2381" s="38" t="s">
        <v>3837</v>
      </c>
      <c r="E2381" s="39">
        <v>1</v>
      </c>
      <c r="F2381" s="40">
        <v>17.489999999999998</v>
      </c>
      <c r="G2381" s="40">
        <f t="shared" si="37"/>
        <v>17.489999999999998</v>
      </c>
      <c r="H2381" s="41" t="s">
        <v>24</v>
      </c>
      <c r="I2381" s="41" t="s">
        <v>58</v>
      </c>
      <c r="J2381" s="32"/>
    </row>
    <row r="2382" spans="1:10" x14ac:dyDescent="0.2">
      <c r="A2382" s="32"/>
      <c r="B2382" s="42" t="s">
        <v>3838</v>
      </c>
      <c r="C2382" s="43" t="s">
        <v>3833</v>
      </c>
      <c r="D2382" s="44" t="s">
        <v>3839</v>
      </c>
      <c r="E2382" s="45">
        <v>1</v>
      </c>
      <c r="F2382" s="46">
        <v>3.9</v>
      </c>
      <c r="G2382" s="46">
        <f t="shared" si="37"/>
        <v>3.9</v>
      </c>
      <c r="H2382" s="47" t="s">
        <v>24</v>
      </c>
      <c r="I2382" s="47" t="s">
        <v>58</v>
      </c>
      <c r="J2382" s="32"/>
    </row>
    <row r="2383" spans="1:10" x14ac:dyDescent="0.2">
      <c r="A2383" s="32"/>
      <c r="B2383" s="36" t="s">
        <v>3840</v>
      </c>
      <c r="C2383" s="37" t="s">
        <v>3833</v>
      </c>
      <c r="D2383" s="38" t="s">
        <v>3841</v>
      </c>
      <c r="E2383" s="39">
        <v>1</v>
      </c>
      <c r="F2383" s="40">
        <v>20.99</v>
      </c>
      <c r="G2383" s="40">
        <f t="shared" si="37"/>
        <v>20.99</v>
      </c>
      <c r="H2383" s="41" t="s">
        <v>25</v>
      </c>
      <c r="I2383" s="41" t="s">
        <v>58</v>
      </c>
      <c r="J2383" s="32"/>
    </row>
    <row r="2384" spans="1:10" x14ac:dyDescent="0.2">
      <c r="A2384" s="32"/>
      <c r="B2384" s="42" t="s">
        <v>3842</v>
      </c>
      <c r="C2384" s="43" t="s">
        <v>3833</v>
      </c>
      <c r="D2384" s="44" t="s">
        <v>3843</v>
      </c>
      <c r="E2384" s="45">
        <v>1</v>
      </c>
      <c r="F2384" s="46">
        <v>14.49</v>
      </c>
      <c r="G2384" s="46">
        <f t="shared" si="37"/>
        <v>14.49</v>
      </c>
      <c r="H2384" s="47" t="s">
        <v>24</v>
      </c>
      <c r="I2384" s="47" t="s">
        <v>71</v>
      </c>
      <c r="J2384" s="32"/>
    </row>
    <row r="2385" spans="1:10" x14ac:dyDescent="0.2">
      <c r="A2385" s="32"/>
      <c r="B2385" s="36" t="s">
        <v>3844</v>
      </c>
      <c r="C2385" s="37" t="s">
        <v>3833</v>
      </c>
      <c r="D2385" s="38" t="s">
        <v>3224</v>
      </c>
      <c r="E2385" s="39">
        <v>1</v>
      </c>
      <c r="F2385" s="40">
        <v>20.03</v>
      </c>
      <c r="G2385" s="40">
        <f t="shared" si="37"/>
        <v>20.03</v>
      </c>
      <c r="H2385" s="41" t="s">
        <v>25</v>
      </c>
      <c r="I2385" s="41" t="s">
        <v>58</v>
      </c>
      <c r="J2385" s="32"/>
    </row>
    <row r="2386" spans="1:10" x14ac:dyDescent="0.2">
      <c r="A2386" s="32"/>
      <c r="B2386" s="42" t="s">
        <v>3845</v>
      </c>
      <c r="C2386" s="43" t="s">
        <v>3833</v>
      </c>
      <c r="D2386" s="44" t="s">
        <v>1419</v>
      </c>
      <c r="E2386" s="45">
        <v>1</v>
      </c>
      <c r="F2386" s="46">
        <v>9.99</v>
      </c>
      <c r="G2386" s="46">
        <f t="shared" si="37"/>
        <v>9.99</v>
      </c>
      <c r="H2386" s="47" t="s">
        <v>25</v>
      </c>
      <c r="I2386" s="47" t="s">
        <v>71</v>
      </c>
      <c r="J2386" s="32"/>
    </row>
    <row r="2387" spans="1:10" x14ac:dyDescent="0.2">
      <c r="A2387" s="32"/>
      <c r="B2387" s="36" t="s">
        <v>3846</v>
      </c>
      <c r="C2387" s="37" t="s">
        <v>3833</v>
      </c>
      <c r="D2387" s="38" t="s">
        <v>3847</v>
      </c>
      <c r="E2387" s="39">
        <v>1</v>
      </c>
      <c r="F2387" s="40">
        <v>11.49</v>
      </c>
      <c r="G2387" s="40">
        <f t="shared" si="37"/>
        <v>11.49</v>
      </c>
      <c r="H2387" s="41" t="s">
        <v>24</v>
      </c>
      <c r="I2387" s="41" t="s">
        <v>58</v>
      </c>
      <c r="J2387" s="32"/>
    </row>
    <row r="2388" spans="1:10" x14ac:dyDescent="0.2">
      <c r="A2388" s="32"/>
      <c r="B2388" s="42" t="s">
        <v>3848</v>
      </c>
      <c r="C2388" s="43" t="s">
        <v>3833</v>
      </c>
      <c r="D2388" s="44" t="s">
        <v>3849</v>
      </c>
      <c r="E2388" s="45">
        <v>1</v>
      </c>
      <c r="F2388" s="46">
        <v>9.49</v>
      </c>
      <c r="G2388" s="46">
        <f t="shared" si="37"/>
        <v>9.49</v>
      </c>
      <c r="H2388" s="47" t="s">
        <v>24</v>
      </c>
      <c r="I2388" s="47" t="s">
        <v>58</v>
      </c>
      <c r="J2388" s="32"/>
    </row>
    <row r="2389" spans="1:10" x14ac:dyDescent="0.2">
      <c r="A2389" s="32"/>
      <c r="B2389" s="36" t="s">
        <v>3850</v>
      </c>
      <c r="C2389" s="37" t="s">
        <v>3851</v>
      </c>
      <c r="D2389" s="38" t="s">
        <v>38</v>
      </c>
      <c r="E2389" s="39">
        <v>1</v>
      </c>
      <c r="F2389" s="40">
        <v>4.99</v>
      </c>
      <c r="G2389" s="40">
        <f t="shared" si="37"/>
        <v>4.99</v>
      </c>
      <c r="H2389" s="41" t="s">
        <v>24</v>
      </c>
      <c r="I2389" s="41" t="s">
        <v>58</v>
      </c>
      <c r="J2389" s="32"/>
    </row>
    <row r="2390" spans="1:10" x14ac:dyDescent="0.2">
      <c r="A2390" s="32"/>
      <c r="B2390" s="42" t="s">
        <v>3852</v>
      </c>
      <c r="C2390" s="43" t="s">
        <v>3851</v>
      </c>
      <c r="D2390" s="44" t="s">
        <v>735</v>
      </c>
      <c r="E2390" s="45">
        <v>1</v>
      </c>
      <c r="F2390" s="46">
        <v>5.99</v>
      </c>
      <c r="G2390" s="46">
        <f t="shared" si="37"/>
        <v>5.99</v>
      </c>
      <c r="H2390" s="47" t="s">
        <v>24</v>
      </c>
      <c r="I2390" s="47" t="s">
        <v>58</v>
      </c>
      <c r="J2390" s="32"/>
    </row>
    <row r="2391" spans="1:10" x14ac:dyDescent="0.2">
      <c r="A2391" s="32"/>
      <c r="B2391" s="36" t="s">
        <v>3853</v>
      </c>
      <c r="C2391" s="37" t="s">
        <v>3851</v>
      </c>
      <c r="D2391" s="38" t="s">
        <v>42</v>
      </c>
      <c r="E2391" s="39">
        <v>1</v>
      </c>
      <c r="F2391" s="40">
        <v>11.99</v>
      </c>
      <c r="G2391" s="40">
        <f t="shared" si="37"/>
        <v>11.99</v>
      </c>
      <c r="H2391" s="41" t="s">
        <v>24</v>
      </c>
      <c r="I2391" s="41" t="s">
        <v>58</v>
      </c>
      <c r="J2391" s="32"/>
    </row>
    <row r="2392" spans="1:10" x14ac:dyDescent="0.2">
      <c r="A2392" s="32"/>
      <c r="B2392" s="42" t="s">
        <v>3854</v>
      </c>
      <c r="C2392" s="43" t="s">
        <v>3851</v>
      </c>
      <c r="D2392" s="44" t="s">
        <v>95</v>
      </c>
      <c r="E2392" s="45">
        <v>1</v>
      </c>
      <c r="F2392" s="46">
        <v>4.99</v>
      </c>
      <c r="G2392" s="46">
        <f t="shared" si="37"/>
        <v>4.99</v>
      </c>
      <c r="H2392" s="47" t="s">
        <v>24</v>
      </c>
      <c r="I2392" s="47" t="s">
        <v>58</v>
      </c>
      <c r="J2392" s="32"/>
    </row>
    <row r="2393" spans="1:10" x14ac:dyDescent="0.2">
      <c r="A2393" s="32"/>
      <c r="B2393" s="36" t="s">
        <v>3855</v>
      </c>
      <c r="C2393" s="37" t="s">
        <v>3851</v>
      </c>
      <c r="D2393" s="38" t="s">
        <v>1463</v>
      </c>
      <c r="E2393" s="39">
        <v>1</v>
      </c>
      <c r="F2393" s="40">
        <v>5.99</v>
      </c>
      <c r="G2393" s="40">
        <f t="shared" si="37"/>
        <v>5.99</v>
      </c>
      <c r="H2393" s="41" t="s">
        <v>24</v>
      </c>
      <c r="I2393" s="41" t="s">
        <v>58</v>
      </c>
      <c r="J2393" s="32"/>
    </row>
    <row r="2394" spans="1:10" x14ac:dyDescent="0.2">
      <c r="A2394" s="32"/>
      <c r="B2394" s="42" t="s">
        <v>3856</v>
      </c>
      <c r="C2394" s="43" t="s">
        <v>3851</v>
      </c>
      <c r="D2394" s="44" t="s">
        <v>2982</v>
      </c>
      <c r="E2394" s="45">
        <v>1</v>
      </c>
      <c r="F2394" s="46">
        <v>13.99</v>
      </c>
      <c r="G2394" s="46">
        <f t="shared" si="37"/>
        <v>13.99</v>
      </c>
      <c r="H2394" s="47" t="s">
        <v>24</v>
      </c>
      <c r="I2394" s="47" t="s">
        <v>58</v>
      </c>
      <c r="J2394" s="32"/>
    </row>
    <row r="2395" spans="1:10" x14ac:dyDescent="0.2">
      <c r="A2395" s="32"/>
      <c r="B2395" s="36" t="s">
        <v>3857</v>
      </c>
      <c r="C2395" s="37" t="s">
        <v>3851</v>
      </c>
      <c r="D2395" s="38" t="s">
        <v>1678</v>
      </c>
      <c r="E2395" s="39">
        <v>1</v>
      </c>
      <c r="F2395" s="40">
        <v>17.989999999999998</v>
      </c>
      <c r="G2395" s="40">
        <f t="shared" si="37"/>
        <v>17.989999999999998</v>
      </c>
      <c r="H2395" s="41" t="s">
        <v>24</v>
      </c>
      <c r="I2395" s="41" t="s">
        <v>58</v>
      </c>
      <c r="J2395" s="32"/>
    </row>
    <row r="2396" spans="1:10" x14ac:dyDescent="0.2">
      <c r="A2396" s="32"/>
      <c r="B2396" s="42" t="s">
        <v>3858</v>
      </c>
      <c r="C2396" s="43" t="s">
        <v>3851</v>
      </c>
      <c r="D2396" s="44" t="s">
        <v>3859</v>
      </c>
      <c r="E2396" s="45">
        <v>1</v>
      </c>
      <c r="F2396" s="46">
        <v>17.989999999999998</v>
      </c>
      <c r="G2396" s="46">
        <f t="shared" si="37"/>
        <v>17.989999999999998</v>
      </c>
      <c r="H2396" s="47" t="s">
        <v>24</v>
      </c>
      <c r="I2396" s="47" t="s">
        <v>58</v>
      </c>
      <c r="J2396" s="32"/>
    </row>
    <row r="2397" spans="1:10" x14ac:dyDescent="0.2">
      <c r="A2397" s="32"/>
      <c r="B2397" s="36" t="s">
        <v>3860</v>
      </c>
      <c r="C2397" s="37" t="s">
        <v>3851</v>
      </c>
      <c r="D2397" s="38" t="s">
        <v>1309</v>
      </c>
      <c r="E2397" s="39">
        <v>1</v>
      </c>
      <c r="F2397" s="40">
        <v>17.989999999999998</v>
      </c>
      <c r="G2397" s="40">
        <f t="shared" si="37"/>
        <v>17.989999999999998</v>
      </c>
      <c r="H2397" s="41" t="s">
        <v>24</v>
      </c>
      <c r="I2397" s="41" t="s">
        <v>58</v>
      </c>
      <c r="J2397" s="32"/>
    </row>
    <row r="2398" spans="1:10" x14ac:dyDescent="0.2">
      <c r="A2398" s="32"/>
      <c r="B2398" s="42" t="s">
        <v>3861</v>
      </c>
      <c r="C2398" s="43" t="s">
        <v>3851</v>
      </c>
      <c r="D2398" s="44" t="s">
        <v>1309</v>
      </c>
      <c r="E2398" s="45">
        <v>1</v>
      </c>
      <c r="F2398" s="46">
        <v>17.989999999999998</v>
      </c>
      <c r="G2398" s="46">
        <f t="shared" si="37"/>
        <v>17.989999999999998</v>
      </c>
      <c r="H2398" s="47" t="s">
        <v>24</v>
      </c>
      <c r="I2398" s="47" t="s">
        <v>58</v>
      </c>
      <c r="J2398" s="32"/>
    </row>
    <row r="2399" spans="1:10" x14ac:dyDescent="0.2">
      <c r="A2399" s="32"/>
      <c r="B2399" s="36" t="s">
        <v>3862</v>
      </c>
      <c r="C2399" s="37" t="s">
        <v>3851</v>
      </c>
      <c r="D2399" s="38" t="s">
        <v>2493</v>
      </c>
      <c r="E2399" s="39">
        <v>1</v>
      </c>
      <c r="F2399" s="40">
        <v>50.99</v>
      </c>
      <c r="G2399" s="40">
        <f t="shared" si="37"/>
        <v>50.99</v>
      </c>
      <c r="H2399" s="41" t="s">
        <v>24</v>
      </c>
      <c r="I2399" s="41" t="s">
        <v>58</v>
      </c>
      <c r="J2399" s="32"/>
    </row>
    <row r="2400" spans="1:10" x14ac:dyDescent="0.2">
      <c r="A2400" s="32"/>
      <c r="B2400" s="42" t="s">
        <v>3863</v>
      </c>
      <c r="C2400" s="43" t="s">
        <v>3851</v>
      </c>
      <c r="D2400" s="44" t="s">
        <v>2803</v>
      </c>
      <c r="E2400" s="45">
        <v>1</v>
      </c>
      <c r="F2400" s="46">
        <v>5.49</v>
      </c>
      <c r="G2400" s="46">
        <f t="shared" si="37"/>
        <v>5.49</v>
      </c>
      <c r="H2400" s="47" t="s">
        <v>24</v>
      </c>
      <c r="I2400" s="47" t="s">
        <v>58</v>
      </c>
      <c r="J2400" s="32"/>
    </row>
    <row r="2401" spans="1:10" x14ac:dyDescent="0.2">
      <c r="A2401" s="32"/>
      <c r="B2401" s="36" t="s">
        <v>3864</v>
      </c>
      <c r="C2401" s="37" t="s">
        <v>3851</v>
      </c>
      <c r="D2401" s="38" t="s">
        <v>2803</v>
      </c>
      <c r="E2401" s="39">
        <v>1</v>
      </c>
      <c r="F2401" s="40">
        <v>5.49</v>
      </c>
      <c r="G2401" s="40">
        <f t="shared" si="37"/>
        <v>5.49</v>
      </c>
      <c r="H2401" s="41" t="s">
        <v>24</v>
      </c>
      <c r="I2401" s="41" t="s">
        <v>58</v>
      </c>
      <c r="J2401" s="32"/>
    </row>
    <row r="2402" spans="1:10" x14ac:dyDescent="0.2">
      <c r="A2402" s="32"/>
      <c r="B2402" s="42" t="s">
        <v>3865</v>
      </c>
      <c r="C2402" s="43" t="s">
        <v>3851</v>
      </c>
      <c r="D2402" s="44" t="s">
        <v>2493</v>
      </c>
      <c r="E2402" s="45">
        <v>1</v>
      </c>
      <c r="F2402" s="46">
        <v>50.99</v>
      </c>
      <c r="G2402" s="46">
        <f t="shared" si="37"/>
        <v>50.99</v>
      </c>
      <c r="H2402" s="47" t="s">
        <v>24</v>
      </c>
      <c r="I2402" s="47" t="s">
        <v>58</v>
      </c>
      <c r="J2402" s="32"/>
    </row>
    <row r="2403" spans="1:10" x14ac:dyDescent="0.2">
      <c r="A2403" s="32"/>
      <c r="B2403" s="36" t="s">
        <v>3866</v>
      </c>
      <c r="C2403" s="37" t="s">
        <v>3851</v>
      </c>
      <c r="D2403" s="38" t="s">
        <v>2297</v>
      </c>
      <c r="E2403" s="39">
        <v>1</v>
      </c>
      <c r="F2403" s="40">
        <v>29.99</v>
      </c>
      <c r="G2403" s="40">
        <f t="shared" si="37"/>
        <v>29.99</v>
      </c>
      <c r="H2403" s="41" t="s">
        <v>28</v>
      </c>
      <c r="I2403" s="41" t="s">
        <v>58</v>
      </c>
      <c r="J2403" s="32"/>
    </row>
    <row r="2404" spans="1:10" x14ac:dyDescent="0.2">
      <c r="A2404" s="32"/>
      <c r="B2404" s="42" t="s">
        <v>3867</v>
      </c>
      <c r="C2404" s="43" t="s">
        <v>3851</v>
      </c>
      <c r="D2404" s="44" t="s">
        <v>137</v>
      </c>
      <c r="E2404" s="45">
        <v>1</v>
      </c>
      <c r="F2404" s="46">
        <v>6.49</v>
      </c>
      <c r="G2404" s="46">
        <f t="shared" si="37"/>
        <v>6.49</v>
      </c>
      <c r="H2404" s="47" t="s">
        <v>24</v>
      </c>
      <c r="I2404" s="47" t="s">
        <v>58</v>
      </c>
      <c r="J2404" s="32"/>
    </row>
    <row r="2405" spans="1:10" x14ac:dyDescent="0.2">
      <c r="A2405" s="32"/>
      <c r="B2405" s="36" t="s">
        <v>3868</v>
      </c>
      <c r="C2405" s="37" t="s">
        <v>3851</v>
      </c>
      <c r="D2405" s="38" t="s">
        <v>3277</v>
      </c>
      <c r="E2405" s="39">
        <v>1</v>
      </c>
      <c r="F2405" s="40">
        <v>18.79</v>
      </c>
      <c r="G2405" s="40">
        <f t="shared" si="37"/>
        <v>18.79</v>
      </c>
      <c r="H2405" s="41" t="s">
        <v>24</v>
      </c>
      <c r="I2405" s="41" t="s">
        <v>58</v>
      </c>
      <c r="J2405" s="32"/>
    </row>
    <row r="2406" spans="1:10" x14ac:dyDescent="0.2">
      <c r="A2406" s="32"/>
      <c r="B2406" s="42" t="s">
        <v>3869</v>
      </c>
      <c r="C2406" s="43" t="s">
        <v>3851</v>
      </c>
      <c r="D2406" s="44" t="s">
        <v>3870</v>
      </c>
      <c r="E2406" s="45">
        <v>1</v>
      </c>
      <c r="F2406" s="46">
        <v>21.99</v>
      </c>
      <c r="G2406" s="46">
        <f t="shared" si="37"/>
        <v>21.99</v>
      </c>
      <c r="H2406" s="47" t="s">
        <v>24</v>
      </c>
      <c r="I2406" s="47" t="s">
        <v>58</v>
      </c>
      <c r="J2406" s="32"/>
    </row>
    <row r="2407" spans="1:10" x14ac:dyDescent="0.2">
      <c r="A2407" s="32"/>
      <c r="B2407" s="36" t="s">
        <v>3871</v>
      </c>
      <c r="C2407" s="37" t="s">
        <v>3851</v>
      </c>
      <c r="D2407" s="38" t="s">
        <v>3759</v>
      </c>
      <c r="E2407" s="39">
        <v>1</v>
      </c>
      <c r="F2407" s="40">
        <v>9.99</v>
      </c>
      <c r="G2407" s="40">
        <f t="shared" si="37"/>
        <v>9.99</v>
      </c>
      <c r="H2407" s="41" t="s">
        <v>24</v>
      </c>
      <c r="I2407" s="41" t="s">
        <v>58</v>
      </c>
      <c r="J2407" s="32"/>
    </row>
    <row r="2408" spans="1:10" x14ac:dyDescent="0.2">
      <c r="A2408" s="32"/>
      <c r="B2408" s="42" t="s">
        <v>3872</v>
      </c>
      <c r="C2408" s="43" t="s">
        <v>3851</v>
      </c>
      <c r="D2408" s="44" t="s">
        <v>1357</v>
      </c>
      <c r="E2408" s="45">
        <v>1</v>
      </c>
      <c r="F2408" s="46">
        <v>41.99</v>
      </c>
      <c r="G2408" s="46">
        <f t="shared" si="37"/>
        <v>41.99</v>
      </c>
      <c r="H2408" s="47" t="s">
        <v>24</v>
      </c>
      <c r="I2408" s="47" t="s">
        <v>58</v>
      </c>
      <c r="J2408" s="32"/>
    </row>
    <row r="2409" spans="1:10" x14ac:dyDescent="0.2">
      <c r="A2409" s="32"/>
      <c r="B2409" s="36" t="s">
        <v>3873</v>
      </c>
      <c r="C2409" s="37" t="s">
        <v>3851</v>
      </c>
      <c r="D2409" s="38" t="s">
        <v>2497</v>
      </c>
      <c r="E2409" s="39">
        <v>1</v>
      </c>
      <c r="F2409" s="40">
        <v>9.99</v>
      </c>
      <c r="G2409" s="40">
        <f t="shared" si="37"/>
        <v>9.99</v>
      </c>
      <c r="H2409" s="41" t="s">
        <v>24</v>
      </c>
      <c r="I2409" s="41" t="s">
        <v>58</v>
      </c>
      <c r="J2409" s="32"/>
    </row>
    <row r="2410" spans="1:10" x14ac:dyDescent="0.2">
      <c r="A2410" s="32"/>
      <c r="B2410" s="42" t="s">
        <v>3874</v>
      </c>
      <c r="C2410" s="43" t="s">
        <v>3851</v>
      </c>
      <c r="D2410" s="44" t="s">
        <v>3184</v>
      </c>
      <c r="E2410" s="45">
        <v>1</v>
      </c>
      <c r="F2410" s="46">
        <v>4.8899999999999997</v>
      </c>
      <c r="G2410" s="46">
        <f t="shared" si="37"/>
        <v>4.8899999999999997</v>
      </c>
      <c r="H2410" s="47" t="s">
        <v>24</v>
      </c>
      <c r="I2410" s="47" t="s">
        <v>58</v>
      </c>
      <c r="J2410" s="32"/>
    </row>
    <row r="2411" spans="1:10" x14ac:dyDescent="0.2">
      <c r="A2411" s="32"/>
      <c r="B2411" s="36" t="s">
        <v>3875</v>
      </c>
      <c r="C2411" s="37" t="s">
        <v>3851</v>
      </c>
      <c r="D2411" s="38" t="s">
        <v>2497</v>
      </c>
      <c r="E2411" s="39">
        <v>1</v>
      </c>
      <c r="F2411" s="40">
        <v>9.99</v>
      </c>
      <c r="G2411" s="40">
        <f t="shared" si="37"/>
        <v>9.99</v>
      </c>
      <c r="H2411" s="41" t="s">
        <v>24</v>
      </c>
      <c r="I2411" s="41" t="s">
        <v>58</v>
      </c>
      <c r="J2411" s="32"/>
    </row>
    <row r="2412" spans="1:10" x14ac:dyDescent="0.2">
      <c r="A2412" s="32"/>
      <c r="B2412" s="42" t="s">
        <v>3876</v>
      </c>
      <c r="C2412" s="43" t="s">
        <v>3851</v>
      </c>
      <c r="D2412" s="44" t="s">
        <v>3877</v>
      </c>
      <c r="E2412" s="45">
        <v>1</v>
      </c>
      <c r="F2412" s="46">
        <v>6.39</v>
      </c>
      <c r="G2412" s="46">
        <f t="shared" si="37"/>
        <v>6.39</v>
      </c>
      <c r="H2412" s="47" t="s">
        <v>24</v>
      </c>
      <c r="I2412" s="47" t="s">
        <v>58</v>
      </c>
      <c r="J2412" s="32"/>
    </row>
    <row r="2413" spans="1:10" x14ac:dyDescent="0.2">
      <c r="A2413" s="32"/>
      <c r="B2413" s="36" t="s">
        <v>3878</v>
      </c>
      <c r="C2413" s="37" t="s">
        <v>3851</v>
      </c>
      <c r="D2413" s="38" t="s">
        <v>3184</v>
      </c>
      <c r="E2413" s="39">
        <v>1</v>
      </c>
      <c r="F2413" s="40">
        <v>4.8899999999999997</v>
      </c>
      <c r="G2413" s="40">
        <f t="shared" si="37"/>
        <v>4.8899999999999997</v>
      </c>
      <c r="H2413" s="41" t="s">
        <v>24</v>
      </c>
      <c r="I2413" s="41" t="s">
        <v>58</v>
      </c>
      <c r="J2413" s="32"/>
    </row>
    <row r="2414" spans="1:10" x14ac:dyDescent="0.2">
      <c r="A2414" s="32"/>
      <c r="B2414" s="42" t="s">
        <v>3879</v>
      </c>
      <c r="C2414" s="43" t="s">
        <v>3851</v>
      </c>
      <c r="D2414" s="44" t="s">
        <v>3880</v>
      </c>
      <c r="E2414" s="45">
        <v>1</v>
      </c>
      <c r="F2414" s="46">
        <v>3.19</v>
      </c>
      <c r="G2414" s="46">
        <f t="shared" si="37"/>
        <v>3.19</v>
      </c>
      <c r="H2414" s="47" t="s">
        <v>24</v>
      </c>
      <c r="I2414" s="47" t="s">
        <v>58</v>
      </c>
      <c r="J2414" s="32"/>
    </row>
    <row r="2415" spans="1:10" x14ac:dyDescent="0.2">
      <c r="A2415" s="32"/>
      <c r="B2415" s="36" t="s">
        <v>3881</v>
      </c>
      <c r="C2415" s="37" t="s">
        <v>3851</v>
      </c>
      <c r="D2415" s="38" t="s">
        <v>3882</v>
      </c>
      <c r="E2415" s="39">
        <v>1</v>
      </c>
      <c r="F2415" s="40">
        <v>3.99</v>
      </c>
      <c r="G2415" s="40">
        <f t="shared" si="37"/>
        <v>3.99</v>
      </c>
      <c r="H2415" s="41" t="s">
        <v>24</v>
      </c>
      <c r="I2415" s="41" t="s">
        <v>58</v>
      </c>
      <c r="J2415" s="32"/>
    </row>
    <row r="2416" spans="1:10" x14ac:dyDescent="0.2">
      <c r="A2416" s="32"/>
      <c r="B2416" s="42" t="s">
        <v>3883</v>
      </c>
      <c r="C2416" s="43" t="s">
        <v>3851</v>
      </c>
      <c r="D2416" s="44" t="s">
        <v>3882</v>
      </c>
      <c r="E2416" s="45">
        <v>1</v>
      </c>
      <c r="F2416" s="46">
        <v>3.99</v>
      </c>
      <c r="G2416" s="46">
        <f t="shared" si="37"/>
        <v>3.99</v>
      </c>
      <c r="H2416" s="47" t="s">
        <v>24</v>
      </c>
      <c r="I2416" s="47" t="s">
        <v>58</v>
      </c>
      <c r="J2416" s="32"/>
    </row>
    <row r="2417" spans="1:10" x14ac:dyDescent="0.2">
      <c r="A2417" s="32"/>
      <c r="B2417" s="36" t="s">
        <v>3884</v>
      </c>
      <c r="C2417" s="37" t="s">
        <v>3851</v>
      </c>
      <c r="D2417" s="38" t="s">
        <v>3882</v>
      </c>
      <c r="E2417" s="39">
        <v>1</v>
      </c>
      <c r="F2417" s="40">
        <v>3.99</v>
      </c>
      <c r="G2417" s="40">
        <f t="shared" si="37"/>
        <v>3.99</v>
      </c>
      <c r="H2417" s="41" t="s">
        <v>24</v>
      </c>
      <c r="I2417" s="41" t="s">
        <v>58</v>
      </c>
      <c r="J2417" s="32"/>
    </row>
    <row r="2418" spans="1:10" x14ac:dyDescent="0.2">
      <c r="A2418" s="32"/>
      <c r="B2418" s="42" t="s">
        <v>3885</v>
      </c>
      <c r="C2418" s="43" t="s">
        <v>3851</v>
      </c>
      <c r="D2418" s="44" t="s">
        <v>3882</v>
      </c>
      <c r="E2418" s="45">
        <v>1</v>
      </c>
      <c r="F2418" s="46">
        <v>3.99</v>
      </c>
      <c r="G2418" s="46">
        <f t="shared" si="37"/>
        <v>3.99</v>
      </c>
      <c r="H2418" s="47" t="s">
        <v>24</v>
      </c>
      <c r="I2418" s="47" t="s">
        <v>58</v>
      </c>
      <c r="J2418" s="32"/>
    </row>
    <row r="2419" spans="1:10" x14ac:dyDescent="0.2">
      <c r="A2419" s="32"/>
      <c r="B2419" s="36" t="s">
        <v>3886</v>
      </c>
      <c r="C2419" s="37" t="s">
        <v>3851</v>
      </c>
      <c r="D2419" s="38" t="s">
        <v>3887</v>
      </c>
      <c r="E2419" s="39">
        <v>1</v>
      </c>
      <c r="F2419" s="40">
        <v>3.99</v>
      </c>
      <c r="G2419" s="40">
        <f t="shared" si="37"/>
        <v>3.99</v>
      </c>
      <c r="H2419" s="41" t="s">
        <v>24</v>
      </c>
      <c r="I2419" s="41" t="s">
        <v>58</v>
      </c>
      <c r="J2419" s="32"/>
    </row>
    <row r="2420" spans="1:10" x14ac:dyDescent="0.2">
      <c r="A2420" s="32"/>
      <c r="B2420" s="42" t="s">
        <v>3888</v>
      </c>
      <c r="C2420" s="43" t="s">
        <v>3851</v>
      </c>
      <c r="D2420" s="44" t="s">
        <v>3889</v>
      </c>
      <c r="E2420" s="45">
        <v>1</v>
      </c>
      <c r="F2420" s="46">
        <v>1.39</v>
      </c>
      <c r="G2420" s="46">
        <f t="shared" si="37"/>
        <v>1.39</v>
      </c>
      <c r="H2420" s="47" t="s">
        <v>24</v>
      </c>
      <c r="I2420" s="47" t="s">
        <v>58</v>
      </c>
      <c r="J2420" s="32"/>
    </row>
    <row r="2421" spans="1:10" x14ac:dyDescent="0.2">
      <c r="A2421" s="32"/>
      <c r="B2421" s="36" t="s">
        <v>3890</v>
      </c>
      <c r="C2421" s="37" t="s">
        <v>3851</v>
      </c>
      <c r="D2421" s="38" t="s">
        <v>2949</v>
      </c>
      <c r="E2421" s="39">
        <v>1</v>
      </c>
      <c r="F2421" s="40">
        <v>16.989999999999998</v>
      </c>
      <c r="G2421" s="40">
        <f t="shared" si="37"/>
        <v>16.989999999999998</v>
      </c>
      <c r="H2421" s="41" t="s">
        <v>24</v>
      </c>
      <c r="I2421" s="41" t="s">
        <v>58</v>
      </c>
      <c r="J2421" s="32"/>
    </row>
    <row r="2422" spans="1:10" x14ac:dyDescent="0.2">
      <c r="A2422" s="32"/>
      <c r="B2422" s="42" t="s">
        <v>3891</v>
      </c>
      <c r="C2422" s="43" t="s">
        <v>3851</v>
      </c>
      <c r="D2422" s="44" t="s">
        <v>2589</v>
      </c>
      <c r="E2422" s="45">
        <v>1</v>
      </c>
      <c r="F2422" s="46">
        <v>8.2899999999999991</v>
      </c>
      <c r="G2422" s="46">
        <f t="shared" si="37"/>
        <v>8.2899999999999991</v>
      </c>
      <c r="H2422" s="47" t="s">
        <v>24</v>
      </c>
      <c r="I2422" s="47" t="s">
        <v>58</v>
      </c>
      <c r="J2422" s="32"/>
    </row>
    <row r="2423" spans="1:10" x14ac:dyDescent="0.2">
      <c r="A2423" s="32"/>
      <c r="B2423" s="36" t="s">
        <v>3892</v>
      </c>
      <c r="C2423" s="37" t="s">
        <v>3851</v>
      </c>
      <c r="D2423" s="38" t="s">
        <v>2589</v>
      </c>
      <c r="E2423" s="39">
        <v>1</v>
      </c>
      <c r="F2423" s="40">
        <v>8.2899999999999991</v>
      </c>
      <c r="G2423" s="40">
        <f t="shared" si="37"/>
        <v>8.2899999999999991</v>
      </c>
      <c r="H2423" s="41" t="s">
        <v>24</v>
      </c>
      <c r="I2423" s="41" t="s">
        <v>58</v>
      </c>
      <c r="J2423" s="32"/>
    </row>
    <row r="2424" spans="1:10" x14ac:dyDescent="0.2">
      <c r="A2424" s="32"/>
      <c r="B2424" s="42" t="s">
        <v>3893</v>
      </c>
      <c r="C2424" s="43" t="s">
        <v>3851</v>
      </c>
      <c r="D2424" s="44" t="s">
        <v>2499</v>
      </c>
      <c r="E2424" s="45">
        <v>1</v>
      </c>
      <c r="F2424" s="46">
        <v>29.9</v>
      </c>
      <c r="G2424" s="46">
        <f t="shared" si="37"/>
        <v>29.9</v>
      </c>
      <c r="H2424" s="47" t="s">
        <v>24</v>
      </c>
      <c r="I2424" s="47" t="s">
        <v>58</v>
      </c>
      <c r="J2424" s="32"/>
    </row>
    <row r="2425" spans="1:10" x14ac:dyDescent="0.2">
      <c r="A2425" s="32"/>
      <c r="B2425" s="36" t="s">
        <v>3894</v>
      </c>
      <c r="C2425" s="37" t="s">
        <v>3851</v>
      </c>
      <c r="D2425" s="38" t="s">
        <v>1896</v>
      </c>
      <c r="E2425" s="39">
        <v>1</v>
      </c>
      <c r="F2425" s="40">
        <v>4.79</v>
      </c>
      <c r="G2425" s="40">
        <f t="shared" si="37"/>
        <v>4.79</v>
      </c>
      <c r="H2425" s="41" t="s">
        <v>24</v>
      </c>
      <c r="I2425" s="41" t="s">
        <v>58</v>
      </c>
      <c r="J2425" s="32"/>
    </row>
    <row r="2426" spans="1:10" x14ac:dyDescent="0.2">
      <c r="A2426" s="32"/>
      <c r="B2426" s="42" t="s">
        <v>3895</v>
      </c>
      <c r="C2426" s="43" t="s">
        <v>3851</v>
      </c>
      <c r="D2426" s="44" t="s">
        <v>1896</v>
      </c>
      <c r="E2426" s="45">
        <v>1</v>
      </c>
      <c r="F2426" s="46">
        <v>4.79</v>
      </c>
      <c r="G2426" s="46">
        <f t="shared" si="37"/>
        <v>4.79</v>
      </c>
      <c r="H2426" s="47" t="s">
        <v>24</v>
      </c>
      <c r="I2426" s="47" t="s">
        <v>58</v>
      </c>
      <c r="J2426" s="32"/>
    </row>
    <row r="2427" spans="1:10" x14ac:dyDescent="0.2">
      <c r="A2427" s="32"/>
      <c r="B2427" s="36" t="s">
        <v>3896</v>
      </c>
      <c r="C2427" s="37" t="s">
        <v>3851</v>
      </c>
      <c r="D2427" s="38" t="s">
        <v>1871</v>
      </c>
      <c r="E2427" s="39">
        <v>1</v>
      </c>
      <c r="F2427" s="40">
        <v>5.49</v>
      </c>
      <c r="G2427" s="40">
        <f t="shared" si="37"/>
        <v>5.49</v>
      </c>
      <c r="H2427" s="41" t="s">
        <v>24</v>
      </c>
      <c r="I2427" s="41" t="s">
        <v>58</v>
      </c>
      <c r="J2427" s="32"/>
    </row>
    <row r="2428" spans="1:10" x14ac:dyDescent="0.2">
      <c r="A2428" s="32"/>
      <c r="B2428" s="42" t="s">
        <v>3897</v>
      </c>
      <c r="C2428" s="43" t="s">
        <v>3851</v>
      </c>
      <c r="D2428" s="44" t="s">
        <v>1871</v>
      </c>
      <c r="E2428" s="45">
        <v>1</v>
      </c>
      <c r="F2428" s="46">
        <v>5.49</v>
      </c>
      <c r="G2428" s="46">
        <f t="shared" si="37"/>
        <v>5.49</v>
      </c>
      <c r="H2428" s="47" t="s">
        <v>24</v>
      </c>
      <c r="I2428" s="47" t="s">
        <v>58</v>
      </c>
      <c r="J2428" s="32"/>
    </row>
    <row r="2429" spans="1:10" x14ac:dyDescent="0.2">
      <c r="A2429" s="32"/>
      <c r="B2429" s="36" t="s">
        <v>3898</v>
      </c>
      <c r="C2429" s="37" t="s">
        <v>3851</v>
      </c>
      <c r="D2429" s="38" t="s">
        <v>1871</v>
      </c>
      <c r="E2429" s="39">
        <v>1</v>
      </c>
      <c r="F2429" s="40">
        <v>5.49</v>
      </c>
      <c r="G2429" s="40">
        <f t="shared" si="37"/>
        <v>5.49</v>
      </c>
      <c r="H2429" s="41" t="s">
        <v>24</v>
      </c>
      <c r="I2429" s="41" t="s">
        <v>58</v>
      </c>
      <c r="J2429" s="32"/>
    </row>
    <row r="2430" spans="1:10" x14ac:dyDescent="0.2">
      <c r="A2430" s="32"/>
      <c r="B2430" s="42" t="s">
        <v>3899</v>
      </c>
      <c r="C2430" s="43" t="s">
        <v>3851</v>
      </c>
      <c r="D2430" s="44" t="s">
        <v>3900</v>
      </c>
      <c r="E2430" s="45">
        <v>1</v>
      </c>
      <c r="F2430" s="46">
        <v>10.49</v>
      </c>
      <c r="G2430" s="46">
        <f t="shared" si="37"/>
        <v>10.49</v>
      </c>
      <c r="H2430" s="47" t="s">
        <v>24</v>
      </c>
      <c r="I2430" s="47" t="s">
        <v>58</v>
      </c>
      <c r="J2430" s="32"/>
    </row>
    <row r="2431" spans="1:10" x14ac:dyDescent="0.2">
      <c r="A2431" s="32"/>
      <c r="B2431" s="36" t="s">
        <v>3901</v>
      </c>
      <c r="C2431" s="37" t="s">
        <v>3851</v>
      </c>
      <c r="D2431" s="38" t="s">
        <v>3097</v>
      </c>
      <c r="E2431" s="39">
        <v>1</v>
      </c>
      <c r="F2431" s="40">
        <v>19.59</v>
      </c>
      <c r="G2431" s="40">
        <f t="shared" si="37"/>
        <v>19.59</v>
      </c>
      <c r="H2431" s="41" t="s">
        <v>24</v>
      </c>
      <c r="I2431" s="41" t="s">
        <v>58</v>
      </c>
      <c r="J2431" s="32"/>
    </row>
    <row r="2432" spans="1:10" x14ac:dyDescent="0.2">
      <c r="A2432" s="32"/>
      <c r="B2432" s="42" t="s">
        <v>3902</v>
      </c>
      <c r="C2432" s="43" t="s">
        <v>3851</v>
      </c>
      <c r="D2432" s="44" t="s">
        <v>3097</v>
      </c>
      <c r="E2432" s="45">
        <v>1</v>
      </c>
      <c r="F2432" s="46">
        <v>19.59</v>
      </c>
      <c r="G2432" s="46">
        <f t="shared" si="37"/>
        <v>19.59</v>
      </c>
      <c r="H2432" s="47" t="s">
        <v>24</v>
      </c>
      <c r="I2432" s="47" t="s">
        <v>58</v>
      </c>
      <c r="J2432" s="32"/>
    </row>
    <row r="2433" spans="1:10" x14ac:dyDescent="0.2">
      <c r="A2433" s="32"/>
      <c r="B2433" s="36" t="s">
        <v>3903</v>
      </c>
      <c r="C2433" s="37" t="s">
        <v>3851</v>
      </c>
      <c r="D2433" s="38" t="s">
        <v>2335</v>
      </c>
      <c r="E2433" s="39">
        <v>1</v>
      </c>
      <c r="F2433" s="40">
        <v>5.49</v>
      </c>
      <c r="G2433" s="40">
        <f t="shared" si="37"/>
        <v>5.49</v>
      </c>
      <c r="H2433" s="41" t="s">
        <v>28</v>
      </c>
      <c r="I2433" s="41" t="s">
        <v>58</v>
      </c>
      <c r="J2433" s="32"/>
    </row>
    <row r="2434" spans="1:10" x14ac:dyDescent="0.2">
      <c r="A2434" s="32"/>
      <c r="B2434" s="42" t="s">
        <v>3904</v>
      </c>
      <c r="C2434" s="43" t="s">
        <v>3851</v>
      </c>
      <c r="D2434" s="44" t="s">
        <v>3905</v>
      </c>
      <c r="E2434" s="45">
        <v>1</v>
      </c>
      <c r="F2434" s="46">
        <v>14.99</v>
      </c>
      <c r="G2434" s="46">
        <f t="shared" si="37"/>
        <v>14.99</v>
      </c>
      <c r="H2434" s="47" t="s">
        <v>25</v>
      </c>
      <c r="I2434" s="47" t="s">
        <v>58</v>
      </c>
      <c r="J2434" s="32"/>
    </row>
    <row r="2435" spans="1:10" x14ac:dyDescent="0.2">
      <c r="A2435" s="32"/>
      <c r="B2435" s="36" t="s">
        <v>3906</v>
      </c>
      <c r="C2435" s="37" t="s">
        <v>3851</v>
      </c>
      <c r="D2435" s="38" t="s">
        <v>834</v>
      </c>
      <c r="E2435" s="39">
        <v>1</v>
      </c>
      <c r="F2435" s="40">
        <v>4.9800000000000004</v>
      </c>
      <c r="G2435" s="40">
        <f t="shared" si="37"/>
        <v>4.9800000000000004</v>
      </c>
      <c r="H2435" s="41" t="s">
        <v>25</v>
      </c>
      <c r="I2435" s="41" t="s">
        <v>58</v>
      </c>
      <c r="J2435" s="32"/>
    </row>
    <row r="2436" spans="1:10" x14ac:dyDescent="0.2">
      <c r="A2436" s="32"/>
      <c r="B2436" s="42" t="s">
        <v>3907</v>
      </c>
      <c r="C2436" s="43" t="s">
        <v>3851</v>
      </c>
      <c r="D2436" s="44" t="s">
        <v>834</v>
      </c>
      <c r="E2436" s="45">
        <v>1</v>
      </c>
      <c r="F2436" s="46">
        <v>4.9800000000000004</v>
      </c>
      <c r="G2436" s="46">
        <f t="shared" si="37"/>
        <v>4.9800000000000004</v>
      </c>
      <c r="H2436" s="47" t="s">
        <v>25</v>
      </c>
      <c r="I2436" s="47" t="s">
        <v>58</v>
      </c>
      <c r="J2436" s="32"/>
    </row>
    <row r="2437" spans="1:10" x14ac:dyDescent="0.2">
      <c r="A2437" s="32"/>
      <c r="B2437" s="36" t="s">
        <v>3908</v>
      </c>
      <c r="C2437" s="37" t="s">
        <v>3851</v>
      </c>
      <c r="D2437" s="38" t="s">
        <v>3909</v>
      </c>
      <c r="E2437" s="39">
        <v>1</v>
      </c>
      <c r="F2437" s="40">
        <v>13.99</v>
      </c>
      <c r="G2437" s="40">
        <f t="shared" ref="G2437:G2500" si="38">E2437*F2437</f>
        <v>13.99</v>
      </c>
      <c r="H2437" s="41" t="s">
        <v>24</v>
      </c>
      <c r="I2437" s="41" t="s">
        <v>58</v>
      </c>
      <c r="J2437" s="32"/>
    </row>
    <row r="2438" spans="1:10" x14ac:dyDescent="0.2">
      <c r="A2438" s="32"/>
      <c r="B2438" s="42" t="s">
        <v>3910</v>
      </c>
      <c r="C2438" s="43" t="s">
        <v>3851</v>
      </c>
      <c r="D2438" s="44" t="s">
        <v>3911</v>
      </c>
      <c r="E2438" s="45">
        <v>1</v>
      </c>
      <c r="F2438" s="46">
        <v>23.99</v>
      </c>
      <c r="G2438" s="46">
        <f t="shared" si="38"/>
        <v>23.99</v>
      </c>
      <c r="H2438" s="47" t="s">
        <v>25</v>
      </c>
      <c r="I2438" s="47" t="s">
        <v>58</v>
      </c>
      <c r="J2438" s="32"/>
    </row>
    <row r="2439" spans="1:10" x14ac:dyDescent="0.2">
      <c r="A2439" s="32"/>
      <c r="B2439" s="36" t="s">
        <v>3912</v>
      </c>
      <c r="C2439" s="37" t="s">
        <v>3851</v>
      </c>
      <c r="D2439" s="38" t="s">
        <v>2906</v>
      </c>
      <c r="E2439" s="39">
        <v>1</v>
      </c>
      <c r="F2439" s="40">
        <v>11.99</v>
      </c>
      <c r="G2439" s="40">
        <f t="shared" si="38"/>
        <v>11.99</v>
      </c>
      <c r="H2439" s="41" t="s">
        <v>25</v>
      </c>
      <c r="I2439" s="41" t="s">
        <v>58</v>
      </c>
      <c r="J2439" s="32"/>
    </row>
    <row r="2440" spans="1:10" x14ac:dyDescent="0.2">
      <c r="A2440" s="32"/>
      <c r="B2440" s="42" t="s">
        <v>3913</v>
      </c>
      <c r="C2440" s="43" t="s">
        <v>3851</v>
      </c>
      <c r="D2440" s="44" t="s">
        <v>1524</v>
      </c>
      <c r="E2440" s="45">
        <v>1</v>
      </c>
      <c r="F2440" s="46">
        <v>14.99</v>
      </c>
      <c r="G2440" s="46">
        <f t="shared" si="38"/>
        <v>14.99</v>
      </c>
      <c r="H2440" s="47" t="s">
        <v>25</v>
      </c>
      <c r="I2440" s="47" t="s">
        <v>58</v>
      </c>
      <c r="J2440" s="32"/>
    </row>
    <row r="2441" spans="1:10" x14ac:dyDescent="0.2">
      <c r="A2441" s="32"/>
      <c r="B2441" s="36" t="s">
        <v>3914</v>
      </c>
      <c r="C2441" s="37" t="s">
        <v>3851</v>
      </c>
      <c r="D2441" s="38" t="s">
        <v>2620</v>
      </c>
      <c r="E2441" s="39">
        <v>1</v>
      </c>
      <c r="F2441" s="40">
        <v>22.49</v>
      </c>
      <c r="G2441" s="40">
        <f t="shared" si="38"/>
        <v>22.49</v>
      </c>
      <c r="H2441" s="41" t="s">
        <v>24</v>
      </c>
      <c r="I2441" s="41" t="s">
        <v>58</v>
      </c>
      <c r="J2441" s="32"/>
    </row>
    <row r="2442" spans="1:10" x14ac:dyDescent="0.2">
      <c r="A2442" s="32"/>
      <c r="B2442" s="42" t="s">
        <v>3915</v>
      </c>
      <c r="C2442" s="43" t="s">
        <v>3851</v>
      </c>
      <c r="D2442" s="44" t="s">
        <v>3916</v>
      </c>
      <c r="E2442" s="45">
        <v>1</v>
      </c>
      <c r="F2442" s="46">
        <v>9.69</v>
      </c>
      <c r="G2442" s="46">
        <f t="shared" si="38"/>
        <v>9.69</v>
      </c>
      <c r="H2442" s="47" t="s">
        <v>24</v>
      </c>
      <c r="I2442" s="47" t="s">
        <v>58</v>
      </c>
      <c r="J2442" s="32"/>
    </row>
    <row r="2443" spans="1:10" x14ac:dyDescent="0.2">
      <c r="A2443" s="32"/>
      <c r="B2443" s="36" t="s">
        <v>3917</v>
      </c>
      <c r="C2443" s="37" t="s">
        <v>3851</v>
      </c>
      <c r="D2443" s="38" t="s">
        <v>1955</v>
      </c>
      <c r="E2443" s="39">
        <v>1</v>
      </c>
      <c r="F2443" s="40">
        <v>23.79</v>
      </c>
      <c r="G2443" s="40">
        <f t="shared" si="38"/>
        <v>23.79</v>
      </c>
      <c r="H2443" s="41" t="s">
        <v>24</v>
      </c>
      <c r="I2443" s="41" t="s">
        <v>58</v>
      </c>
      <c r="J2443" s="32"/>
    </row>
    <row r="2444" spans="1:10" x14ac:dyDescent="0.2">
      <c r="A2444" s="32"/>
      <c r="B2444" s="42" t="s">
        <v>3918</v>
      </c>
      <c r="C2444" s="43" t="s">
        <v>3851</v>
      </c>
      <c r="D2444" s="44" t="s">
        <v>3513</v>
      </c>
      <c r="E2444" s="45">
        <v>1</v>
      </c>
      <c r="F2444" s="46">
        <v>20.99</v>
      </c>
      <c r="G2444" s="46">
        <f t="shared" si="38"/>
        <v>20.99</v>
      </c>
      <c r="H2444" s="47" t="s">
        <v>24</v>
      </c>
      <c r="I2444" s="47" t="s">
        <v>58</v>
      </c>
      <c r="J2444" s="32"/>
    </row>
    <row r="2445" spans="1:10" x14ac:dyDescent="0.2">
      <c r="A2445" s="32"/>
      <c r="B2445" s="36" t="s">
        <v>3919</v>
      </c>
      <c r="C2445" s="37" t="s">
        <v>3851</v>
      </c>
      <c r="D2445" s="38" t="s">
        <v>2767</v>
      </c>
      <c r="E2445" s="39">
        <v>1</v>
      </c>
      <c r="F2445" s="40">
        <v>13.49</v>
      </c>
      <c r="G2445" s="40">
        <f t="shared" si="38"/>
        <v>13.49</v>
      </c>
      <c r="H2445" s="41" t="s">
        <v>24</v>
      </c>
      <c r="I2445" s="41" t="s">
        <v>58</v>
      </c>
      <c r="J2445" s="32"/>
    </row>
    <row r="2446" spans="1:10" x14ac:dyDescent="0.2">
      <c r="A2446" s="32"/>
      <c r="B2446" s="42" t="s">
        <v>3920</v>
      </c>
      <c r="C2446" s="43" t="s">
        <v>3851</v>
      </c>
      <c r="D2446" s="44" t="s">
        <v>2767</v>
      </c>
      <c r="E2446" s="45">
        <v>1</v>
      </c>
      <c r="F2446" s="46">
        <v>13.49</v>
      </c>
      <c r="G2446" s="46">
        <f t="shared" si="38"/>
        <v>13.49</v>
      </c>
      <c r="H2446" s="47" t="s">
        <v>24</v>
      </c>
      <c r="I2446" s="47" t="s">
        <v>58</v>
      </c>
      <c r="J2446" s="32"/>
    </row>
    <row r="2447" spans="1:10" x14ac:dyDescent="0.2">
      <c r="A2447" s="32"/>
      <c r="B2447" s="36" t="s">
        <v>3921</v>
      </c>
      <c r="C2447" s="37" t="s">
        <v>3851</v>
      </c>
      <c r="D2447" s="38" t="s">
        <v>2767</v>
      </c>
      <c r="E2447" s="39">
        <v>1</v>
      </c>
      <c r="F2447" s="40">
        <v>13.49</v>
      </c>
      <c r="G2447" s="40">
        <f t="shared" si="38"/>
        <v>13.49</v>
      </c>
      <c r="H2447" s="41" t="s">
        <v>24</v>
      </c>
      <c r="I2447" s="41" t="s">
        <v>58</v>
      </c>
      <c r="J2447" s="32"/>
    </row>
    <row r="2448" spans="1:10" x14ac:dyDescent="0.2">
      <c r="A2448" s="32"/>
      <c r="B2448" s="42" t="s">
        <v>3922</v>
      </c>
      <c r="C2448" s="43" t="s">
        <v>3851</v>
      </c>
      <c r="D2448" s="44" t="s">
        <v>2767</v>
      </c>
      <c r="E2448" s="45">
        <v>1</v>
      </c>
      <c r="F2448" s="46">
        <v>13.49</v>
      </c>
      <c r="G2448" s="46">
        <f t="shared" si="38"/>
        <v>13.49</v>
      </c>
      <c r="H2448" s="47" t="s">
        <v>24</v>
      </c>
      <c r="I2448" s="47" t="s">
        <v>58</v>
      </c>
      <c r="J2448" s="32"/>
    </row>
    <row r="2449" spans="1:10" x14ac:dyDescent="0.2">
      <c r="A2449" s="32"/>
      <c r="B2449" s="36" t="s">
        <v>3923</v>
      </c>
      <c r="C2449" s="37" t="s">
        <v>3851</v>
      </c>
      <c r="D2449" s="38" t="s">
        <v>2767</v>
      </c>
      <c r="E2449" s="39">
        <v>1</v>
      </c>
      <c r="F2449" s="40">
        <v>13.49</v>
      </c>
      <c r="G2449" s="40">
        <f t="shared" si="38"/>
        <v>13.49</v>
      </c>
      <c r="H2449" s="41" t="s">
        <v>24</v>
      </c>
      <c r="I2449" s="41" t="s">
        <v>58</v>
      </c>
      <c r="J2449" s="32"/>
    </row>
    <row r="2450" spans="1:10" x14ac:dyDescent="0.2">
      <c r="A2450" s="32"/>
      <c r="B2450" s="42" t="s">
        <v>3924</v>
      </c>
      <c r="C2450" s="43" t="s">
        <v>3851</v>
      </c>
      <c r="D2450" s="44" t="s">
        <v>2767</v>
      </c>
      <c r="E2450" s="45">
        <v>1</v>
      </c>
      <c r="F2450" s="46">
        <v>13.49</v>
      </c>
      <c r="G2450" s="46">
        <f t="shared" si="38"/>
        <v>13.49</v>
      </c>
      <c r="H2450" s="47" t="s">
        <v>24</v>
      </c>
      <c r="I2450" s="47" t="s">
        <v>58</v>
      </c>
      <c r="J2450" s="32"/>
    </row>
    <row r="2451" spans="1:10" x14ac:dyDescent="0.2">
      <c r="A2451" s="32"/>
      <c r="B2451" s="36" t="s">
        <v>3925</v>
      </c>
      <c r="C2451" s="37" t="s">
        <v>3926</v>
      </c>
      <c r="D2451" s="38" t="s">
        <v>3927</v>
      </c>
      <c r="E2451" s="39">
        <v>1</v>
      </c>
      <c r="F2451" s="40">
        <v>99.81</v>
      </c>
      <c r="G2451" s="40">
        <f t="shared" si="38"/>
        <v>99.81</v>
      </c>
      <c r="H2451" s="41" t="s">
        <v>24</v>
      </c>
      <c r="I2451" s="41" t="s">
        <v>58</v>
      </c>
      <c r="J2451" s="32"/>
    </row>
    <row r="2452" spans="1:10" x14ac:dyDescent="0.2">
      <c r="A2452" s="32"/>
      <c r="B2452" s="42" t="s">
        <v>3928</v>
      </c>
      <c r="C2452" s="43" t="s">
        <v>3926</v>
      </c>
      <c r="D2452" s="44" t="s">
        <v>3929</v>
      </c>
      <c r="E2452" s="45">
        <v>1</v>
      </c>
      <c r="F2452" s="46">
        <v>10.29</v>
      </c>
      <c r="G2452" s="46">
        <f t="shared" si="38"/>
        <v>10.29</v>
      </c>
      <c r="H2452" s="47" t="s">
        <v>24</v>
      </c>
      <c r="I2452" s="47" t="s">
        <v>58</v>
      </c>
      <c r="J2452" s="32"/>
    </row>
    <row r="2453" spans="1:10" x14ac:dyDescent="0.2">
      <c r="A2453" s="32"/>
      <c r="B2453" s="36" t="s">
        <v>3930</v>
      </c>
      <c r="C2453" s="37" t="s">
        <v>3931</v>
      </c>
      <c r="D2453" s="38" t="s">
        <v>3839</v>
      </c>
      <c r="E2453" s="39">
        <v>1</v>
      </c>
      <c r="F2453" s="40">
        <v>3.7</v>
      </c>
      <c r="G2453" s="40">
        <f t="shared" si="38"/>
        <v>3.7</v>
      </c>
      <c r="H2453" s="41" t="s">
        <v>24</v>
      </c>
      <c r="I2453" s="41" t="s">
        <v>58</v>
      </c>
      <c r="J2453" s="32"/>
    </row>
    <row r="2454" spans="1:10" x14ac:dyDescent="0.2">
      <c r="A2454" s="32"/>
      <c r="B2454" s="42" t="s">
        <v>3932</v>
      </c>
      <c r="C2454" s="43" t="s">
        <v>3931</v>
      </c>
      <c r="D2454" s="44" t="s">
        <v>3841</v>
      </c>
      <c r="E2454" s="45">
        <v>1</v>
      </c>
      <c r="F2454" s="46">
        <v>20.99</v>
      </c>
      <c r="G2454" s="46">
        <f t="shared" si="38"/>
        <v>20.99</v>
      </c>
      <c r="H2454" s="47" t="s">
        <v>25</v>
      </c>
      <c r="I2454" s="47" t="s">
        <v>58</v>
      </c>
      <c r="J2454" s="32"/>
    </row>
    <row r="2455" spans="1:10" x14ac:dyDescent="0.2">
      <c r="A2455" s="32"/>
      <c r="B2455" s="36" t="s">
        <v>3933</v>
      </c>
      <c r="C2455" s="37" t="s">
        <v>3931</v>
      </c>
      <c r="D2455" s="38" t="s">
        <v>3841</v>
      </c>
      <c r="E2455" s="39">
        <v>1</v>
      </c>
      <c r="F2455" s="40">
        <v>20.99</v>
      </c>
      <c r="G2455" s="40">
        <f t="shared" si="38"/>
        <v>20.99</v>
      </c>
      <c r="H2455" s="41" t="s">
        <v>25</v>
      </c>
      <c r="I2455" s="41" t="s">
        <v>58</v>
      </c>
      <c r="J2455" s="32"/>
    </row>
    <row r="2456" spans="1:10" x14ac:dyDescent="0.2">
      <c r="A2456" s="32"/>
      <c r="B2456" s="42" t="s">
        <v>3934</v>
      </c>
      <c r="C2456" s="43" t="s">
        <v>3931</v>
      </c>
      <c r="D2456" s="44" t="s">
        <v>3935</v>
      </c>
      <c r="E2456" s="45">
        <v>1</v>
      </c>
      <c r="F2456" s="46">
        <v>10.99</v>
      </c>
      <c r="G2456" s="46">
        <f t="shared" si="38"/>
        <v>10.99</v>
      </c>
      <c r="H2456" s="47" t="s">
        <v>24</v>
      </c>
      <c r="I2456" s="47" t="s">
        <v>71</v>
      </c>
      <c r="J2456" s="32"/>
    </row>
    <row r="2457" spans="1:10" x14ac:dyDescent="0.2">
      <c r="A2457" s="32"/>
      <c r="B2457" s="36" t="s">
        <v>3936</v>
      </c>
      <c r="C2457" s="37" t="s">
        <v>3931</v>
      </c>
      <c r="D2457" s="38" t="s">
        <v>3937</v>
      </c>
      <c r="E2457" s="39">
        <v>1</v>
      </c>
      <c r="F2457" s="40">
        <v>41.99</v>
      </c>
      <c r="G2457" s="40">
        <f t="shared" si="38"/>
        <v>41.99</v>
      </c>
      <c r="H2457" s="41" t="s">
        <v>24</v>
      </c>
      <c r="I2457" s="41" t="s">
        <v>58</v>
      </c>
      <c r="J2457" s="32"/>
    </row>
    <row r="2458" spans="1:10" x14ac:dyDescent="0.2">
      <c r="A2458" s="32"/>
      <c r="B2458" s="42" t="s">
        <v>3938</v>
      </c>
      <c r="C2458" s="43" t="s">
        <v>3931</v>
      </c>
      <c r="D2458" s="44" t="s">
        <v>3939</v>
      </c>
      <c r="E2458" s="45">
        <v>1</v>
      </c>
      <c r="F2458" s="46">
        <v>3.99</v>
      </c>
      <c r="G2458" s="46">
        <f t="shared" si="38"/>
        <v>3.99</v>
      </c>
      <c r="H2458" s="47" t="s">
        <v>24</v>
      </c>
      <c r="I2458" s="47" t="s">
        <v>58</v>
      </c>
      <c r="J2458" s="32"/>
    </row>
    <row r="2459" spans="1:10" x14ac:dyDescent="0.2">
      <c r="A2459" s="32"/>
      <c r="B2459" s="36" t="s">
        <v>3940</v>
      </c>
      <c r="C2459" s="37" t="s">
        <v>3931</v>
      </c>
      <c r="D2459" s="38" t="s">
        <v>3418</v>
      </c>
      <c r="E2459" s="39">
        <v>1</v>
      </c>
      <c r="F2459" s="40">
        <v>6.79</v>
      </c>
      <c r="G2459" s="40">
        <f t="shared" si="38"/>
        <v>6.79</v>
      </c>
      <c r="H2459" s="41" t="s">
        <v>24</v>
      </c>
      <c r="I2459" s="41" t="s">
        <v>58</v>
      </c>
      <c r="J2459" s="32"/>
    </row>
    <row r="2460" spans="1:10" x14ac:dyDescent="0.2">
      <c r="A2460" s="32"/>
      <c r="B2460" s="42" t="s">
        <v>3941</v>
      </c>
      <c r="C2460" s="43" t="s">
        <v>3942</v>
      </c>
      <c r="D2460" s="44" t="s">
        <v>2678</v>
      </c>
      <c r="E2460" s="45">
        <v>1</v>
      </c>
      <c r="F2460" s="46">
        <v>3.99</v>
      </c>
      <c r="G2460" s="46">
        <f t="shared" si="38"/>
        <v>3.99</v>
      </c>
      <c r="H2460" s="47" t="s">
        <v>24</v>
      </c>
      <c r="I2460" s="47" t="s">
        <v>58</v>
      </c>
      <c r="J2460" s="32"/>
    </row>
    <row r="2461" spans="1:10" x14ac:dyDescent="0.2">
      <c r="A2461" s="32"/>
      <c r="B2461" s="36" t="s">
        <v>3943</v>
      </c>
      <c r="C2461" s="37" t="s">
        <v>3942</v>
      </c>
      <c r="D2461" s="38" t="s">
        <v>1012</v>
      </c>
      <c r="E2461" s="39">
        <v>1</v>
      </c>
      <c r="F2461" s="40">
        <v>5.99</v>
      </c>
      <c r="G2461" s="40">
        <f t="shared" si="38"/>
        <v>5.99</v>
      </c>
      <c r="H2461" s="41" t="s">
        <v>24</v>
      </c>
      <c r="I2461" s="41" t="s">
        <v>58</v>
      </c>
      <c r="J2461" s="32"/>
    </row>
    <row r="2462" spans="1:10" x14ac:dyDescent="0.2">
      <c r="A2462" s="32"/>
      <c r="B2462" s="42" t="s">
        <v>3944</v>
      </c>
      <c r="C2462" s="43" t="s">
        <v>3942</v>
      </c>
      <c r="D2462" s="44" t="s">
        <v>982</v>
      </c>
      <c r="E2462" s="45">
        <v>1</v>
      </c>
      <c r="F2462" s="46">
        <v>6.99</v>
      </c>
      <c r="G2462" s="46">
        <f t="shared" si="38"/>
        <v>6.99</v>
      </c>
      <c r="H2462" s="47" t="s">
        <v>24</v>
      </c>
      <c r="I2462" s="47" t="s">
        <v>58</v>
      </c>
      <c r="J2462" s="32"/>
    </row>
    <row r="2463" spans="1:10" x14ac:dyDescent="0.2">
      <c r="A2463" s="32"/>
      <c r="B2463" s="36" t="s">
        <v>3945</v>
      </c>
      <c r="C2463" s="37" t="s">
        <v>3942</v>
      </c>
      <c r="D2463" s="38" t="s">
        <v>735</v>
      </c>
      <c r="E2463" s="39">
        <v>1</v>
      </c>
      <c r="F2463" s="40">
        <v>5.99</v>
      </c>
      <c r="G2463" s="40">
        <f t="shared" si="38"/>
        <v>5.99</v>
      </c>
      <c r="H2463" s="41" t="s">
        <v>24</v>
      </c>
      <c r="I2463" s="41" t="s">
        <v>58</v>
      </c>
      <c r="J2463" s="32"/>
    </row>
    <row r="2464" spans="1:10" x14ac:dyDescent="0.2">
      <c r="A2464" s="32"/>
      <c r="B2464" s="42" t="s">
        <v>3946</v>
      </c>
      <c r="C2464" s="43" t="s">
        <v>3942</v>
      </c>
      <c r="D2464" s="44" t="s">
        <v>1852</v>
      </c>
      <c r="E2464" s="45">
        <v>1</v>
      </c>
      <c r="F2464" s="46">
        <v>19.989999999999998</v>
      </c>
      <c r="G2464" s="46">
        <f t="shared" si="38"/>
        <v>19.989999999999998</v>
      </c>
      <c r="H2464" s="47" t="s">
        <v>24</v>
      </c>
      <c r="I2464" s="47" t="s">
        <v>58</v>
      </c>
      <c r="J2464" s="32"/>
    </row>
    <row r="2465" spans="1:10" x14ac:dyDescent="0.2">
      <c r="A2465" s="32"/>
      <c r="B2465" s="36" t="s">
        <v>3947</v>
      </c>
      <c r="C2465" s="37" t="s">
        <v>3942</v>
      </c>
      <c r="D2465" s="38" t="s">
        <v>2927</v>
      </c>
      <c r="E2465" s="39">
        <v>1</v>
      </c>
      <c r="F2465" s="40">
        <v>3.99</v>
      </c>
      <c r="G2465" s="40">
        <f t="shared" si="38"/>
        <v>3.99</v>
      </c>
      <c r="H2465" s="41" t="s">
        <v>24</v>
      </c>
      <c r="I2465" s="41" t="s">
        <v>58</v>
      </c>
      <c r="J2465" s="32"/>
    </row>
    <row r="2466" spans="1:10" x14ac:dyDescent="0.2">
      <c r="A2466" s="32"/>
      <c r="B2466" s="42" t="s">
        <v>3948</v>
      </c>
      <c r="C2466" s="43" t="s">
        <v>3942</v>
      </c>
      <c r="D2466" s="44" t="s">
        <v>76</v>
      </c>
      <c r="E2466" s="45">
        <v>1</v>
      </c>
      <c r="F2466" s="46">
        <v>5.99</v>
      </c>
      <c r="G2466" s="46">
        <f t="shared" si="38"/>
        <v>5.99</v>
      </c>
      <c r="H2466" s="47" t="s">
        <v>24</v>
      </c>
      <c r="I2466" s="47" t="s">
        <v>58</v>
      </c>
      <c r="J2466" s="32"/>
    </row>
    <row r="2467" spans="1:10" x14ac:dyDescent="0.2">
      <c r="A2467" s="32"/>
      <c r="B2467" s="36" t="s">
        <v>3949</v>
      </c>
      <c r="C2467" s="37" t="s">
        <v>3942</v>
      </c>
      <c r="D2467" s="38" t="s">
        <v>2918</v>
      </c>
      <c r="E2467" s="39">
        <v>1</v>
      </c>
      <c r="F2467" s="40">
        <v>5.39</v>
      </c>
      <c r="G2467" s="40">
        <f t="shared" si="38"/>
        <v>5.39</v>
      </c>
      <c r="H2467" s="41" t="s">
        <v>24</v>
      </c>
      <c r="I2467" s="41" t="s">
        <v>58</v>
      </c>
      <c r="J2467" s="32"/>
    </row>
    <row r="2468" spans="1:10" x14ac:dyDescent="0.2">
      <c r="A2468" s="32"/>
      <c r="B2468" s="42" t="s">
        <v>3950</v>
      </c>
      <c r="C2468" s="43" t="s">
        <v>3942</v>
      </c>
      <c r="D2468" s="44" t="s">
        <v>38</v>
      </c>
      <c r="E2468" s="45">
        <v>1</v>
      </c>
      <c r="F2468" s="46">
        <v>3.99</v>
      </c>
      <c r="G2468" s="46">
        <f t="shared" si="38"/>
        <v>3.99</v>
      </c>
      <c r="H2468" s="47" t="s">
        <v>24</v>
      </c>
      <c r="I2468" s="47" t="s">
        <v>58</v>
      </c>
      <c r="J2468" s="32"/>
    </row>
    <row r="2469" spans="1:10" x14ac:dyDescent="0.2">
      <c r="A2469" s="32"/>
      <c r="B2469" s="36" t="s">
        <v>3951</v>
      </c>
      <c r="C2469" s="37" t="s">
        <v>3942</v>
      </c>
      <c r="D2469" s="38" t="s">
        <v>42</v>
      </c>
      <c r="E2469" s="39">
        <v>1</v>
      </c>
      <c r="F2469" s="40">
        <v>12.69</v>
      </c>
      <c r="G2469" s="40">
        <f t="shared" si="38"/>
        <v>12.69</v>
      </c>
      <c r="H2469" s="41" t="s">
        <v>24</v>
      </c>
      <c r="I2469" s="41" t="s">
        <v>58</v>
      </c>
      <c r="J2469" s="32"/>
    </row>
    <row r="2470" spans="1:10" x14ac:dyDescent="0.2">
      <c r="A2470" s="32"/>
      <c r="B2470" s="42" t="s">
        <v>3952</v>
      </c>
      <c r="C2470" s="43" t="s">
        <v>3942</v>
      </c>
      <c r="D2470" s="44" t="s">
        <v>3870</v>
      </c>
      <c r="E2470" s="45">
        <v>1</v>
      </c>
      <c r="F2470" s="46">
        <v>25.99</v>
      </c>
      <c r="G2470" s="46">
        <f t="shared" si="38"/>
        <v>25.99</v>
      </c>
      <c r="H2470" s="47" t="s">
        <v>24</v>
      </c>
      <c r="I2470" s="47" t="s">
        <v>58</v>
      </c>
      <c r="J2470" s="32"/>
    </row>
    <row r="2471" spans="1:10" x14ac:dyDescent="0.2">
      <c r="A2471" s="32"/>
      <c r="B2471" s="36" t="s">
        <v>3953</v>
      </c>
      <c r="C2471" s="37" t="s">
        <v>3942</v>
      </c>
      <c r="D2471" s="38" t="s">
        <v>2685</v>
      </c>
      <c r="E2471" s="39">
        <v>1</v>
      </c>
      <c r="F2471" s="40">
        <v>3.99</v>
      </c>
      <c r="G2471" s="40">
        <f t="shared" si="38"/>
        <v>3.99</v>
      </c>
      <c r="H2471" s="41" t="s">
        <v>24</v>
      </c>
      <c r="I2471" s="41" t="s">
        <v>58</v>
      </c>
      <c r="J2471" s="32"/>
    </row>
    <row r="2472" spans="1:10" x14ac:dyDescent="0.2">
      <c r="A2472" s="32"/>
      <c r="B2472" s="42" t="s">
        <v>3954</v>
      </c>
      <c r="C2472" s="43" t="s">
        <v>3942</v>
      </c>
      <c r="D2472" s="44" t="s">
        <v>2932</v>
      </c>
      <c r="E2472" s="45">
        <v>1</v>
      </c>
      <c r="F2472" s="46">
        <v>6.29</v>
      </c>
      <c r="G2472" s="46">
        <f t="shared" si="38"/>
        <v>6.29</v>
      </c>
      <c r="H2472" s="47" t="s">
        <v>24</v>
      </c>
      <c r="I2472" s="47" t="s">
        <v>58</v>
      </c>
      <c r="J2472" s="32"/>
    </row>
    <row r="2473" spans="1:10" x14ac:dyDescent="0.2">
      <c r="A2473" s="32"/>
      <c r="B2473" s="36" t="s">
        <v>3955</v>
      </c>
      <c r="C2473" s="37" t="s">
        <v>3942</v>
      </c>
      <c r="D2473" s="38" t="s">
        <v>2930</v>
      </c>
      <c r="E2473" s="39">
        <v>1</v>
      </c>
      <c r="F2473" s="40">
        <v>39.99</v>
      </c>
      <c r="G2473" s="40">
        <f t="shared" si="38"/>
        <v>39.99</v>
      </c>
      <c r="H2473" s="41" t="s">
        <v>24</v>
      </c>
      <c r="I2473" s="41" t="s">
        <v>58</v>
      </c>
      <c r="J2473" s="32"/>
    </row>
    <row r="2474" spans="1:10" x14ac:dyDescent="0.2">
      <c r="A2474" s="32"/>
      <c r="B2474" s="42" t="s">
        <v>3956</v>
      </c>
      <c r="C2474" s="43" t="s">
        <v>3942</v>
      </c>
      <c r="D2474" s="44" t="s">
        <v>2930</v>
      </c>
      <c r="E2474" s="45">
        <v>1</v>
      </c>
      <c r="F2474" s="46">
        <v>39.99</v>
      </c>
      <c r="G2474" s="46">
        <f t="shared" si="38"/>
        <v>39.99</v>
      </c>
      <c r="H2474" s="47" t="s">
        <v>24</v>
      </c>
      <c r="I2474" s="47" t="s">
        <v>58</v>
      </c>
      <c r="J2474" s="32"/>
    </row>
    <row r="2475" spans="1:10" x14ac:dyDescent="0.2">
      <c r="A2475" s="32"/>
      <c r="B2475" s="36" t="s">
        <v>3957</v>
      </c>
      <c r="C2475" s="37" t="s">
        <v>3942</v>
      </c>
      <c r="D2475" s="38" t="s">
        <v>3958</v>
      </c>
      <c r="E2475" s="39">
        <v>1</v>
      </c>
      <c r="F2475" s="40">
        <v>9.2899999999999991</v>
      </c>
      <c r="G2475" s="40">
        <f t="shared" si="38"/>
        <v>9.2899999999999991</v>
      </c>
      <c r="H2475" s="41" t="s">
        <v>24</v>
      </c>
      <c r="I2475" s="41" t="s">
        <v>58</v>
      </c>
      <c r="J2475" s="32"/>
    </row>
    <row r="2476" spans="1:10" x14ac:dyDescent="0.2">
      <c r="A2476" s="32"/>
      <c r="B2476" s="42" t="s">
        <v>3959</v>
      </c>
      <c r="C2476" s="43" t="s">
        <v>3942</v>
      </c>
      <c r="D2476" s="44" t="s">
        <v>3960</v>
      </c>
      <c r="E2476" s="45">
        <v>1</v>
      </c>
      <c r="F2476" s="46">
        <v>8.99</v>
      </c>
      <c r="G2476" s="46">
        <f t="shared" si="38"/>
        <v>8.99</v>
      </c>
      <c r="H2476" s="47" t="s">
        <v>24</v>
      </c>
      <c r="I2476" s="47" t="s">
        <v>58</v>
      </c>
      <c r="J2476" s="32"/>
    </row>
    <row r="2477" spans="1:10" x14ac:dyDescent="0.2">
      <c r="A2477" s="32"/>
      <c r="B2477" s="36" t="s">
        <v>3961</v>
      </c>
      <c r="C2477" s="37" t="s">
        <v>3942</v>
      </c>
      <c r="D2477" s="38" t="s">
        <v>2861</v>
      </c>
      <c r="E2477" s="39">
        <v>1</v>
      </c>
      <c r="F2477" s="40">
        <v>9.2899999999999991</v>
      </c>
      <c r="G2477" s="40">
        <f t="shared" si="38"/>
        <v>9.2899999999999991</v>
      </c>
      <c r="H2477" s="41" t="s">
        <v>24</v>
      </c>
      <c r="I2477" s="41" t="s">
        <v>58</v>
      </c>
      <c r="J2477" s="32"/>
    </row>
    <row r="2478" spans="1:10" x14ac:dyDescent="0.2">
      <c r="A2478" s="32"/>
      <c r="B2478" s="42" t="s">
        <v>3962</v>
      </c>
      <c r="C2478" s="43" t="s">
        <v>3942</v>
      </c>
      <c r="D2478" s="44" t="s">
        <v>3963</v>
      </c>
      <c r="E2478" s="45">
        <v>1</v>
      </c>
      <c r="F2478" s="46">
        <v>6.99</v>
      </c>
      <c r="G2478" s="46">
        <f t="shared" si="38"/>
        <v>6.99</v>
      </c>
      <c r="H2478" s="47" t="s">
        <v>24</v>
      </c>
      <c r="I2478" s="47" t="s">
        <v>58</v>
      </c>
      <c r="J2478" s="32"/>
    </row>
    <row r="2479" spans="1:10" x14ac:dyDescent="0.2">
      <c r="A2479" s="32"/>
      <c r="B2479" s="36" t="s">
        <v>3964</v>
      </c>
      <c r="C2479" s="37" t="s">
        <v>3942</v>
      </c>
      <c r="D2479" s="38" t="s">
        <v>2803</v>
      </c>
      <c r="E2479" s="39">
        <v>1</v>
      </c>
      <c r="F2479" s="40">
        <v>6.29</v>
      </c>
      <c r="G2479" s="40">
        <f t="shared" si="38"/>
        <v>6.29</v>
      </c>
      <c r="H2479" s="41" t="s">
        <v>24</v>
      </c>
      <c r="I2479" s="41" t="s">
        <v>58</v>
      </c>
      <c r="J2479" s="32"/>
    </row>
    <row r="2480" spans="1:10" x14ac:dyDescent="0.2">
      <c r="A2480" s="32"/>
      <c r="B2480" s="42" t="s">
        <v>3965</v>
      </c>
      <c r="C2480" s="43" t="s">
        <v>3942</v>
      </c>
      <c r="D2480" s="44" t="s">
        <v>2688</v>
      </c>
      <c r="E2480" s="45">
        <v>1</v>
      </c>
      <c r="F2480" s="46">
        <v>10.29</v>
      </c>
      <c r="G2480" s="46">
        <f t="shared" si="38"/>
        <v>10.29</v>
      </c>
      <c r="H2480" s="47" t="s">
        <v>24</v>
      </c>
      <c r="I2480" s="47" t="s">
        <v>58</v>
      </c>
      <c r="J2480" s="32"/>
    </row>
    <row r="2481" spans="1:10" x14ac:dyDescent="0.2">
      <c r="A2481" s="32"/>
      <c r="B2481" s="36" t="s">
        <v>3966</v>
      </c>
      <c r="C2481" s="37" t="s">
        <v>3942</v>
      </c>
      <c r="D2481" s="38" t="s">
        <v>3967</v>
      </c>
      <c r="E2481" s="39">
        <v>1</v>
      </c>
      <c r="F2481" s="40">
        <v>8.89</v>
      </c>
      <c r="G2481" s="40">
        <f t="shared" si="38"/>
        <v>8.89</v>
      </c>
      <c r="H2481" s="41" t="s">
        <v>24</v>
      </c>
      <c r="I2481" s="41" t="s">
        <v>58</v>
      </c>
      <c r="J2481" s="32"/>
    </row>
    <row r="2482" spans="1:10" x14ac:dyDescent="0.2">
      <c r="A2482" s="32"/>
      <c r="B2482" s="42" t="s">
        <v>3968</v>
      </c>
      <c r="C2482" s="43" t="s">
        <v>3942</v>
      </c>
      <c r="D2482" s="44" t="s">
        <v>3152</v>
      </c>
      <c r="E2482" s="45">
        <v>1</v>
      </c>
      <c r="F2482" s="46">
        <v>6.29</v>
      </c>
      <c r="G2482" s="46">
        <f t="shared" si="38"/>
        <v>6.29</v>
      </c>
      <c r="H2482" s="47" t="s">
        <v>24</v>
      </c>
      <c r="I2482" s="47" t="s">
        <v>58</v>
      </c>
      <c r="J2482" s="32"/>
    </row>
    <row r="2483" spans="1:10" x14ac:dyDescent="0.2">
      <c r="A2483" s="32"/>
      <c r="B2483" s="36" t="s">
        <v>3969</v>
      </c>
      <c r="C2483" s="37" t="s">
        <v>3942</v>
      </c>
      <c r="D2483" s="38" t="s">
        <v>3524</v>
      </c>
      <c r="E2483" s="39">
        <v>1</v>
      </c>
      <c r="F2483" s="40">
        <v>6.99</v>
      </c>
      <c r="G2483" s="40">
        <f t="shared" si="38"/>
        <v>6.99</v>
      </c>
      <c r="H2483" s="41" t="s">
        <v>24</v>
      </c>
      <c r="I2483" s="41" t="s">
        <v>58</v>
      </c>
      <c r="J2483" s="32"/>
    </row>
    <row r="2484" spans="1:10" x14ac:dyDescent="0.2">
      <c r="A2484" s="32"/>
      <c r="B2484" s="42" t="s">
        <v>3970</v>
      </c>
      <c r="C2484" s="43" t="s">
        <v>3942</v>
      </c>
      <c r="D2484" s="44" t="s">
        <v>3971</v>
      </c>
      <c r="E2484" s="45">
        <v>1</v>
      </c>
      <c r="F2484" s="46">
        <v>5.79</v>
      </c>
      <c r="G2484" s="46">
        <f t="shared" si="38"/>
        <v>5.79</v>
      </c>
      <c r="H2484" s="47" t="s">
        <v>24</v>
      </c>
      <c r="I2484" s="47" t="s">
        <v>58</v>
      </c>
      <c r="J2484" s="32"/>
    </row>
    <row r="2485" spans="1:10" x14ac:dyDescent="0.2">
      <c r="A2485" s="32"/>
      <c r="B2485" s="36" t="s">
        <v>3972</v>
      </c>
      <c r="C2485" s="37" t="s">
        <v>3942</v>
      </c>
      <c r="D2485" s="38" t="s">
        <v>3184</v>
      </c>
      <c r="E2485" s="39">
        <v>1</v>
      </c>
      <c r="F2485" s="40">
        <v>4.3899999999999997</v>
      </c>
      <c r="G2485" s="40">
        <f t="shared" si="38"/>
        <v>4.3899999999999997</v>
      </c>
      <c r="H2485" s="41" t="s">
        <v>24</v>
      </c>
      <c r="I2485" s="41" t="s">
        <v>58</v>
      </c>
      <c r="J2485" s="32"/>
    </row>
    <row r="2486" spans="1:10" x14ac:dyDescent="0.2">
      <c r="A2486" s="32"/>
      <c r="B2486" s="42" t="s">
        <v>3973</v>
      </c>
      <c r="C2486" s="43" t="s">
        <v>3942</v>
      </c>
      <c r="D2486" s="44" t="s">
        <v>3184</v>
      </c>
      <c r="E2486" s="45">
        <v>1</v>
      </c>
      <c r="F2486" s="46">
        <v>4.3899999999999997</v>
      </c>
      <c r="G2486" s="46">
        <f t="shared" si="38"/>
        <v>4.3899999999999997</v>
      </c>
      <c r="H2486" s="47" t="s">
        <v>24</v>
      </c>
      <c r="I2486" s="47" t="s">
        <v>58</v>
      </c>
      <c r="J2486" s="32"/>
    </row>
    <row r="2487" spans="1:10" x14ac:dyDescent="0.2">
      <c r="A2487" s="32"/>
      <c r="B2487" s="36" t="s">
        <v>3974</v>
      </c>
      <c r="C2487" s="37" t="s">
        <v>3942</v>
      </c>
      <c r="D2487" s="38" t="s">
        <v>3975</v>
      </c>
      <c r="E2487" s="39">
        <v>1</v>
      </c>
      <c r="F2487" s="40">
        <v>16.79</v>
      </c>
      <c r="G2487" s="40">
        <f t="shared" si="38"/>
        <v>16.79</v>
      </c>
      <c r="H2487" s="41" t="s">
        <v>24</v>
      </c>
      <c r="I2487" s="41" t="s">
        <v>58</v>
      </c>
      <c r="J2487" s="32"/>
    </row>
    <row r="2488" spans="1:10" x14ac:dyDescent="0.2">
      <c r="A2488" s="32"/>
      <c r="B2488" s="42" t="s">
        <v>3976</v>
      </c>
      <c r="C2488" s="43" t="s">
        <v>3942</v>
      </c>
      <c r="D2488" s="44" t="s">
        <v>2918</v>
      </c>
      <c r="E2488" s="45">
        <v>1</v>
      </c>
      <c r="F2488" s="46">
        <v>5.39</v>
      </c>
      <c r="G2488" s="46">
        <f t="shared" si="38"/>
        <v>5.39</v>
      </c>
      <c r="H2488" s="47" t="s">
        <v>24</v>
      </c>
      <c r="I2488" s="47" t="s">
        <v>58</v>
      </c>
      <c r="J2488" s="32"/>
    </row>
    <row r="2489" spans="1:10" x14ac:dyDescent="0.2">
      <c r="A2489" s="32"/>
      <c r="B2489" s="36" t="s">
        <v>3977</v>
      </c>
      <c r="C2489" s="37" t="s">
        <v>3942</v>
      </c>
      <c r="D2489" s="38" t="s">
        <v>2918</v>
      </c>
      <c r="E2489" s="39">
        <v>1</v>
      </c>
      <c r="F2489" s="40">
        <v>5.39</v>
      </c>
      <c r="G2489" s="40">
        <f t="shared" si="38"/>
        <v>5.39</v>
      </c>
      <c r="H2489" s="41" t="s">
        <v>24</v>
      </c>
      <c r="I2489" s="41" t="s">
        <v>58</v>
      </c>
      <c r="J2489" s="32"/>
    </row>
    <row r="2490" spans="1:10" x14ac:dyDescent="0.2">
      <c r="A2490" s="32"/>
      <c r="B2490" s="42" t="s">
        <v>3978</v>
      </c>
      <c r="C2490" s="43" t="s">
        <v>3942</v>
      </c>
      <c r="D2490" s="44" t="s">
        <v>2688</v>
      </c>
      <c r="E2490" s="45">
        <v>1</v>
      </c>
      <c r="F2490" s="46">
        <v>10.29</v>
      </c>
      <c r="G2490" s="46">
        <f t="shared" si="38"/>
        <v>10.29</v>
      </c>
      <c r="H2490" s="47" t="s">
        <v>24</v>
      </c>
      <c r="I2490" s="47" t="s">
        <v>58</v>
      </c>
      <c r="J2490" s="32"/>
    </row>
    <row r="2491" spans="1:10" x14ac:dyDescent="0.2">
      <c r="A2491" s="32"/>
      <c r="B2491" s="36" t="s">
        <v>3979</v>
      </c>
      <c r="C2491" s="37" t="s">
        <v>3942</v>
      </c>
      <c r="D2491" s="38" t="s">
        <v>2307</v>
      </c>
      <c r="E2491" s="39">
        <v>1</v>
      </c>
      <c r="F2491" s="40">
        <v>129.99</v>
      </c>
      <c r="G2491" s="40">
        <f t="shared" si="38"/>
        <v>129.99</v>
      </c>
      <c r="H2491" s="41" t="s">
        <v>24</v>
      </c>
      <c r="I2491" s="41" t="s">
        <v>58</v>
      </c>
      <c r="J2491" s="32"/>
    </row>
    <row r="2492" spans="1:10" x14ac:dyDescent="0.2">
      <c r="A2492" s="32"/>
      <c r="B2492" s="42" t="s">
        <v>3980</v>
      </c>
      <c r="C2492" s="43" t="s">
        <v>3942</v>
      </c>
      <c r="D2492" s="44" t="s">
        <v>3981</v>
      </c>
      <c r="E2492" s="45">
        <v>1</v>
      </c>
      <c r="F2492" s="46">
        <v>30.99</v>
      </c>
      <c r="G2492" s="46">
        <f t="shared" si="38"/>
        <v>30.99</v>
      </c>
      <c r="H2492" s="47" t="s">
        <v>24</v>
      </c>
      <c r="I2492" s="47" t="s">
        <v>58</v>
      </c>
      <c r="J2492" s="32"/>
    </row>
    <row r="2493" spans="1:10" x14ac:dyDescent="0.2">
      <c r="A2493" s="32"/>
      <c r="B2493" s="36" t="s">
        <v>3982</v>
      </c>
      <c r="C2493" s="37" t="s">
        <v>3942</v>
      </c>
      <c r="D2493" s="38" t="s">
        <v>3983</v>
      </c>
      <c r="E2493" s="39">
        <v>1</v>
      </c>
      <c r="F2493" s="40">
        <v>6.89</v>
      </c>
      <c r="G2493" s="40">
        <f t="shared" si="38"/>
        <v>6.89</v>
      </c>
      <c r="H2493" s="41" t="s">
        <v>24</v>
      </c>
      <c r="I2493" s="41" t="s">
        <v>58</v>
      </c>
      <c r="J2493" s="32"/>
    </row>
    <row r="2494" spans="1:10" x14ac:dyDescent="0.2">
      <c r="A2494" s="32"/>
      <c r="B2494" s="42" t="s">
        <v>3984</v>
      </c>
      <c r="C2494" s="43" t="s">
        <v>3942</v>
      </c>
      <c r="D2494" s="44" t="s">
        <v>2697</v>
      </c>
      <c r="E2494" s="45">
        <v>1</v>
      </c>
      <c r="F2494" s="46">
        <v>6.89</v>
      </c>
      <c r="G2494" s="46">
        <f t="shared" si="38"/>
        <v>6.89</v>
      </c>
      <c r="H2494" s="47" t="s">
        <v>24</v>
      </c>
      <c r="I2494" s="47" t="s">
        <v>58</v>
      </c>
      <c r="J2494" s="32"/>
    </row>
    <row r="2495" spans="1:10" x14ac:dyDescent="0.2">
      <c r="A2495" s="32"/>
      <c r="B2495" s="36" t="s">
        <v>3985</v>
      </c>
      <c r="C2495" s="37" t="s">
        <v>3942</v>
      </c>
      <c r="D2495" s="38" t="s">
        <v>3983</v>
      </c>
      <c r="E2495" s="39">
        <v>1</v>
      </c>
      <c r="F2495" s="40">
        <v>6.89</v>
      </c>
      <c r="G2495" s="40">
        <f t="shared" si="38"/>
        <v>6.89</v>
      </c>
      <c r="H2495" s="41" t="s">
        <v>24</v>
      </c>
      <c r="I2495" s="41" t="s">
        <v>58</v>
      </c>
      <c r="J2495" s="32"/>
    </row>
    <row r="2496" spans="1:10" x14ac:dyDescent="0.2">
      <c r="A2496" s="32"/>
      <c r="B2496" s="42" t="s">
        <v>3986</v>
      </c>
      <c r="C2496" s="43" t="s">
        <v>3942</v>
      </c>
      <c r="D2496" s="44" t="s">
        <v>3987</v>
      </c>
      <c r="E2496" s="45">
        <v>1</v>
      </c>
      <c r="F2496" s="46">
        <v>26.3</v>
      </c>
      <c r="G2496" s="46">
        <f t="shared" si="38"/>
        <v>26.3</v>
      </c>
      <c r="H2496" s="47" t="s">
        <v>24</v>
      </c>
      <c r="I2496" s="47" t="s">
        <v>58</v>
      </c>
      <c r="J2496" s="32"/>
    </row>
    <row r="2497" spans="1:10" x14ac:dyDescent="0.2">
      <c r="A2497" s="32"/>
      <c r="B2497" s="36" t="s">
        <v>3988</v>
      </c>
      <c r="C2497" s="37" t="s">
        <v>3942</v>
      </c>
      <c r="D2497" s="38" t="s">
        <v>1347</v>
      </c>
      <c r="E2497" s="39">
        <v>1</v>
      </c>
      <c r="F2497" s="40">
        <v>18.39</v>
      </c>
      <c r="G2497" s="40">
        <f t="shared" si="38"/>
        <v>18.39</v>
      </c>
      <c r="H2497" s="41" t="s">
        <v>24</v>
      </c>
      <c r="I2497" s="41" t="s">
        <v>58</v>
      </c>
      <c r="J2497" s="32"/>
    </row>
    <row r="2498" spans="1:10" x14ac:dyDescent="0.2">
      <c r="A2498" s="32"/>
      <c r="B2498" s="42" t="s">
        <v>3989</v>
      </c>
      <c r="C2498" s="43" t="s">
        <v>3942</v>
      </c>
      <c r="D2498" s="44" t="s">
        <v>3882</v>
      </c>
      <c r="E2498" s="45">
        <v>1</v>
      </c>
      <c r="F2498" s="46">
        <v>3.99</v>
      </c>
      <c r="G2498" s="46">
        <f t="shared" si="38"/>
        <v>3.99</v>
      </c>
      <c r="H2498" s="47" t="s">
        <v>24</v>
      </c>
      <c r="I2498" s="47" t="s">
        <v>58</v>
      </c>
      <c r="J2498" s="32"/>
    </row>
    <row r="2499" spans="1:10" x14ac:dyDescent="0.2">
      <c r="A2499" s="32"/>
      <c r="B2499" s="36" t="s">
        <v>3990</v>
      </c>
      <c r="C2499" s="37" t="s">
        <v>3942</v>
      </c>
      <c r="D2499" s="38" t="s">
        <v>3882</v>
      </c>
      <c r="E2499" s="39">
        <v>1</v>
      </c>
      <c r="F2499" s="40">
        <v>3.99</v>
      </c>
      <c r="G2499" s="40">
        <f t="shared" si="38"/>
        <v>3.99</v>
      </c>
      <c r="H2499" s="41" t="s">
        <v>24</v>
      </c>
      <c r="I2499" s="41" t="s">
        <v>58</v>
      </c>
      <c r="J2499" s="32"/>
    </row>
    <row r="2500" spans="1:10" x14ac:dyDescent="0.2">
      <c r="A2500" s="32"/>
      <c r="B2500" s="42" t="s">
        <v>3991</v>
      </c>
      <c r="C2500" s="43" t="s">
        <v>3942</v>
      </c>
      <c r="D2500" s="44" t="s">
        <v>3882</v>
      </c>
      <c r="E2500" s="45">
        <v>1</v>
      </c>
      <c r="F2500" s="46">
        <v>3.99</v>
      </c>
      <c r="G2500" s="46">
        <f t="shared" si="38"/>
        <v>3.99</v>
      </c>
      <c r="H2500" s="47" t="s">
        <v>24</v>
      </c>
      <c r="I2500" s="47" t="s">
        <v>58</v>
      </c>
      <c r="J2500" s="32"/>
    </row>
    <row r="2501" spans="1:10" x14ac:dyDescent="0.2">
      <c r="A2501" s="32"/>
      <c r="B2501" s="36" t="s">
        <v>3992</v>
      </c>
      <c r="C2501" s="37" t="s">
        <v>3942</v>
      </c>
      <c r="D2501" s="38" t="s">
        <v>3882</v>
      </c>
      <c r="E2501" s="39">
        <v>1</v>
      </c>
      <c r="F2501" s="40">
        <v>3.99</v>
      </c>
      <c r="G2501" s="40">
        <f t="shared" ref="G2501:G2564" si="39">E2501*F2501</f>
        <v>3.99</v>
      </c>
      <c r="H2501" s="41" t="s">
        <v>24</v>
      </c>
      <c r="I2501" s="41" t="s">
        <v>58</v>
      </c>
      <c r="J2501" s="32"/>
    </row>
    <row r="2502" spans="1:10" x14ac:dyDescent="0.2">
      <c r="A2502" s="32"/>
      <c r="B2502" s="42" t="s">
        <v>3993</v>
      </c>
      <c r="C2502" s="43" t="s">
        <v>3942</v>
      </c>
      <c r="D2502" s="44" t="s">
        <v>3882</v>
      </c>
      <c r="E2502" s="45">
        <v>1</v>
      </c>
      <c r="F2502" s="46">
        <v>3.99</v>
      </c>
      <c r="G2502" s="46">
        <f t="shared" si="39"/>
        <v>3.99</v>
      </c>
      <c r="H2502" s="47" t="s">
        <v>24</v>
      </c>
      <c r="I2502" s="47" t="s">
        <v>58</v>
      </c>
      <c r="J2502" s="32"/>
    </row>
    <row r="2503" spans="1:10" x14ac:dyDescent="0.2">
      <c r="A2503" s="32"/>
      <c r="B2503" s="36" t="s">
        <v>3994</v>
      </c>
      <c r="C2503" s="37" t="s">
        <v>3942</v>
      </c>
      <c r="D2503" s="38" t="s">
        <v>3995</v>
      </c>
      <c r="E2503" s="39">
        <v>1</v>
      </c>
      <c r="F2503" s="40">
        <v>29.59</v>
      </c>
      <c r="G2503" s="40">
        <f t="shared" si="39"/>
        <v>29.59</v>
      </c>
      <c r="H2503" s="41" t="s">
        <v>24</v>
      </c>
      <c r="I2503" s="41" t="s">
        <v>58</v>
      </c>
      <c r="J2503" s="32"/>
    </row>
    <row r="2504" spans="1:10" x14ac:dyDescent="0.2">
      <c r="A2504" s="32"/>
      <c r="B2504" s="42" t="s">
        <v>3996</v>
      </c>
      <c r="C2504" s="43" t="s">
        <v>3942</v>
      </c>
      <c r="D2504" s="44" t="s">
        <v>39</v>
      </c>
      <c r="E2504" s="45">
        <v>1</v>
      </c>
      <c r="F2504" s="46">
        <v>15.69</v>
      </c>
      <c r="G2504" s="46">
        <f t="shared" si="39"/>
        <v>15.69</v>
      </c>
      <c r="H2504" s="47" t="s">
        <v>24</v>
      </c>
      <c r="I2504" s="47" t="s">
        <v>58</v>
      </c>
      <c r="J2504" s="32"/>
    </row>
    <row r="2505" spans="1:10" x14ac:dyDescent="0.2">
      <c r="A2505" s="32"/>
      <c r="B2505" s="36" t="s">
        <v>3997</v>
      </c>
      <c r="C2505" s="37" t="s">
        <v>3942</v>
      </c>
      <c r="D2505" s="38" t="s">
        <v>3998</v>
      </c>
      <c r="E2505" s="39">
        <v>1</v>
      </c>
      <c r="F2505" s="40">
        <v>4.49</v>
      </c>
      <c r="G2505" s="40">
        <f t="shared" si="39"/>
        <v>4.49</v>
      </c>
      <c r="H2505" s="41" t="s">
        <v>24</v>
      </c>
      <c r="I2505" s="41" t="s">
        <v>58</v>
      </c>
      <c r="J2505" s="32"/>
    </row>
    <row r="2506" spans="1:10" x14ac:dyDescent="0.2">
      <c r="A2506" s="32"/>
      <c r="B2506" s="42" t="s">
        <v>3999</v>
      </c>
      <c r="C2506" s="43" t="s">
        <v>3942</v>
      </c>
      <c r="D2506" s="44" t="s">
        <v>2589</v>
      </c>
      <c r="E2506" s="45">
        <v>1</v>
      </c>
      <c r="F2506" s="46">
        <v>6.99</v>
      </c>
      <c r="G2506" s="46">
        <f t="shared" si="39"/>
        <v>6.99</v>
      </c>
      <c r="H2506" s="47" t="s">
        <v>24</v>
      </c>
      <c r="I2506" s="47" t="s">
        <v>58</v>
      </c>
      <c r="J2506" s="32"/>
    </row>
    <row r="2507" spans="1:10" x14ac:dyDescent="0.2">
      <c r="A2507" s="32"/>
      <c r="B2507" s="36" t="s">
        <v>4000</v>
      </c>
      <c r="C2507" s="37" t="s">
        <v>3942</v>
      </c>
      <c r="D2507" s="38" t="s">
        <v>2589</v>
      </c>
      <c r="E2507" s="39">
        <v>1</v>
      </c>
      <c r="F2507" s="40">
        <v>6.99</v>
      </c>
      <c r="G2507" s="40">
        <f t="shared" si="39"/>
        <v>6.99</v>
      </c>
      <c r="H2507" s="41" t="s">
        <v>24</v>
      </c>
      <c r="I2507" s="41" t="s">
        <v>58</v>
      </c>
      <c r="J2507" s="32"/>
    </row>
    <row r="2508" spans="1:10" x14ac:dyDescent="0.2">
      <c r="A2508" s="32"/>
      <c r="B2508" s="42" t="s">
        <v>4001</v>
      </c>
      <c r="C2508" s="43" t="s">
        <v>3942</v>
      </c>
      <c r="D2508" s="44" t="s">
        <v>39</v>
      </c>
      <c r="E2508" s="45">
        <v>1</v>
      </c>
      <c r="F2508" s="46">
        <v>15.69</v>
      </c>
      <c r="G2508" s="46">
        <f t="shared" si="39"/>
        <v>15.69</v>
      </c>
      <c r="H2508" s="47" t="s">
        <v>24</v>
      </c>
      <c r="I2508" s="47" t="s">
        <v>58</v>
      </c>
      <c r="J2508" s="32"/>
    </row>
    <row r="2509" spans="1:10" x14ac:dyDescent="0.2">
      <c r="A2509" s="32"/>
      <c r="B2509" s="36" t="s">
        <v>4002</v>
      </c>
      <c r="C2509" s="37" t="s">
        <v>3942</v>
      </c>
      <c r="D2509" s="38" t="s">
        <v>1368</v>
      </c>
      <c r="E2509" s="39">
        <v>1</v>
      </c>
      <c r="F2509" s="40">
        <v>1.55</v>
      </c>
      <c r="G2509" s="40">
        <f t="shared" si="39"/>
        <v>1.55</v>
      </c>
      <c r="H2509" s="41" t="s">
        <v>24</v>
      </c>
      <c r="I2509" s="41" t="s">
        <v>58</v>
      </c>
      <c r="J2509" s="32"/>
    </row>
    <row r="2510" spans="1:10" x14ac:dyDescent="0.2">
      <c r="A2510" s="32"/>
      <c r="B2510" s="42" t="s">
        <v>4003</v>
      </c>
      <c r="C2510" s="43" t="s">
        <v>3942</v>
      </c>
      <c r="D2510" s="44" t="s">
        <v>1368</v>
      </c>
      <c r="E2510" s="45">
        <v>1</v>
      </c>
      <c r="F2510" s="46">
        <v>1.55</v>
      </c>
      <c r="G2510" s="46">
        <f t="shared" si="39"/>
        <v>1.55</v>
      </c>
      <c r="H2510" s="47" t="s">
        <v>24</v>
      </c>
      <c r="I2510" s="47" t="s">
        <v>58</v>
      </c>
      <c r="J2510" s="32"/>
    </row>
    <row r="2511" spans="1:10" x14ac:dyDescent="0.2">
      <c r="A2511" s="32"/>
      <c r="B2511" s="36" t="s">
        <v>4004</v>
      </c>
      <c r="C2511" s="37" t="s">
        <v>3942</v>
      </c>
      <c r="D2511" s="38" t="s">
        <v>4005</v>
      </c>
      <c r="E2511" s="39">
        <v>1</v>
      </c>
      <c r="F2511" s="40">
        <v>4.99</v>
      </c>
      <c r="G2511" s="40">
        <f t="shared" si="39"/>
        <v>4.99</v>
      </c>
      <c r="H2511" s="41" t="s">
        <v>24</v>
      </c>
      <c r="I2511" s="41" t="s">
        <v>58</v>
      </c>
      <c r="J2511" s="32"/>
    </row>
    <row r="2512" spans="1:10" x14ac:dyDescent="0.2">
      <c r="A2512" s="32"/>
      <c r="B2512" s="42" t="s">
        <v>4006</v>
      </c>
      <c r="C2512" s="43" t="s">
        <v>3942</v>
      </c>
      <c r="D2512" s="44" t="s">
        <v>4005</v>
      </c>
      <c r="E2512" s="45">
        <v>1</v>
      </c>
      <c r="F2512" s="46">
        <v>4.99</v>
      </c>
      <c r="G2512" s="46">
        <f t="shared" si="39"/>
        <v>4.99</v>
      </c>
      <c r="H2512" s="47" t="s">
        <v>24</v>
      </c>
      <c r="I2512" s="47" t="s">
        <v>58</v>
      </c>
      <c r="J2512" s="32"/>
    </row>
    <row r="2513" spans="1:10" x14ac:dyDescent="0.2">
      <c r="A2513" s="32"/>
      <c r="B2513" s="36" t="s">
        <v>4007</v>
      </c>
      <c r="C2513" s="37" t="s">
        <v>3942</v>
      </c>
      <c r="D2513" s="38" t="s">
        <v>4005</v>
      </c>
      <c r="E2513" s="39">
        <v>1</v>
      </c>
      <c r="F2513" s="40">
        <v>4.99</v>
      </c>
      <c r="G2513" s="40">
        <f t="shared" si="39"/>
        <v>4.99</v>
      </c>
      <c r="H2513" s="41" t="s">
        <v>24</v>
      </c>
      <c r="I2513" s="41" t="s">
        <v>58</v>
      </c>
      <c r="J2513" s="32"/>
    </row>
    <row r="2514" spans="1:10" x14ac:dyDescent="0.2">
      <c r="A2514" s="32"/>
      <c r="B2514" s="42" t="s">
        <v>4008</v>
      </c>
      <c r="C2514" s="43" t="s">
        <v>3942</v>
      </c>
      <c r="D2514" s="44" t="s">
        <v>4009</v>
      </c>
      <c r="E2514" s="45">
        <v>1</v>
      </c>
      <c r="F2514" s="46">
        <v>10.99</v>
      </c>
      <c r="G2514" s="46">
        <f t="shared" si="39"/>
        <v>10.99</v>
      </c>
      <c r="H2514" s="47" t="s">
        <v>24</v>
      </c>
      <c r="I2514" s="47" t="s">
        <v>58</v>
      </c>
      <c r="J2514" s="32"/>
    </row>
    <row r="2515" spans="1:10" x14ac:dyDescent="0.2">
      <c r="A2515" s="32"/>
      <c r="B2515" s="36" t="s">
        <v>4010</v>
      </c>
      <c r="C2515" s="37" t="s">
        <v>3942</v>
      </c>
      <c r="D2515" s="38" t="s">
        <v>3672</v>
      </c>
      <c r="E2515" s="39">
        <v>1</v>
      </c>
      <c r="F2515" s="40">
        <v>21.99</v>
      </c>
      <c r="G2515" s="40">
        <f t="shared" si="39"/>
        <v>21.99</v>
      </c>
      <c r="H2515" s="41" t="s">
        <v>24</v>
      </c>
      <c r="I2515" s="41" t="s">
        <v>58</v>
      </c>
      <c r="J2515" s="32"/>
    </row>
    <row r="2516" spans="1:10" x14ac:dyDescent="0.2">
      <c r="A2516" s="32"/>
      <c r="B2516" s="42" t="s">
        <v>4011</v>
      </c>
      <c r="C2516" s="43" t="s">
        <v>3942</v>
      </c>
      <c r="D2516" s="44" t="s">
        <v>4012</v>
      </c>
      <c r="E2516" s="45">
        <v>1</v>
      </c>
      <c r="F2516" s="46">
        <v>21.99</v>
      </c>
      <c r="G2516" s="46">
        <f t="shared" si="39"/>
        <v>21.99</v>
      </c>
      <c r="H2516" s="47" t="s">
        <v>24</v>
      </c>
      <c r="I2516" s="47" t="s">
        <v>58</v>
      </c>
      <c r="J2516" s="32"/>
    </row>
    <row r="2517" spans="1:10" x14ac:dyDescent="0.2">
      <c r="A2517" s="32"/>
      <c r="B2517" s="36" t="s">
        <v>4013</v>
      </c>
      <c r="C2517" s="37" t="s">
        <v>3942</v>
      </c>
      <c r="D2517" s="38" t="s">
        <v>3788</v>
      </c>
      <c r="E2517" s="39">
        <v>1</v>
      </c>
      <c r="F2517" s="40">
        <v>21.99</v>
      </c>
      <c r="G2517" s="40">
        <f t="shared" si="39"/>
        <v>21.99</v>
      </c>
      <c r="H2517" s="41" t="s">
        <v>24</v>
      </c>
      <c r="I2517" s="41" t="s">
        <v>58</v>
      </c>
      <c r="J2517" s="32"/>
    </row>
    <row r="2518" spans="1:10" x14ac:dyDescent="0.2">
      <c r="A2518" s="32"/>
      <c r="B2518" s="42" t="s">
        <v>4014</v>
      </c>
      <c r="C2518" s="43" t="s">
        <v>3942</v>
      </c>
      <c r="D2518" s="44" t="s">
        <v>4015</v>
      </c>
      <c r="E2518" s="45">
        <v>1</v>
      </c>
      <c r="F2518" s="46">
        <v>89.99</v>
      </c>
      <c r="G2518" s="46">
        <f t="shared" si="39"/>
        <v>89.99</v>
      </c>
      <c r="H2518" s="47" t="s">
        <v>24</v>
      </c>
      <c r="I2518" s="47" t="s">
        <v>58</v>
      </c>
      <c r="J2518" s="32"/>
    </row>
    <row r="2519" spans="1:10" x14ac:dyDescent="0.2">
      <c r="A2519" s="32"/>
      <c r="B2519" s="36" t="s">
        <v>4016</v>
      </c>
      <c r="C2519" s="37" t="s">
        <v>3942</v>
      </c>
      <c r="D2519" s="38" t="s">
        <v>137</v>
      </c>
      <c r="E2519" s="39">
        <v>1</v>
      </c>
      <c r="F2519" s="40">
        <v>6.49</v>
      </c>
      <c r="G2519" s="40">
        <f t="shared" si="39"/>
        <v>6.49</v>
      </c>
      <c r="H2519" s="41" t="s">
        <v>24</v>
      </c>
      <c r="I2519" s="41" t="s">
        <v>58</v>
      </c>
      <c r="J2519" s="32"/>
    </row>
    <row r="2520" spans="1:10" x14ac:dyDescent="0.2">
      <c r="A2520" s="32"/>
      <c r="B2520" s="42" t="s">
        <v>4017</v>
      </c>
      <c r="C2520" s="43" t="s">
        <v>3942</v>
      </c>
      <c r="D2520" s="44" t="s">
        <v>1357</v>
      </c>
      <c r="E2520" s="45">
        <v>1</v>
      </c>
      <c r="F2520" s="46">
        <v>36.99</v>
      </c>
      <c r="G2520" s="46">
        <f t="shared" si="39"/>
        <v>36.99</v>
      </c>
      <c r="H2520" s="47" t="s">
        <v>24</v>
      </c>
      <c r="I2520" s="47" t="s">
        <v>58</v>
      </c>
      <c r="J2520" s="32"/>
    </row>
    <row r="2521" spans="1:10" x14ac:dyDescent="0.2">
      <c r="A2521" s="32"/>
      <c r="B2521" s="36" t="s">
        <v>4018</v>
      </c>
      <c r="C2521" s="37" t="s">
        <v>3942</v>
      </c>
      <c r="D2521" s="38" t="s">
        <v>2559</v>
      </c>
      <c r="E2521" s="39">
        <v>1</v>
      </c>
      <c r="F2521" s="40">
        <v>33.99</v>
      </c>
      <c r="G2521" s="40">
        <f t="shared" si="39"/>
        <v>33.99</v>
      </c>
      <c r="H2521" s="41" t="s">
        <v>24</v>
      </c>
      <c r="I2521" s="41" t="s">
        <v>58</v>
      </c>
      <c r="J2521" s="32"/>
    </row>
    <row r="2522" spans="1:10" x14ac:dyDescent="0.2">
      <c r="A2522" s="32"/>
      <c r="B2522" s="42" t="s">
        <v>4019</v>
      </c>
      <c r="C2522" s="43" t="s">
        <v>3942</v>
      </c>
      <c r="D2522" s="44" t="s">
        <v>2767</v>
      </c>
      <c r="E2522" s="45">
        <v>1</v>
      </c>
      <c r="F2522" s="46">
        <v>13.49</v>
      </c>
      <c r="G2522" s="46">
        <f t="shared" si="39"/>
        <v>13.49</v>
      </c>
      <c r="H2522" s="47" t="s">
        <v>24</v>
      </c>
      <c r="I2522" s="47" t="s">
        <v>58</v>
      </c>
      <c r="J2522" s="32"/>
    </row>
    <row r="2523" spans="1:10" x14ac:dyDescent="0.2">
      <c r="A2523" s="32"/>
      <c r="B2523" s="36" t="s">
        <v>4020</v>
      </c>
      <c r="C2523" s="37" t="s">
        <v>3942</v>
      </c>
      <c r="D2523" s="38" t="s">
        <v>3513</v>
      </c>
      <c r="E2523" s="39">
        <v>1</v>
      </c>
      <c r="F2523" s="40">
        <v>22.99</v>
      </c>
      <c r="G2523" s="40">
        <f t="shared" si="39"/>
        <v>22.99</v>
      </c>
      <c r="H2523" s="41" t="s">
        <v>24</v>
      </c>
      <c r="I2523" s="41" t="s">
        <v>58</v>
      </c>
      <c r="J2523" s="32"/>
    </row>
    <row r="2524" spans="1:10" x14ac:dyDescent="0.2">
      <c r="A2524" s="32"/>
      <c r="B2524" s="42" t="s">
        <v>4021</v>
      </c>
      <c r="C2524" s="43" t="s">
        <v>3942</v>
      </c>
      <c r="D2524" s="44" t="s">
        <v>4022</v>
      </c>
      <c r="E2524" s="45">
        <v>1</v>
      </c>
      <c r="F2524" s="46">
        <v>21.99</v>
      </c>
      <c r="G2524" s="46">
        <f t="shared" si="39"/>
        <v>21.99</v>
      </c>
      <c r="H2524" s="47" t="s">
        <v>24</v>
      </c>
      <c r="I2524" s="47" t="s">
        <v>58</v>
      </c>
      <c r="J2524" s="32"/>
    </row>
    <row r="2525" spans="1:10" x14ac:dyDescent="0.2">
      <c r="A2525" s="32"/>
      <c r="B2525" s="36" t="s">
        <v>4023</v>
      </c>
      <c r="C2525" s="37" t="s">
        <v>3942</v>
      </c>
      <c r="D2525" s="38" t="s">
        <v>1678</v>
      </c>
      <c r="E2525" s="39">
        <v>1</v>
      </c>
      <c r="F2525" s="40">
        <v>16.989999999999998</v>
      </c>
      <c r="G2525" s="40">
        <f t="shared" si="39"/>
        <v>16.989999999999998</v>
      </c>
      <c r="H2525" s="41" t="s">
        <v>24</v>
      </c>
      <c r="I2525" s="41" t="s">
        <v>58</v>
      </c>
      <c r="J2525" s="32"/>
    </row>
    <row r="2526" spans="1:10" x14ac:dyDescent="0.2">
      <c r="A2526" s="32"/>
      <c r="B2526" s="42" t="s">
        <v>4024</v>
      </c>
      <c r="C2526" s="43" t="s">
        <v>3942</v>
      </c>
      <c r="D2526" s="44" t="s">
        <v>3800</v>
      </c>
      <c r="E2526" s="45">
        <v>1</v>
      </c>
      <c r="F2526" s="46">
        <v>16.39</v>
      </c>
      <c r="G2526" s="46">
        <f t="shared" si="39"/>
        <v>16.39</v>
      </c>
      <c r="H2526" s="47" t="s">
        <v>24</v>
      </c>
      <c r="I2526" s="47" t="s">
        <v>58</v>
      </c>
      <c r="J2526" s="32"/>
    </row>
    <row r="2527" spans="1:10" x14ac:dyDescent="0.2">
      <c r="A2527" s="32"/>
      <c r="B2527" s="36" t="s">
        <v>4025</v>
      </c>
      <c r="C2527" s="37" t="s">
        <v>3942</v>
      </c>
      <c r="D2527" s="38" t="s">
        <v>2999</v>
      </c>
      <c r="E2527" s="39">
        <v>1</v>
      </c>
      <c r="F2527" s="40">
        <v>9.2899999999999991</v>
      </c>
      <c r="G2527" s="40">
        <f t="shared" si="39"/>
        <v>9.2899999999999991</v>
      </c>
      <c r="H2527" s="41" t="s">
        <v>24</v>
      </c>
      <c r="I2527" s="41" t="s">
        <v>58</v>
      </c>
      <c r="J2527" s="32"/>
    </row>
    <row r="2528" spans="1:10" x14ac:dyDescent="0.2">
      <c r="A2528" s="32"/>
      <c r="B2528" s="42" t="s">
        <v>4026</v>
      </c>
      <c r="C2528" s="43" t="s">
        <v>3942</v>
      </c>
      <c r="D2528" s="44" t="s">
        <v>43</v>
      </c>
      <c r="E2528" s="45">
        <v>1</v>
      </c>
      <c r="F2528" s="46">
        <v>2.59</v>
      </c>
      <c r="G2528" s="46">
        <f t="shared" si="39"/>
        <v>2.59</v>
      </c>
      <c r="H2528" s="47" t="s">
        <v>24</v>
      </c>
      <c r="I2528" s="47" t="s">
        <v>58</v>
      </c>
      <c r="J2528" s="32"/>
    </row>
    <row r="2529" spans="1:10" x14ac:dyDescent="0.2">
      <c r="A2529" s="32"/>
      <c r="B2529" s="36" t="s">
        <v>4027</v>
      </c>
      <c r="C2529" s="37" t="s">
        <v>3942</v>
      </c>
      <c r="D2529" s="38" t="s">
        <v>4028</v>
      </c>
      <c r="E2529" s="39">
        <v>1</v>
      </c>
      <c r="F2529" s="40">
        <v>22.49</v>
      </c>
      <c r="G2529" s="40">
        <f t="shared" si="39"/>
        <v>22.49</v>
      </c>
      <c r="H2529" s="41" t="s">
        <v>24</v>
      </c>
      <c r="I2529" s="41" t="s">
        <v>58</v>
      </c>
      <c r="J2529" s="32"/>
    </row>
    <row r="2530" spans="1:10" x14ac:dyDescent="0.2">
      <c r="A2530" s="32"/>
      <c r="B2530" s="42" t="s">
        <v>4029</v>
      </c>
      <c r="C2530" s="43" t="s">
        <v>3942</v>
      </c>
      <c r="D2530" s="44" t="s">
        <v>4030</v>
      </c>
      <c r="E2530" s="45">
        <v>1</v>
      </c>
      <c r="F2530" s="46">
        <v>55.99</v>
      </c>
      <c r="G2530" s="46">
        <f t="shared" si="39"/>
        <v>55.99</v>
      </c>
      <c r="H2530" s="47" t="s">
        <v>24</v>
      </c>
      <c r="I2530" s="47" t="s">
        <v>58</v>
      </c>
      <c r="J2530" s="32"/>
    </row>
    <row r="2531" spans="1:10" x14ac:dyDescent="0.2">
      <c r="A2531" s="32"/>
      <c r="B2531" s="36" t="s">
        <v>4031</v>
      </c>
      <c r="C2531" s="37" t="s">
        <v>3942</v>
      </c>
      <c r="D2531" s="38" t="s">
        <v>2722</v>
      </c>
      <c r="E2531" s="39">
        <v>1</v>
      </c>
      <c r="F2531" s="40">
        <v>17.59</v>
      </c>
      <c r="G2531" s="40">
        <f t="shared" si="39"/>
        <v>17.59</v>
      </c>
      <c r="H2531" s="41" t="s">
        <v>28</v>
      </c>
      <c r="I2531" s="41" t="s">
        <v>58</v>
      </c>
      <c r="J2531" s="32"/>
    </row>
    <row r="2532" spans="1:10" x14ac:dyDescent="0.2">
      <c r="A2532" s="32"/>
      <c r="B2532" s="42" t="s">
        <v>4032</v>
      </c>
      <c r="C2532" s="43" t="s">
        <v>3942</v>
      </c>
      <c r="D2532" s="44" t="s">
        <v>4033</v>
      </c>
      <c r="E2532" s="45">
        <v>1</v>
      </c>
      <c r="F2532" s="46">
        <v>71.989999999999995</v>
      </c>
      <c r="G2532" s="46">
        <f t="shared" si="39"/>
        <v>71.989999999999995</v>
      </c>
      <c r="H2532" s="47" t="s">
        <v>24</v>
      </c>
      <c r="I2532" s="47" t="s">
        <v>58</v>
      </c>
      <c r="J2532" s="32"/>
    </row>
    <row r="2533" spans="1:10" x14ac:dyDescent="0.2">
      <c r="A2533" s="32"/>
      <c r="B2533" s="36" t="s">
        <v>4034</v>
      </c>
      <c r="C2533" s="37" t="s">
        <v>3942</v>
      </c>
      <c r="D2533" s="38" t="s">
        <v>4035</v>
      </c>
      <c r="E2533" s="39">
        <v>1</v>
      </c>
      <c r="F2533" s="40">
        <v>28.99</v>
      </c>
      <c r="G2533" s="40">
        <f t="shared" si="39"/>
        <v>28.99</v>
      </c>
      <c r="H2533" s="41" t="s">
        <v>24</v>
      </c>
      <c r="I2533" s="41" t="s">
        <v>58</v>
      </c>
      <c r="J2533" s="32"/>
    </row>
    <row r="2534" spans="1:10" x14ac:dyDescent="0.2">
      <c r="A2534" s="32"/>
      <c r="B2534" s="42" t="s">
        <v>4036</v>
      </c>
      <c r="C2534" s="43" t="s">
        <v>3942</v>
      </c>
      <c r="D2534" s="44" t="s">
        <v>4037</v>
      </c>
      <c r="E2534" s="45">
        <v>1</v>
      </c>
      <c r="F2534" s="46">
        <v>9.99</v>
      </c>
      <c r="G2534" s="46">
        <f t="shared" si="39"/>
        <v>9.99</v>
      </c>
      <c r="H2534" s="47" t="s">
        <v>25</v>
      </c>
      <c r="I2534" s="47" t="s">
        <v>58</v>
      </c>
      <c r="J2534" s="32"/>
    </row>
    <row r="2535" spans="1:10" x14ac:dyDescent="0.2">
      <c r="A2535" s="32"/>
      <c r="B2535" s="36" t="s">
        <v>4038</v>
      </c>
      <c r="C2535" s="37" t="s">
        <v>3942</v>
      </c>
      <c r="D2535" s="38" t="s">
        <v>2555</v>
      </c>
      <c r="E2535" s="39">
        <v>1</v>
      </c>
      <c r="F2535" s="40">
        <v>33.99</v>
      </c>
      <c r="G2535" s="40">
        <f t="shared" si="39"/>
        <v>33.99</v>
      </c>
      <c r="H2535" s="41" t="s">
        <v>28</v>
      </c>
      <c r="I2535" s="41" t="s">
        <v>58</v>
      </c>
      <c r="J2535" s="32"/>
    </row>
    <row r="2536" spans="1:10" x14ac:dyDescent="0.2">
      <c r="A2536" s="32"/>
      <c r="B2536" s="42" t="s">
        <v>4039</v>
      </c>
      <c r="C2536" s="43" t="s">
        <v>3942</v>
      </c>
      <c r="D2536" s="44" t="s">
        <v>216</v>
      </c>
      <c r="E2536" s="45">
        <v>1</v>
      </c>
      <c r="F2536" s="46">
        <v>9.99</v>
      </c>
      <c r="G2536" s="46">
        <f t="shared" si="39"/>
        <v>9.99</v>
      </c>
      <c r="H2536" s="47" t="s">
        <v>25</v>
      </c>
      <c r="I2536" s="47" t="s">
        <v>58</v>
      </c>
      <c r="J2536" s="32"/>
    </row>
    <row r="2537" spans="1:10" x14ac:dyDescent="0.2">
      <c r="A2537" s="32"/>
      <c r="B2537" s="36" t="s">
        <v>4040</v>
      </c>
      <c r="C2537" s="37" t="s">
        <v>3942</v>
      </c>
      <c r="D2537" s="38" t="s">
        <v>4041</v>
      </c>
      <c r="E2537" s="39">
        <v>1</v>
      </c>
      <c r="F2537" s="40">
        <v>5.19</v>
      </c>
      <c r="G2537" s="40">
        <f t="shared" si="39"/>
        <v>5.19</v>
      </c>
      <c r="H2537" s="41" t="s">
        <v>25</v>
      </c>
      <c r="I2537" s="41" t="s">
        <v>58</v>
      </c>
      <c r="J2537" s="32"/>
    </row>
    <row r="2538" spans="1:10" x14ac:dyDescent="0.2">
      <c r="A2538" s="32"/>
      <c r="B2538" s="42" t="s">
        <v>4042</v>
      </c>
      <c r="C2538" s="43" t="s">
        <v>3942</v>
      </c>
      <c r="D2538" s="44" t="s">
        <v>4043</v>
      </c>
      <c r="E2538" s="45">
        <v>1</v>
      </c>
      <c r="F2538" s="46">
        <v>14.59</v>
      </c>
      <c r="G2538" s="46">
        <f t="shared" si="39"/>
        <v>14.59</v>
      </c>
      <c r="H2538" s="47" t="s">
        <v>24</v>
      </c>
      <c r="I2538" s="47" t="s">
        <v>58</v>
      </c>
      <c r="J2538" s="32"/>
    </row>
    <row r="2539" spans="1:10" x14ac:dyDescent="0.2">
      <c r="A2539" s="32"/>
      <c r="B2539" s="36" t="s">
        <v>4044</v>
      </c>
      <c r="C2539" s="37" t="s">
        <v>3942</v>
      </c>
      <c r="D2539" s="38" t="s">
        <v>2333</v>
      </c>
      <c r="E2539" s="39">
        <v>1</v>
      </c>
      <c r="F2539" s="40">
        <v>15.99</v>
      </c>
      <c r="G2539" s="40">
        <f t="shared" si="39"/>
        <v>15.99</v>
      </c>
      <c r="H2539" s="41" t="s">
        <v>25</v>
      </c>
      <c r="I2539" s="41" t="s">
        <v>58</v>
      </c>
      <c r="J2539" s="32"/>
    </row>
    <row r="2540" spans="1:10" x14ac:dyDescent="0.2">
      <c r="A2540" s="32"/>
      <c r="B2540" s="42" t="s">
        <v>4045</v>
      </c>
      <c r="C2540" s="43" t="s">
        <v>3942</v>
      </c>
      <c r="D2540" s="44" t="s">
        <v>3378</v>
      </c>
      <c r="E2540" s="45">
        <v>1</v>
      </c>
      <c r="F2540" s="46">
        <v>36.99</v>
      </c>
      <c r="G2540" s="46">
        <f t="shared" si="39"/>
        <v>36.99</v>
      </c>
      <c r="H2540" s="47" t="s">
        <v>24</v>
      </c>
      <c r="I2540" s="47" t="s">
        <v>58</v>
      </c>
      <c r="J2540" s="32"/>
    </row>
    <row r="2541" spans="1:10" x14ac:dyDescent="0.2">
      <c r="A2541" s="32"/>
      <c r="B2541" s="36" t="s">
        <v>4046</v>
      </c>
      <c r="C2541" s="37" t="s">
        <v>3942</v>
      </c>
      <c r="D2541" s="38" t="s">
        <v>40</v>
      </c>
      <c r="E2541" s="39">
        <v>1</v>
      </c>
      <c r="F2541" s="40">
        <v>14.99</v>
      </c>
      <c r="G2541" s="40">
        <f t="shared" si="39"/>
        <v>14.99</v>
      </c>
      <c r="H2541" s="41" t="s">
        <v>25</v>
      </c>
      <c r="I2541" s="41" t="s">
        <v>58</v>
      </c>
      <c r="J2541" s="32"/>
    </row>
    <row r="2542" spans="1:10" x14ac:dyDescent="0.2">
      <c r="A2542" s="32"/>
      <c r="B2542" s="42" t="s">
        <v>4047</v>
      </c>
      <c r="C2542" s="43" t="s">
        <v>3942</v>
      </c>
      <c r="D2542" s="44" t="s">
        <v>4048</v>
      </c>
      <c r="E2542" s="45">
        <v>1</v>
      </c>
      <c r="F2542" s="46">
        <v>2.4900000000000002</v>
      </c>
      <c r="G2542" s="46">
        <f t="shared" si="39"/>
        <v>2.4900000000000002</v>
      </c>
      <c r="H2542" s="47" t="s">
        <v>25</v>
      </c>
      <c r="I2542" s="47" t="s">
        <v>58</v>
      </c>
      <c r="J2542" s="32"/>
    </row>
    <row r="2543" spans="1:10" x14ac:dyDescent="0.2">
      <c r="A2543" s="32"/>
      <c r="B2543" s="36" t="s">
        <v>4049</v>
      </c>
      <c r="C2543" s="37" t="s">
        <v>3942</v>
      </c>
      <c r="D2543" s="38" t="s">
        <v>4037</v>
      </c>
      <c r="E2543" s="39">
        <v>1</v>
      </c>
      <c r="F2543" s="40">
        <v>9.99</v>
      </c>
      <c r="G2543" s="40">
        <f t="shared" si="39"/>
        <v>9.99</v>
      </c>
      <c r="H2543" s="41" t="s">
        <v>25</v>
      </c>
      <c r="I2543" s="41" t="s">
        <v>58</v>
      </c>
      <c r="J2543" s="32"/>
    </row>
    <row r="2544" spans="1:10" x14ac:dyDescent="0.2">
      <c r="A2544" s="32"/>
      <c r="B2544" s="42" t="s">
        <v>4050</v>
      </c>
      <c r="C2544" s="43" t="s">
        <v>3942</v>
      </c>
      <c r="D2544" s="44" t="s">
        <v>4051</v>
      </c>
      <c r="E2544" s="45">
        <v>1</v>
      </c>
      <c r="F2544" s="46">
        <v>2.4900000000000002</v>
      </c>
      <c r="G2544" s="46">
        <f t="shared" si="39"/>
        <v>2.4900000000000002</v>
      </c>
      <c r="H2544" s="47" t="s">
        <v>25</v>
      </c>
      <c r="I2544" s="47" t="s">
        <v>58</v>
      </c>
      <c r="J2544" s="32"/>
    </row>
    <row r="2545" spans="1:10" x14ac:dyDescent="0.2">
      <c r="A2545" s="32"/>
      <c r="B2545" s="36" t="s">
        <v>4052</v>
      </c>
      <c r="C2545" s="37" t="s">
        <v>3942</v>
      </c>
      <c r="D2545" s="38" t="s">
        <v>4051</v>
      </c>
      <c r="E2545" s="39">
        <v>1</v>
      </c>
      <c r="F2545" s="40">
        <v>2.4900000000000002</v>
      </c>
      <c r="G2545" s="40">
        <f t="shared" si="39"/>
        <v>2.4900000000000002</v>
      </c>
      <c r="H2545" s="41" t="s">
        <v>25</v>
      </c>
      <c r="I2545" s="41" t="s">
        <v>58</v>
      </c>
      <c r="J2545" s="32"/>
    </row>
    <row r="2546" spans="1:10" x14ac:dyDescent="0.2">
      <c r="A2546" s="32"/>
      <c r="B2546" s="42" t="s">
        <v>4053</v>
      </c>
      <c r="C2546" s="43" t="s">
        <v>3942</v>
      </c>
      <c r="D2546" s="44" t="s">
        <v>190</v>
      </c>
      <c r="E2546" s="45">
        <v>1</v>
      </c>
      <c r="F2546" s="46">
        <v>4.99</v>
      </c>
      <c r="G2546" s="46">
        <f t="shared" si="39"/>
        <v>4.99</v>
      </c>
      <c r="H2546" s="47" t="s">
        <v>24</v>
      </c>
      <c r="I2546" s="47" t="s">
        <v>58</v>
      </c>
      <c r="J2546" s="32"/>
    </row>
    <row r="2547" spans="1:10" x14ac:dyDescent="0.2">
      <c r="A2547" s="32"/>
      <c r="B2547" s="36" t="s">
        <v>4054</v>
      </c>
      <c r="C2547" s="37" t="s">
        <v>3942</v>
      </c>
      <c r="D2547" s="38" t="s">
        <v>3125</v>
      </c>
      <c r="E2547" s="39">
        <v>1</v>
      </c>
      <c r="F2547" s="40">
        <v>11.99</v>
      </c>
      <c r="G2547" s="40">
        <f t="shared" si="39"/>
        <v>11.99</v>
      </c>
      <c r="H2547" s="41" t="s">
        <v>24</v>
      </c>
      <c r="I2547" s="41" t="s">
        <v>58</v>
      </c>
      <c r="J2547" s="32"/>
    </row>
    <row r="2548" spans="1:10" x14ac:dyDescent="0.2">
      <c r="A2548" s="32"/>
      <c r="B2548" s="42" t="s">
        <v>4055</v>
      </c>
      <c r="C2548" s="43" t="s">
        <v>4056</v>
      </c>
      <c r="D2548" s="44" t="s">
        <v>4022</v>
      </c>
      <c r="E2548" s="45">
        <v>1</v>
      </c>
      <c r="F2548" s="46">
        <v>20.99</v>
      </c>
      <c r="G2548" s="46">
        <f t="shared" si="39"/>
        <v>20.99</v>
      </c>
      <c r="H2548" s="47" t="s">
        <v>24</v>
      </c>
      <c r="I2548" s="47" t="s">
        <v>58</v>
      </c>
      <c r="J2548" s="32"/>
    </row>
    <row r="2549" spans="1:10" x14ac:dyDescent="0.2">
      <c r="A2549" s="32"/>
      <c r="B2549" s="36" t="s">
        <v>4057</v>
      </c>
      <c r="C2549" s="37" t="s">
        <v>4056</v>
      </c>
      <c r="D2549" s="38" t="s">
        <v>1463</v>
      </c>
      <c r="E2549" s="39">
        <v>1</v>
      </c>
      <c r="F2549" s="40">
        <v>5.99</v>
      </c>
      <c r="G2549" s="40">
        <f t="shared" si="39"/>
        <v>5.99</v>
      </c>
      <c r="H2549" s="41" t="s">
        <v>24</v>
      </c>
      <c r="I2549" s="41" t="s">
        <v>58</v>
      </c>
      <c r="J2549" s="32"/>
    </row>
    <row r="2550" spans="1:10" x14ac:dyDescent="0.2">
      <c r="A2550" s="32"/>
      <c r="B2550" s="42" t="s">
        <v>4058</v>
      </c>
      <c r="C2550" s="43" t="s">
        <v>4056</v>
      </c>
      <c r="D2550" s="44" t="s">
        <v>1678</v>
      </c>
      <c r="E2550" s="45">
        <v>1</v>
      </c>
      <c r="F2550" s="46">
        <v>16.989999999999998</v>
      </c>
      <c r="G2550" s="46">
        <f t="shared" si="39"/>
        <v>16.989999999999998</v>
      </c>
      <c r="H2550" s="47" t="s">
        <v>24</v>
      </c>
      <c r="I2550" s="47" t="s">
        <v>58</v>
      </c>
      <c r="J2550" s="32"/>
    </row>
    <row r="2551" spans="1:10" x14ac:dyDescent="0.2">
      <c r="A2551" s="32"/>
      <c r="B2551" s="36" t="s">
        <v>4059</v>
      </c>
      <c r="C2551" s="37" t="s">
        <v>4056</v>
      </c>
      <c r="D2551" s="38" t="s">
        <v>81</v>
      </c>
      <c r="E2551" s="39">
        <v>1</v>
      </c>
      <c r="F2551" s="40">
        <v>3.99</v>
      </c>
      <c r="G2551" s="40">
        <f t="shared" si="39"/>
        <v>3.99</v>
      </c>
      <c r="H2551" s="41" t="s">
        <v>24</v>
      </c>
      <c r="I2551" s="41" t="s">
        <v>58</v>
      </c>
      <c r="J2551" s="32"/>
    </row>
    <row r="2552" spans="1:10" x14ac:dyDescent="0.2">
      <c r="A2552" s="32"/>
      <c r="B2552" s="42" t="s">
        <v>4060</v>
      </c>
      <c r="C2552" s="43" t="s">
        <v>4056</v>
      </c>
      <c r="D2552" s="44" t="s">
        <v>2759</v>
      </c>
      <c r="E2552" s="45">
        <v>1</v>
      </c>
      <c r="F2552" s="46">
        <v>5.99</v>
      </c>
      <c r="G2552" s="46">
        <f t="shared" si="39"/>
        <v>5.99</v>
      </c>
      <c r="H2552" s="47" t="s">
        <v>24</v>
      </c>
      <c r="I2552" s="47" t="s">
        <v>58</v>
      </c>
      <c r="J2552" s="32"/>
    </row>
    <row r="2553" spans="1:10" x14ac:dyDescent="0.2">
      <c r="A2553" s="32"/>
      <c r="B2553" s="36" t="s">
        <v>4061</v>
      </c>
      <c r="C2553" s="37" t="s">
        <v>4056</v>
      </c>
      <c r="D2553" s="38" t="s">
        <v>42</v>
      </c>
      <c r="E2553" s="39">
        <v>1</v>
      </c>
      <c r="F2553" s="40">
        <v>10.99</v>
      </c>
      <c r="G2553" s="40">
        <f t="shared" si="39"/>
        <v>10.99</v>
      </c>
      <c r="H2553" s="41" t="s">
        <v>24</v>
      </c>
      <c r="I2553" s="41" t="s">
        <v>58</v>
      </c>
      <c r="J2553" s="32"/>
    </row>
    <row r="2554" spans="1:10" x14ac:dyDescent="0.2">
      <c r="A2554" s="32"/>
      <c r="B2554" s="42" t="s">
        <v>4062</v>
      </c>
      <c r="C2554" s="43" t="s">
        <v>4056</v>
      </c>
      <c r="D2554" s="44" t="s">
        <v>38</v>
      </c>
      <c r="E2554" s="45">
        <v>1</v>
      </c>
      <c r="F2554" s="46">
        <v>5.99</v>
      </c>
      <c r="G2554" s="46">
        <f t="shared" si="39"/>
        <v>5.99</v>
      </c>
      <c r="H2554" s="47" t="s">
        <v>24</v>
      </c>
      <c r="I2554" s="47" t="s">
        <v>58</v>
      </c>
      <c r="J2554" s="32"/>
    </row>
    <row r="2555" spans="1:10" x14ac:dyDescent="0.2">
      <c r="A2555" s="32"/>
      <c r="B2555" s="36" t="s">
        <v>4063</v>
      </c>
      <c r="C2555" s="37" t="s">
        <v>4056</v>
      </c>
      <c r="D2555" s="38" t="s">
        <v>2570</v>
      </c>
      <c r="E2555" s="39">
        <v>1</v>
      </c>
      <c r="F2555" s="40">
        <v>10.99</v>
      </c>
      <c r="G2555" s="40">
        <f t="shared" si="39"/>
        <v>10.99</v>
      </c>
      <c r="H2555" s="41" t="s">
        <v>24</v>
      </c>
      <c r="I2555" s="41" t="s">
        <v>58</v>
      </c>
      <c r="J2555" s="32"/>
    </row>
    <row r="2556" spans="1:10" x14ac:dyDescent="0.2">
      <c r="A2556" s="32"/>
      <c r="B2556" s="42" t="s">
        <v>4064</v>
      </c>
      <c r="C2556" s="43" t="s">
        <v>4056</v>
      </c>
      <c r="D2556" s="44" t="s">
        <v>76</v>
      </c>
      <c r="E2556" s="45">
        <v>1</v>
      </c>
      <c r="F2556" s="46">
        <v>5.99</v>
      </c>
      <c r="G2556" s="46">
        <f t="shared" si="39"/>
        <v>5.99</v>
      </c>
      <c r="H2556" s="47" t="s">
        <v>24</v>
      </c>
      <c r="I2556" s="47" t="s">
        <v>58</v>
      </c>
      <c r="J2556" s="32"/>
    </row>
    <row r="2557" spans="1:10" x14ac:dyDescent="0.2">
      <c r="A2557" s="32"/>
      <c r="B2557" s="36" t="s">
        <v>4065</v>
      </c>
      <c r="C2557" s="37" t="s">
        <v>4056</v>
      </c>
      <c r="D2557" s="38" t="s">
        <v>1012</v>
      </c>
      <c r="E2557" s="39">
        <v>1</v>
      </c>
      <c r="F2557" s="40">
        <v>7.49</v>
      </c>
      <c r="G2557" s="40">
        <f t="shared" si="39"/>
        <v>7.49</v>
      </c>
      <c r="H2557" s="41" t="s">
        <v>24</v>
      </c>
      <c r="I2557" s="41" t="s">
        <v>58</v>
      </c>
      <c r="J2557" s="32"/>
    </row>
    <row r="2558" spans="1:10" x14ac:dyDescent="0.2">
      <c r="A2558" s="32"/>
      <c r="B2558" s="42" t="s">
        <v>4066</v>
      </c>
      <c r="C2558" s="43" t="s">
        <v>4056</v>
      </c>
      <c r="D2558" s="44" t="s">
        <v>4067</v>
      </c>
      <c r="E2558" s="45">
        <v>1</v>
      </c>
      <c r="F2558" s="46">
        <v>7.49</v>
      </c>
      <c r="G2558" s="46">
        <f t="shared" si="39"/>
        <v>7.49</v>
      </c>
      <c r="H2558" s="47" t="s">
        <v>24</v>
      </c>
      <c r="I2558" s="47" t="s">
        <v>58</v>
      </c>
      <c r="J2558" s="32"/>
    </row>
    <row r="2559" spans="1:10" x14ac:dyDescent="0.2">
      <c r="A2559" s="32"/>
      <c r="B2559" s="36" t="s">
        <v>4068</v>
      </c>
      <c r="C2559" s="37" t="s">
        <v>4056</v>
      </c>
      <c r="D2559" s="38" t="s">
        <v>3870</v>
      </c>
      <c r="E2559" s="39">
        <v>1</v>
      </c>
      <c r="F2559" s="40">
        <v>19.989999999999998</v>
      </c>
      <c r="G2559" s="40">
        <f t="shared" si="39"/>
        <v>19.989999999999998</v>
      </c>
      <c r="H2559" s="41" t="s">
        <v>24</v>
      </c>
      <c r="I2559" s="41" t="s">
        <v>58</v>
      </c>
      <c r="J2559" s="32"/>
    </row>
    <row r="2560" spans="1:10" x14ac:dyDescent="0.2">
      <c r="A2560" s="32"/>
      <c r="B2560" s="42" t="s">
        <v>4069</v>
      </c>
      <c r="C2560" s="43" t="s">
        <v>4056</v>
      </c>
      <c r="D2560" s="44" t="s">
        <v>3870</v>
      </c>
      <c r="E2560" s="45">
        <v>1</v>
      </c>
      <c r="F2560" s="46">
        <v>19.989999999999998</v>
      </c>
      <c r="G2560" s="46">
        <f t="shared" si="39"/>
        <v>19.989999999999998</v>
      </c>
      <c r="H2560" s="47" t="s">
        <v>24</v>
      </c>
      <c r="I2560" s="47" t="s">
        <v>58</v>
      </c>
      <c r="J2560" s="32"/>
    </row>
    <row r="2561" spans="1:10" x14ac:dyDescent="0.2">
      <c r="A2561" s="32"/>
      <c r="B2561" s="36" t="s">
        <v>4070</v>
      </c>
      <c r="C2561" s="37" t="s">
        <v>4056</v>
      </c>
      <c r="D2561" s="38" t="s">
        <v>2930</v>
      </c>
      <c r="E2561" s="39">
        <v>1</v>
      </c>
      <c r="F2561" s="40">
        <v>38.99</v>
      </c>
      <c r="G2561" s="40">
        <f t="shared" si="39"/>
        <v>38.99</v>
      </c>
      <c r="H2561" s="41" t="s">
        <v>24</v>
      </c>
      <c r="I2561" s="41" t="s">
        <v>58</v>
      </c>
      <c r="J2561" s="32"/>
    </row>
    <row r="2562" spans="1:10" x14ac:dyDescent="0.2">
      <c r="A2562" s="32"/>
      <c r="B2562" s="42" t="s">
        <v>4071</v>
      </c>
      <c r="C2562" s="43" t="s">
        <v>4056</v>
      </c>
      <c r="D2562" s="44" t="s">
        <v>2930</v>
      </c>
      <c r="E2562" s="45">
        <v>1</v>
      </c>
      <c r="F2562" s="46">
        <v>38.99</v>
      </c>
      <c r="G2562" s="46">
        <f t="shared" si="39"/>
        <v>38.99</v>
      </c>
      <c r="H2562" s="47" t="s">
        <v>24</v>
      </c>
      <c r="I2562" s="47" t="s">
        <v>58</v>
      </c>
      <c r="J2562" s="32"/>
    </row>
    <row r="2563" spans="1:10" x14ac:dyDescent="0.2">
      <c r="A2563" s="32"/>
      <c r="B2563" s="36" t="s">
        <v>4072</v>
      </c>
      <c r="C2563" s="37" t="s">
        <v>4056</v>
      </c>
      <c r="D2563" s="38" t="s">
        <v>3967</v>
      </c>
      <c r="E2563" s="39">
        <v>1</v>
      </c>
      <c r="F2563" s="40">
        <v>8.89</v>
      </c>
      <c r="G2563" s="40">
        <f t="shared" si="39"/>
        <v>8.89</v>
      </c>
      <c r="H2563" s="41" t="s">
        <v>24</v>
      </c>
      <c r="I2563" s="41" t="s">
        <v>58</v>
      </c>
      <c r="J2563" s="32"/>
    </row>
    <row r="2564" spans="1:10" x14ac:dyDescent="0.2">
      <c r="A2564" s="32"/>
      <c r="B2564" s="42" t="s">
        <v>4073</v>
      </c>
      <c r="C2564" s="43" t="s">
        <v>4056</v>
      </c>
      <c r="D2564" s="44" t="s">
        <v>2803</v>
      </c>
      <c r="E2564" s="45">
        <v>1</v>
      </c>
      <c r="F2564" s="46">
        <v>6.29</v>
      </c>
      <c r="G2564" s="46">
        <f t="shared" si="39"/>
        <v>6.29</v>
      </c>
      <c r="H2564" s="47" t="s">
        <v>24</v>
      </c>
      <c r="I2564" s="47" t="s">
        <v>58</v>
      </c>
      <c r="J2564" s="32"/>
    </row>
    <row r="2565" spans="1:10" x14ac:dyDescent="0.2">
      <c r="A2565" s="32"/>
      <c r="B2565" s="36" t="s">
        <v>4074</v>
      </c>
      <c r="C2565" s="37" t="s">
        <v>4056</v>
      </c>
      <c r="D2565" s="38" t="s">
        <v>2801</v>
      </c>
      <c r="E2565" s="39">
        <v>1</v>
      </c>
      <c r="F2565" s="40">
        <v>6.29</v>
      </c>
      <c r="G2565" s="40">
        <f t="shared" ref="G2565:G2628" si="40">E2565*F2565</f>
        <v>6.29</v>
      </c>
      <c r="H2565" s="41" t="s">
        <v>24</v>
      </c>
      <c r="I2565" s="41" t="s">
        <v>58</v>
      </c>
      <c r="J2565" s="32"/>
    </row>
    <row r="2566" spans="1:10" x14ac:dyDescent="0.2">
      <c r="A2566" s="32"/>
      <c r="B2566" s="42" t="s">
        <v>4075</v>
      </c>
      <c r="C2566" s="43" t="s">
        <v>4056</v>
      </c>
      <c r="D2566" s="44" t="s">
        <v>3472</v>
      </c>
      <c r="E2566" s="45">
        <v>1</v>
      </c>
      <c r="F2566" s="46">
        <v>8.99</v>
      </c>
      <c r="G2566" s="46">
        <f t="shared" si="40"/>
        <v>8.99</v>
      </c>
      <c r="H2566" s="47" t="s">
        <v>24</v>
      </c>
      <c r="I2566" s="47" t="s">
        <v>58</v>
      </c>
      <c r="J2566" s="32"/>
    </row>
    <row r="2567" spans="1:10" x14ac:dyDescent="0.2">
      <c r="A2567" s="32"/>
      <c r="B2567" s="36" t="s">
        <v>4076</v>
      </c>
      <c r="C2567" s="37" t="s">
        <v>4056</v>
      </c>
      <c r="D2567" s="38" t="s">
        <v>2918</v>
      </c>
      <c r="E2567" s="39">
        <v>1</v>
      </c>
      <c r="F2567" s="40">
        <v>5.49</v>
      </c>
      <c r="G2567" s="40">
        <f t="shared" si="40"/>
        <v>5.49</v>
      </c>
      <c r="H2567" s="41" t="s">
        <v>24</v>
      </c>
      <c r="I2567" s="41" t="s">
        <v>58</v>
      </c>
      <c r="J2567" s="32"/>
    </row>
    <row r="2568" spans="1:10" x14ac:dyDescent="0.2">
      <c r="A2568" s="32"/>
      <c r="B2568" s="42" t="s">
        <v>4077</v>
      </c>
      <c r="C2568" s="43" t="s">
        <v>4056</v>
      </c>
      <c r="D2568" s="44" t="s">
        <v>1831</v>
      </c>
      <c r="E2568" s="45">
        <v>1</v>
      </c>
      <c r="F2568" s="46">
        <v>9.2899999999999991</v>
      </c>
      <c r="G2568" s="46">
        <f t="shared" si="40"/>
        <v>9.2899999999999991</v>
      </c>
      <c r="H2568" s="47" t="s">
        <v>24</v>
      </c>
      <c r="I2568" s="47" t="s">
        <v>58</v>
      </c>
      <c r="J2568" s="32"/>
    </row>
    <row r="2569" spans="1:10" x14ac:dyDescent="0.2">
      <c r="A2569" s="32"/>
      <c r="B2569" s="36" t="s">
        <v>4078</v>
      </c>
      <c r="C2569" s="37" t="s">
        <v>4056</v>
      </c>
      <c r="D2569" s="38" t="s">
        <v>3759</v>
      </c>
      <c r="E2569" s="39">
        <v>1</v>
      </c>
      <c r="F2569" s="40">
        <v>9.99</v>
      </c>
      <c r="G2569" s="40">
        <f t="shared" si="40"/>
        <v>9.99</v>
      </c>
      <c r="H2569" s="41" t="s">
        <v>24</v>
      </c>
      <c r="I2569" s="41" t="s">
        <v>58</v>
      </c>
      <c r="J2569" s="32"/>
    </row>
    <row r="2570" spans="1:10" x14ac:dyDescent="0.2">
      <c r="A2570" s="32"/>
      <c r="B2570" s="42" t="s">
        <v>4079</v>
      </c>
      <c r="C2570" s="43" t="s">
        <v>4056</v>
      </c>
      <c r="D2570" s="44" t="s">
        <v>3987</v>
      </c>
      <c r="E2570" s="45">
        <v>1</v>
      </c>
      <c r="F2570" s="46">
        <v>26.3</v>
      </c>
      <c r="G2570" s="46">
        <f t="shared" si="40"/>
        <v>26.3</v>
      </c>
      <c r="H2570" s="47" t="s">
        <v>24</v>
      </c>
      <c r="I2570" s="47" t="s">
        <v>58</v>
      </c>
      <c r="J2570" s="32"/>
    </row>
    <row r="2571" spans="1:10" x14ac:dyDescent="0.2">
      <c r="A2571" s="32"/>
      <c r="B2571" s="36" t="s">
        <v>4080</v>
      </c>
      <c r="C2571" s="37" t="s">
        <v>4056</v>
      </c>
      <c r="D2571" s="38" t="s">
        <v>4081</v>
      </c>
      <c r="E2571" s="39">
        <v>1</v>
      </c>
      <c r="F2571" s="40">
        <v>3.19</v>
      </c>
      <c r="G2571" s="40">
        <f t="shared" si="40"/>
        <v>3.19</v>
      </c>
      <c r="H2571" s="41" t="s">
        <v>24</v>
      </c>
      <c r="I2571" s="41" t="s">
        <v>58</v>
      </c>
      <c r="J2571" s="32"/>
    </row>
    <row r="2572" spans="1:10" x14ac:dyDescent="0.2">
      <c r="A2572" s="32"/>
      <c r="B2572" s="42" t="s">
        <v>4082</v>
      </c>
      <c r="C2572" s="43" t="s">
        <v>4056</v>
      </c>
      <c r="D2572" s="44" t="s">
        <v>137</v>
      </c>
      <c r="E2572" s="45">
        <v>1</v>
      </c>
      <c r="F2572" s="46">
        <v>7.69</v>
      </c>
      <c r="G2572" s="46">
        <f t="shared" si="40"/>
        <v>7.69</v>
      </c>
      <c r="H2572" s="47" t="s">
        <v>24</v>
      </c>
      <c r="I2572" s="47" t="s">
        <v>58</v>
      </c>
      <c r="J2572" s="32"/>
    </row>
    <row r="2573" spans="1:10" x14ac:dyDescent="0.2">
      <c r="A2573" s="32"/>
      <c r="B2573" s="36" t="s">
        <v>4083</v>
      </c>
      <c r="C2573" s="37" t="s">
        <v>4056</v>
      </c>
      <c r="D2573" s="38" t="s">
        <v>1871</v>
      </c>
      <c r="E2573" s="39">
        <v>1</v>
      </c>
      <c r="F2573" s="40">
        <v>5.59</v>
      </c>
      <c r="G2573" s="40">
        <f t="shared" si="40"/>
        <v>5.59</v>
      </c>
      <c r="H2573" s="41" t="s">
        <v>24</v>
      </c>
      <c r="I2573" s="41" t="s">
        <v>58</v>
      </c>
      <c r="J2573" s="32"/>
    </row>
    <row r="2574" spans="1:10" x14ac:dyDescent="0.2">
      <c r="A2574" s="32"/>
      <c r="B2574" s="42" t="s">
        <v>4084</v>
      </c>
      <c r="C2574" s="43" t="s">
        <v>4056</v>
      </c>
      <c r="D2574" s="44" t="s">
        <v>4085</v>
      </c>
      <c r="E2574" s="45">
        <v>1</v>
      </c>
      <c r="F2574" s="46">
        <v>29.99</v>
      </c>
      <c r="G2574" s="46">
        <f t="shared" si="40"/>
        <v>29.99</v>
      </c>
      <c r="H2574" s="47" t="s">
        <v>24</v>
      </c>
      <c r="I2574" s="47" t="s">
        <v>58</v>
      </c>
      <c r="J2574" s="32"/>
    </row>
    <row r="2575" spans="1:10" x14ac:dyDescent="0.2">
      <c r="A2575" s="32"/>
      <c r="B2575" s="36" t="s">
        <v>4086</v>
      </c>
      <c r="C2575" s="37" t="s">
        <v>4056</v>
      </c>
      <c r="D2575" s="38" t="s">
        <v>4087</v>
      </c>
      <c r="E2575" s="39">
        <v>1</v>
      </c>
      <c r="F2575" s="40">
        <v>5.99</v>
      </c>
      <c r="G2575" s="40">
        <f t="shared" si="40"/>
        <v>5.99</v>
      </c>
      <c r="H2575" s="41" t="s">
        <v>24</v>
      </c>
      <c r="I2575" s="41" t="s">
        <v>58</v>
      </c>
      <c r="J2575" s="32"/>
    </row>
    <row r="2576" spans="1:10" x14ac:dyDescent="0.2">
      <c r="A2576" s="32"/>
      <c r="B2576" s="42" t="s">
        <v>4088</v>
      </c>
      <c r="C2576" s="43" t="s">
        <v>4056</v>
      </c>
      <c r="D2576" s="44" t="s">
        <v>4089</v>
      </c>
      <c r="E2576" s="45">
        <v>1</v>
      </c>
      <c r="F2576" s="46">
        <v>7.49</v>
      </c>
      <c r="G2576" s="46">
        <f t="shared" si="40"/>
        <v>7.49</v>
      </c>
      <c r="H2576" s="47" t="s">
        <v>24</v>
      </c>
      <c r="I2576" s="47" t="s">
        <v>58</v>
      </c>
      <c r="J2576" s="32"/>
    </row>
    <row r="2577" spans="1:10" x14ac:dyDescent="0.2">
      <c r="A2577" s="32"/>
      <c r="B2577" s="36" t="s">
        <v>4090</v>
      </c>
      <c r="C2577" s="37" t="s">
        <v>4056</v>
      </c>
      <c r="D2577" s="38" t="s">
        <v>1368</v>
      </c>
      <c r="E2577" s="39">
        <v>1</v>
      </c>
      <c r="F2577" s="40">
        <v>1.55</v>
      </c>
      <c r="G2577" s="40">
        <f t="shared" si="40"/>
        <v>1.55</v>
      </c>
      <c r="H2577" s="41" t="s">
        <v>24</v>
      </c>
      <c r="I2577" s="41" t="s">
        <v>58</v>
      </c>
      <c r="J2577" s="32"/>
    </row>
    <row r="2578" spans="1:10" x14ac:dyDescent="0.2">
      <c r="A2578" s="32"/>
      <c r="B2578" s="42" t="s">
        <v>4091</v>
      </c>
      <c r="C2578" s="43" t="s">
        <v>4056</v>
      </c>
      <c r="D2578" s="44" t="s">
        <v>4087</v>
      </c>
      <c r="E2578" s="45">
        <v>1</v>
      </c>
      <c r="F2578" s="46">
        <v>5.99</v>
      </c>
      <c r="G2578" s="46">
        <f t="shared" si="40"/>
        <v>5.99</v>
      </c>
      <c r="H2578" s="47" t="s">
        <v>24</v>
      </c>
      <c r="I2578" s="47" t="s">
        <v>58</v>
      </c>
      <c r="J2578" s="32"/>
    </row>
    <row r="2579" spans="1:10" x14ac:dyDescent="0.2">
      <c r="A2579" s="32"/>
      <c r="B2579" s="36" t="s">
        <v>4092</v>
      </c>
      <c r="C2579" s="37" t="s">
        <v>4056</v>
      </c>
      <c r="D2579" s="38" t="s">
        <v>4093</v>
      </c>
      <c r="E2579" s="39">
        <v>1</v>
      </c>
      <c r="F2579" s="40">
        <v>2.39</v>
      </c>
      <c r="G2579" s="40">
        <f t="shared" si="40"/>
        <v>2.39</v>
      </c>
      <c r="H2579" s="41" t="s">
        <v>24</v>
      </c>
      <c r="I2579" s="41" t="s">
        <v>58</v>
      </c>
      <c r="J2579" s="32"/>
    </row>
    <row r="2580" spans="1:10" x14ac:dyDescent="0.2">
      <c r="A2580" s="32"/>
      <c r="B2580" s="42" t="s">
        <v>4094</v>
      </c>
      <c r="C2580" s="43" t="s">
        <v>4056</v>
      </c>
      <c r="D2580" s="44" t="s">
        <v>39</v>
      </c>
      <c r="E2580" s="45">
        <v>1</v>
      </c>
      <c r="F2580" s="46">
        <v>17.989999999999998</v>
      </c>
      <c r="G2580" s="46">
        <f t="shared" si="40"/>
        <v>17.989999999999998</v>
      </c>
      <c r="H2580" s="47" t="s">
        <v>24</v>
      </c>
      <c r="I2580" s="47" t="s">
        <v>58</v>
      </c>
      <c r="J2580" s="32"/>
    </row>
    <row r="2581" spans="1:10" x14ac:dyDescent="0.2">
      <c r="A2581" s="32"/>
      <c r="B2581" s="36" t="s">
        <v>4095</v>
      </c>
      <c r="C2581" s="37" t="s">
        <v>4056</v>
      </c>
      <c r="D2581" s="38" t="s">
        <v>4096</v>
      </c>
      <c r="E2581" s="39">
        <v>1</v>
      </c>
      <c r="F2581" s="40">
        <v>44.99</v>
      </c>
      <c r="G2581" s="40">
        <f t="shared" si="40"/>
        <v>44.99</v>
      </c>
      <c r="H2581" s="41" t="s">
        <v>24</v>
      </c>
      <c r="I2581" s="41" t="s">
        <v>58</v>
      </c>
      <c r="J2581" s="32"/>
    </row>
    <row r="2582" spans="1:10" x14ac:dyDescent="0.2">
      <c r="A2582" s="32"/>
      <c r="B2582" s="42" t="s">
        <v>4097</v>
      </c>
      <c r="C2582" s="43" t="s">
        <v>4056</v>
      </c>
      <c r="D2582" s="44" t="s">
        <v>4012</v>
      </c>
      <c r="E2582" s="45">
        <v>1</v>
      </c>
      <c r="F2582" s="46">
        <v>21.99</v>
      </c>
      <c r="G2582" s="46">
        <f t="shared" si="40"/>
        <v>21.99</v>
      </c>
      <c r="H2582" s="47" t="s">
        <v>24</v>
      </c>
      <c r="I2582" s="47" t="s">
        <v>58</v>
      </c>
      <c r="J2582" s="32"/>
    </row>
    <row r="2583" spans="1:10" x14ac:dyDescent="0.2">
      <c r="A2583" s="32"/>
      <c r="B2583" s="36" t="s">
        <v>4098</v>
      </c>
      <c r="C2583" s="37" t="s">
        <v>4056</v>
      </c>
      <c r="D2583" s="38" t="s">
        <v>4099</v>
      </c>
      <c r="E2583" s="39">
        <v>1</v>
      </c>
      <c r="F2583" s="40">
        <v>21.99</v>
      </c>
      <c r="G2583" s="40">
        <f t="shared" si="40"/>
        <v>21.99</v>
      </c>
      <c r="H2583" s="41" t="s">
        <v>24</v>
      </c>
      <c r="I2583" s="41" t="s">
        <v>58</v>
      </c>
      <c r="J2583" s="32"/>
    </row>
    <row r="2584" spans="1:10" x14ac:dyDescent="0.2">
      <c r="A2584" s="32"/>
      <c r="B2584" s="42" t="s">
        <v>4100</v>
      </c>
      <c r="C2584" s="43" t="s">
        <v>4056</v>
      </c>
      <c r="D2584" s="44" t="s">
        <v>3672</v>
      </c>
      <c r="E2584" s="45">
        <v>1</v>
      </c>
      <c r="F2584" s="46">
        <v>21.99</v>
      </c>
      <c r="G2584" s="46">
        <f t="shared" si="40"/>
        <v>21.99</v>
      </c>
      <c r="H2584" s="47" t="s">
        <v>24</v>
      </c>
      <c r="I2584" s="47" t="s">
        <v>58</v>
      </c>
      <c r="J2584" s="32"/>
    </row>
    <row r="2585" spans="1:10" x14ac:dyDescent="0.2">
      <c r="A2585" s="32"/>
      <c r="B2585" s="36" t="s">
        <v>4101</v>
      </c>
      <c r="C2585" s="37" t="s">
        <v>4056</v>
      </c>
      <c r="D2585" s="38" t="s">
        <v>3786</v>
      </c>
      <c r="E2585" s="39">
        <v>1</v>
      </c>
      <c r="F2585" s="40">
        <v>21.99</v>
      </c>
      <c r="G2585" s="40">
        <f t="shared" si="40"/>
        <v>21.99</v>
      </c>
      <c r="H2585" s="41" t="s">
        <v>24</v>
      </c>
      <c r="I2585" s="41" t="s">
        <v>58</v>
      </c>
      <c r="J2585" s="32"/>
    </row>
    <row r="2586" spans="1:10" x14ac:dyDescent="0.2">
      <c r="A2586" s="32"/>
      <c r="B2586" s="42" t="s">
        <v>4102</v>
      </c>
      <c r="C2586" s="43" t="s">
        <v>4056</v>
      </c>
      <c r="D2586" s="44" t="s">
        <v>2688</v>
      </c>
      <c r="E2586" s="45">
        <v>1</v>
      </c>
      <c r="F2586" s="46">
        <v>10.29</v>
      </c>
      <c r="G2586" s="46">
        <f t="shared" si="40"/>
        <v>10.29</v>
      </c>
      <c r="H2586" s="47" t="s">
        <v>24</v>
      </c>
      <c r="I2586" s="47" t="s">
        <v>58</v>
      </c>
      <c r="J2586" s="32"/>
    </row>
    <row r="2587" spans="1:10" x14ac:dyDescent="0.2">
      <c r="A2587" s="32"/>
      <c r="B2587" s="36" t="s">
        <v>4103</v>
      </c>
      <c r="C2587" s="37" t="s">
        <v>4056</v>
      </c>
      <c r="D2587" s="38" t="s">
        <v>2526</v>
      </c>
      <c r="E2587" s="39">
        <v>1</v>
      </c>
      <c r="F2587" s="40">
        <v>9.59</v>
      </c>
      <c r="G2587" s="40">
        <f t="shared" si="40"/>
        <v>9.59</v>
      </c>
      <c r="H2587" s="41" t="s">
        <v>25</v>
      </c>
      <c r="I2587" s="41" t="s">
        <v>58</v>
      </c>
      <c r="J2587" s="32"/>
    </row>
    <row r="2588" spans="1:10" x14ac:dyDescent="0.2">
      <c r="A2588" s="32"/>
      <c r="B2588" s="42" t="s">
        <v>4104</v>
      </c>
      <c r="C2588" s="43" t="s">
        <v>4056</v>
      </c>
      <c r="D2588" s="44" t="s">
        <v>40</v>
      </c>
      <c r="E2588" s="45">
        <v>1</v>
      </c>
      <c r="F2588" s="46">
        <v>14.99</v>
      </c>
      <c r="G2588" s="46">
        <f t="shared" si="40"/>
        <v>14.99</v>
      </c>
      <c r="H2588" s="47" t="s">
        <v>25</v>
      </c>
      <c r="I2588" s="47" t="s">
        <v>58</v>
      </c>
      <c r="J2588" s="32"/>
    </row>
    <row r="2589" spans="1:10" x14ac:dyDescent="0.2">
      <c r="A2589" s="32"/>
      <c r="B2589" s="36" t="s">
        <v>4105</v>
      </c>
      <c r="C2589" s="37" t="s">
        <v>4056</v>
      </c>
      <c r="D2589" s="38" t="s">
        <v>2526</v>
      </c>
      <c r="E2589" s="39">
        <v>1</v>
      </c>
      <c r="F2589" s="40">
        <v>9.59</v>
      </c>
      <c r="G2589" s="40">
        <f t="shared" si="40"/>
        <v>9.59</v>
      </c>
      <c r="H2589" s="41" t="s">
        <v>25</v>
      </c>
      <c r="I2589" s="41" t="s">
        <v>58</v>
      </c>
      <c r="J2589" s="32"/>
    </row>
    <row r="2590" spans="1:10" x14ac:dyDescent="0.2">
      <c r="A2590" s="32"/>
      <c r="B2590" s="42" t="s">
        <v>4106</v>
      </c>
      <c r="C2590" s="43" t="s">
        <v>4056</v>
      </c>
      <c r="D2590" s="44" t="s">
        <v>834</v>
      </c>
      <c r="E2590" s="45">
        <v>1</v>
      </c>
      <c r="F2590" s="46">
        <v>4.9800000000000004</v>
      </c>
      <c r="G2590" s="46">
        <f t="shared" si="40"/>
        <v>4.9800000000000004</v>
      </c>
      <c r="H2590" s="47" t="s">
        <v>25</v>
      </c>
      <c r="I2590" s="47" t="s">
        <v>58</v>
      </c>
      <c r="J2590" s="32"/>
    </row>
    <row r="2591" spans="1:10" x14ac:dyDescent="0.2">
      <c r="A2591" s="32"/>
      <c r="B2591" s="36" t="s">
        <v>4107</v>
      </c>
      <c r="C2591" s="37" t="s">
        <v>4056</v>
      </c>
      <c r="D2591" s="38" t="s">
        <v>834</v>
      </c>
      <c r="E2591" s="39">
        <v>1</v>
      </c>
      <c r="F2591" s="40">
        <v>4.9800000000000004</v>
      </c>
      <c r="G2591" s="40">
        <f t="shared" si="40"/>
        <v>4.9800000000000004</v>
      </c>
      <c r="H2591" s="41" t="s">
        <v>25</v>
      </c>
      <c r="I2591" s="41" t="s">
        <v>58</v>
      </c>
      <c r="J2591" s="32"/>
    </row>
    <row r="2592" spans="1:10" x14ac:dyDescent="0.2">
      <c r="A2592" s="32"/>
      <c r="B2592" s="42" t="s">
        <v>4108</v>
      </c>
      <c r="C2592" s="43" t="s">
        <v>4056</v>
      </c>
      <c r="D2592" s="44" t="s">
        <v>3738</v>
      </c>
      <c r="E2592" s="45">
        <v>1</v>
      </c>
      <c r="F2592" s="46">
        <v>16.989999999999998</v>
      </c>
      <c r="G2592" s="46">
        <f t="shared" si="40"/>
        <v>16.989999999999998</v>
      </c>
      <c r="H2592" s="47" t="s">
        <v>24</v>
      </c>
      <c r="I2592" s="47" t="s">
        <v>58</v>
      </c>
      <c r="J2592" s="32"/>
    </row>
    <row r="2593" spans="1:10" x14ac:dyDescent="0.2">
      <c r="A2593" s="32"/>
      <c r="B2593" s="36" t="s">
        <v>4109</v>
      </c>
      <c r="C2593" s="37" t="s">
        <v>4056</v>
      </c>
      <c r="D2593" s="38" t="s">
        <v>4110</v>
      </c>
      <c r="E2593" s="39">
        <v>1</v>
      </c>
      <c r="F2593" s="40">
        <v>18.989999999999998</v>
      </c>
      <c r="G2593" s="40">
        <f t="shared" si="40"/>
        <v>18.989999999999998</v>
      </c>
      <c r="H2593" s="41" t="s">
        <v>25</v>
      </c>
      <c r="I2593" s="41" t="s">
        <v>58</v>
      </c>
      <c r="J2593" s="32"/>
    </row>
    <row r="2594" spans="1:10" x14ac:dyDescent="0.2">
      <c r="A2594" s="32"/>
      <c r="B2594" s="42" t="s">
        <v>4111</v>
      </c>
      <c r="C2594" s="43" t="s">
        <v>4056</v>
      </c>
      <c r="D2594" s="44" t="s">
        <v>4112</v>
      </c>
      <c r="E2594" s="45">
        <v>1</v>
      </c>
      <c r="F2594" s="46">
        <v>13.59</v>
      </c>
      <c r="G2594" s="46">
        <f t="shared" si="40"/>
        <v>13.59</v>
      </c>
      <c r="H2594" s="47" t="s">
        <v>24</v>
      </c>
      <c r="I2594" s="47" t="s">
        <v>58</v>
      </c>
      <c r="J2594" s="32"/>
    </row>
    <row r="2595" spans="1:10" x14ac:dyDescent="0.2">
      <c r="A2595" s="32"/>
      <c r="B2595" s="36" t="s">
        <v>4113</v>
      </c>
      <c r="C2595" s="37" t="s">
        <v>4056</v>
      </c>
      <c r="D2595" s="38" t="s">
        <v>4114</v>
      </c>
      <c r="E2595" s="39">
        <v>1</v>
      </c>
      <c r="F2595" s="40">
        <v>11.99</v>
      </c>
      <c r="G2595" s="40">
        <f t="shared" si="40"/>
        <v>11.99</v>
      </c>
      <c r="H2595" s="41" t="s">
        <v>24</v>
      </c>
      <c r="I2595" s="41" t="s">
        <v>58</v>
      </c>
      <c r="J2595" s="32"/>
    </row>
    <row r="2596" spans="1:10" x14ac:dyDescent="0.2">
      <c r="A2596" s="32"/>
      <c r="B2596" s="42" t="s">
        <v>4115</v>
      </c>
      <c r="C2596" s="43" t="s">
        <v>4056</v>
      </c>
      <c r="D2596" s="44" t="s">
        <v>2333</v>
      </c>
      <c r="E2596" s="45">
        <v>1</v>
      </c>
      <c r="F2596" s="46">
        <v>16.89</v>
      </c>
      <c r="G2596" s="46">
        <f t="shared" si="40"/>
        <v>16.89</v>
      </c>
      <c r="H2596" s="47" t="s">
        <v>25</v>
      </c>
      <c r="I2596" s="47" t="s">
        <v>58</v>
      </c>
      <c r="J2596" s="32"/>
    </row>
    <row r="2597" spans="1:10" x14ac:dyDescent="0.2">
      <c r="A2597" s="32"/>
      <c r="B2597" s="36" t="s">
        <v>4116</v>
      </c>
      <c r="C2597" s="37" t="s">
        <v>4056</v>
      </c>
      <c r="D2597" s="38" t="s">
        <v>2901</v>
      </c>
      <c r="E2597" s="39">
        <v>1</v>
      </c>
      <c r="F2597" s="40">
        <v>16.89</v>
      </c>
      <c r="G2597" s="40">
        <f t="shared" si="40"/>
        <v>16.89</v>
      </c>
      <c r="H2597" s="41" t="s">
        <v>25</v>
      </c>
      <c r="I2597" s="41" t="s">
        <v>58</v>
      </c>
      <c r="J2597" s="32"/>
    </row>
    <row r="2598" spans="1:10" x14ac:dyDescent="0.2">
      <c r="A2598" s="32"/>
      <c r="B2598" s="42" t="s">
        <v>4117</v>
      </c>
      <c r="C2598" s="43" t="s">
        <v>4056</v>
      </c>
      <c r="D2598" s="44" t="s">
        <v>3388</v>
      </c>
      <c r="E2598" s="45">
        <v>1</v>
      </c>
      <c r="F2598" s="46">
        <v>23.59</v>
      </c>
      <c r="G2598" s="46">
        <f t="shared" si="40"/>
        <v>23.59</v>
      </c>
      <c r="H2598" s="47" t="s">
        <v>24</v>
      </c>
      <c r="I2598" s="47" t="s">
        <v>58</v>
      </c>
      <c r="J2598" s="32"/>
    </row>
    <row r="2599" spans="1:10" x14ac:dyDescent="0.2">
      <c r="A2599" s="32"/>
      <c r="B2599" s="36" t="s">
        <v>4118</v>
      </c>
      <c r="C2599" s="37" t="s">
        <v>4056</v>
      </c>
      <c r="D2599" s="38" t="s">
        <v>4119</v>
      </c>
      <c r="E2599" s="39">
        <v>1</v>
      </c>
      <c r="F2599" s="40">
        <v>12.99</v>
      </c>
      <c r="G2599" s="40">
        <f t="shared" si="40"/>
        <v>12.99</v>
      </c>
      <c r="H2599" s="41" t="s">
        <v>24</v>
      </c>
      <c r="I2599" s="41" t="s">
        <v>58</v>
      </c>
      <c r="J2599" s="32"/>
    </row>
    <row r="2600" spans="1:10" x14ac:dyDescent="0.2">
      <c r="A2600" s="32"/>
      <c r="B2600" s="42" t="s">
        <v>4120</v>
      </c>
      <c r="C2600" s="43" t="s">
        <v>4056</v>
      </c>
      <c r="D2600" s="44" t="s">
        <v>4121</v>
      </c>
      <c r="E2600" s="45">
        <v>1</v>
      </c>
      <c r="F2600" s="46">
        <v>7.99</v>
      </c>
      <c r="G2600" s="46">
        <f t="shared" si="40"/>
        <v>7.99</v>
      </c>
      <c r="H2600" s="47" t="s">
        <v>28</v>
      </c>
      <c r="I2600" s="47" t="s">
        <v>58</v>
      </c>
      <c r="J2600" s="32"/>
    </row>
    <row r="2601" spans="1:10" x14ac:dyDescent="0.2">
      <c r="A2601" s="32"/>
      <c r="B2601" s="36" t="s">
        <v>4122</v>
      </c>
      <c r="C2601" s="37" t="s">
        <v>4056</v>
      </c>
      <c r="D2601" s="38" t="s">
        <v>4123</v>
      </c>
      <c r="E2601" s="39">
        <v>1</v>
      </c>
      <c r="F2601" s="40">
        <v>74.989999999999995</v>
      </c>
      <c r="G2601" s="40">
        <f t="shared" si="40"/>
        <v>74.989999999999995</v>
      </c>
      <c r="H2601" s="41" t="s">
        <v>24</v>
      </c>
      <c r="I2601" s="41" t="s">
        <v>58</v>
      </c>
      <c r="J2601" s="32"/>
    </row>
    <row r="2602" spans="1:10" x14ac:dyDescent="0.2">
      <c r="A2602" s="32"/>
      <c r="B2602" s="42" t="s">
        <v>4124</v>
      </c>
      <c r="C2602" s="43" t="s">
        <v>4056</v>
      </c>
      <c r="D2602" s="44" t="s">
        <v>3378</v>
      </c>
      <c r="E2602" s="45">
        <v>1</v>
      </c>
      <c r="F2602" s="46">
        <v>36.99</v>
      </c>
      <c r="G2602" s="46">
        <f t="shared" si="40"/>
        <v>36.99</v>
      </c>
      <c r="H2602" s="47" t="s">
        <v>24</v>
      </c>
      <c r="I2602" s="47" t="s">
        <v>58</v>
      </c>
      <c r="J2602" s="32"/>
    </row>
    <row r="2603" spans="1:10" x14ac:dyDescent="0.2">
      <c r="A2603" s="32"/>
      <c r="B2603" s="36" t="s">
        <v>4125</v>
      </c>
      <c r="C2603" s="37" t="s">
        <v>4056</v>
      </c>
      <c r="D2603" s="38" t="s">
        <v>2722</v>
      </c>
      <c r="E2603" s="39">
        <v>1</v>
      </c>
      <c r="F2603" s="40">
        <v>17.59</v>
      </c>
      <c r="G2603" s="40">
        <f t="shared" si="40"/>
        <v>17.59</v>
      </c>
      <c r="H2603" s="41" t="s">
        <v>28</v>
      </c>
      <c r="I2603" s="41" t="s">
        <v>58</v>
      </c>
      <c r="J2603" s="32"/>
    </row>
    <row r="2604" spans="1:10" x14ac:dyDescent="0.2">
      <c r="A2604" s="32"/>
      <c r="B2604" s="42" t="s">
        <v>4126</v>
      </c>
      <c r="C2604" s="43" t="s">
        <v>4056</v>
      </c>
      <c r="D2604" s="44" t="s">
        <v>3130</v>
      </c>
      <c r="E2604" s="45">
        <v>1</v>
      </c>
      <c r="F2604" s="46">
        <v>34.89</v>
      </c>
      <c r="G2604" s="46">
        <f t="shared" si="40"/>
        <v>34.89</v>
      </c>
      <c r="H2604" s="47" t="s">
        <v>24</v>
      </c>
      <c r="I2604" s="47" t="s">
        <v>58</v>
      </c>
      <c r="J2604" s="32"/>
    </row>
    <row r="2605" spans="1:10" x14ac:dyDescent="0.2">
      <c r="A2605" s="32"/>
      <c r="B2605" s="36" t="s">
        <v>4127</v>
      </c>
      <c r="C2605" s="37" t="s">
        <v>4056</v>
      </c>
      <c r="D2605" s="38" t="s">
        <v>1862</v>
      </c>
      <c r="E2605" s="39">
        <v>1</v>
      </c>
      <c r="F2605" s="40">
        <v>11.99</v>
      </c>
      <c r="G2605" s="40">
        <f t="shared" si="40"/>
        <v>11.99</v>
      </c>
      <c r="H2605" s="41" t="s">
        <v>24</v>
      </c>
      <c r="I2605" s="41" t="s">
        <v>58</v>
      </c>
      <c r="J2605" s="32"/>
    </row>
    <row r="2606" spans="1:10" x14ac:dyDescent="0.2">
      <c r="A2606" s="32"/>
      <c r="B2606" s="42" t="s">
        <v>4128</v>
      </c>
      <c r="C2606" s="43" t="s">
        <v>4056</v>
      </c>
      <c r="D2606" s="44" t="s">
        <v>3513</v>
      </c>
      <c r="E2606" s="45">
        <v>1</v>
      </c>
      <c r="F2606" s="46">
        <v>22.99</v>
      </c>
      <c r="G2606" s="46">
        <f t="shared" si="40"/>
        <v>22.99</v>
      </c>
      <c r="H2606" s="47" t="s">
        <v>24</v>
      </c>
      <c r="I2606" s="47" t="s">
        <v>58</v>
      </c>
      <c r="J2606" s="32"/>
    </row>
    <row r="2607" spans="1:10" x14ac:dyDescent="0.2">
      <c r="A2607" s="32"/>
      <c r="B2607" s="36" t="s">
        <v>4129</v>
      </c>
      <c r="C2607" s="37" t="s">
        <v>4056</v>
      </c>
      <c r="D2607" s="38" t="s">
        <v>1862</v>
      </c>
      <c r="E2607" s="39">
        <v>1</v>
      </c>
      <c r="F2607" s="40">
        <v>11.99</v>
      </c>
      <c r="G2607" s="40">
        <f t="shared" si="40"/>
        <v>11.99</v>
      </c>
      <c r="H2607" s="41" t="s">
        <v>24</v>
      </c>
      <c r="I2607" s="41" t="s">
        <v>58</v>
      </c>
      <c r="J2607" s="32"/>
    </row>
    <row r="2608" spans="1:10" x14ac:dyDescent="0.2">
      <c r="A2608" s="32"/>
      <c r="B2608" s="42" t="s">
        <v>4130</v>
      </c>
      <c r="C2608" s="43" t="s">
        <v>4056</v>
      </c>
      <c r="D2608" s="44" t="s">
        <v>1862</v>
      </c>
      <c r="E2608" s="45">
        <v>1</v>
      </c>
      <c r="F2608" s="46">
        <v>11.99</v>
      </c>
      <c r="G2608" s="46">
        <f t="shared" si="40"/>
        <v>11.99</v>
      </c>
      <c r="H2608" s="47" t="s">
        <v>24</v>
      </c>
      <c r="I2608" s="47" t="s">
        <v>58</v>
      </c>
      <c r="J2608" s="32"/>
    </row>
    <row r="2609" spans="1:10" x14ac:dyDescent="0.2">
      <c r="A2609" s="32"/>
      <c r="B2609" s="36" t="s">
        <v>4131</v>
      </c>
      <c r="C2609" s="37" t="s">
        <v>4056</v>
      </c>
      <c r="D2609" s="38" t="s">
        <v>1862</v>
      </c>
      <c r="E2609" s="39">
        <v>1</v>
      </c>
      <c r="F2609" s="40">
        <v>11.99</v>
      </c>
      <c r="G2609" s="40">
        <f t="shared" si="40"/>
        <v>11.99</v>
      </c>
      <c r="H2609" s="41" t="s">
        <v>24</v>
      </c>
      <c r="I2609" s="41" t="s">
        <v>58</v>
      </c>
      <c r="J2609" s="32"/>
    </row>
    <row r="2610" spans="1:10" x14ac:dyDescent="0.2">
      <c r="A2610" s="32"/>
      <c r="B2610" s="42" t="s">
        <v>4132</v>
      </c>
      <c r="C2610" s="43" t="s">
        <v>4056</v>
      </c>
      <c r="D2610" s="44" t="s">
        <v>1862</v>
      </c>
      <c r="E2610" s="45">
        <v>1</v>
      </c>
      <c r="F2610" s="46">
        <v>11.99</v>
      </c>
      <c r="G2610" s="46">
        <f t="shared" si="40"/>
        <v>11.99</v>
      </c>
      <c r="H2610" s="47" t="s">
        <v>24</v>
      </c>
      <c r="I2610" s="47" t="s">
        <v>58</v>
      </c>
      <c r="J2610" s="32"/>
    </row>
    <row r="2611" spans="1:10" x14ac:dyDescent="0.2">
      <c r="A2611" s="32"/>
      <c r="B2611" s="36" t="s">
        <v>4133</v>
      </c>
      <c r="C2611" s="37" t="s">
        <v>4056</v>
      </c>
      <c r="D2611" s="38" t="s">
        <v>1862</v>
      </c>
      <c r="E2611" s="39">
        <v>1</v>
      </c>
      <c r="F2611" s="40">
        <v>11.99</v>
      </c>
      <c r="G2611" s="40">
        <f t="shared" si="40"/>
        <v>11.99</v>
      </c>
      <c r="H2611" s="41" t="s">
        <v>24</v>
      </c>
      <c r="I2611" s="41" t="s">
        <v>58</v>
      </c>
      <c r="J2611" s="32"/>
    </row>
    <row r="2612" spans="1:10" x14ac:dyDescent="0.2">
      <c r="A2612" s="32"/>
      <c r="B2612" s="42" t="s">
        <v>4134</v>
      </c>
      <c r="C2612" s="43" t="s">
        <v>4056</v>
      </c>
      <c r="D2612" s="44" t="s">
        <v>43</v>
      </c>
      <c r="E2612" s="45">
        <v>1</v>
      </c>
      <c r="F2612" s="46">
        <v>2.59</v>
      </c>
      <c r="G2612" s="46">
        <f t="shared" si="40"/>
        <v>2.59</v>
      </c>
      <c r="H2612" s="47" t="s">
        <v>24</v>
      </c>
      <c r="I2612" s="47" t="s">
        <v>58</v>
      </c>
      <c r="J2612" s="32"/>
    </row>
    <row r="2613" spans="1:10" x14ac:dyDescent="0.2">
      <c r="A2613" s="32"/>
      <c r="B2613" s="36" t="s">
        <v>4135</v>
      </c>
      <c r="C2613" s="37" t="s">
        <v>4136</v>
      </c>
      <c r="D2613" s="38" t="s">
        <v>4137</v>
      </c>
      <c r="E2613" s="39">
        <v>1</v>
      </c>
      <c r="F2613" s="40">
        <v>15.69</v>
      </c>
      <c r="G2613" s="40">
        <f t="shared" si="40"/>
        <v>15.69</v>
      </c>
      <c r="H2613" s="41" t="s">
        <v>24</v>
      </c>
      <c r="I2613" s="41" t="s">
        <v>58</v>
      </c>
      <c r="J2613" s="32"/>
    </row>
    <row r="2614" spans="1:10" x14ac:dyDescent="0.2">
      <c r="A2614" s="32"/>
      <c r="B2614" s="42" t="s">
        <v>4138</v>
      </c>
      <c r="C2614" s="43" t="s">
        <v>4136</v>
      </c>
      <c r="D2614" s="44" t="s">
        <v>4139</v>
      </c>
      <c r="E2614" s="45">
        <v>1</v>
      </c>
      <c r="F2614" s="46">
        <v>94.99</v>
      </c>
      <c r="G2614" s="46">
        <f t="shared" si="40"/>
        <v>94.99</v>
      </c>
      <c r="H2614" s="47" t="s">
        <v>24</v>
      </c>
      <c r="I2614" s="47" t="s">
        <v>58</v>
      </c>
      <c r="J2614" s="32"/>
    </row>
    <row r="2615" spans="1:10" x14ac:dyDescent="0.2">
      <c r="A2615" s="32"/>
      <c r="B2615" s="36" t="s">
        <v>4140</v>
      </c>
      <c r="C2615" s="37" t="s">
        <v>4136</v>
      </c>
      <c r="D2615" s="38" t="s">
        <v>1896</v>
      </c>
      <c r="E2615" s="39">
        <v>1</v>
      </c>
      <c r="F2615" s="40">
        <v>4.99</v>
      </c>
      <c r="G2615" s="40">
        <f t="shared" si="40"/>
        <v>4.99</v>
      </c>
      <c r="H2615" s="41" t="s">
        <v>24</v>
      </c>
      <c r="I2615" s="41" t="s">
        <v>58</v>
      </c>
      <c r="J2615" s="32"/>
    </row>
    <row r="2616" spans="1:10" x14ac:dyDescent="0.2">
      <c r="A2616" s="32"/>
      <c r="B2616" s="42" t="s">
        <v>4141</v>
      </c>
      <c r="C2616" s="43" t="s">
        <v>4136</v>
      </c>
      <c r="D2616" s="44" t="s">
        <v>4142</v>
      </c>
      <c r="E2616" s="45">
        <v>1</v>
      </c>
      <c r="F2616" s="46">
        <v>25.99</v>
      </c>
      <c r="G2616" s="46">
        <f t="shared" si="40"/>
        <v>25.99</v>
      </c>
      <c r="H2616" s="47" t="s">
        <v>24</v>
      </c>
      <c r="I2616" s="47" t="s">
        <v>58</v>
      </c>
      <c r="J2616" s="32"/>
    </row>
    <row r="2617" spans="1:10" x14ac:dyDescent="0.2">
      <c r="A2617" s="32"/>
      <c r="B2617" s="36" t="s">
        <v>4143</v>
      </c>
      <c r="C2617" s="37" t="s">
        <v>4136</v>
      </c>
      <c r="D2617" s="38" t="s">
        <v>2767</v>
      </c>
      <c r="E2617" s="39">
        <v>1</v>
      </c>
      <c r="F2617" s="40">
        <v>13.49</v>
      </c>
      <c r="G2617" s="40">
        <f t="shared" si="40"/>
        <v>13.49</v>
      </c>
      <c r="H2617" s="41" t="s">
        <v>24</v>
      </c>
      <c r="I2617" s="41" t="s">
        <v>58</v>
      </c>
      <c r="J2617" s="32"/>
    </row>
    <row r="2618" spans="1:10" x14ac:dyDescent="0.2">
      <c r="A2618" s="32"/>
      <c r="B2618" s="42" t="s">
        <v>4144</v>
      </c>
      <c r="C2618" s="43" t="s">
        <v>4136</v>
      </c>
      <c r="D2618" s="44" t="s">
        <v>2767</v>
      </c>
      <c r="E2618" s="45">
        <v>1</v>
      </c>
      <c r="F2618" s="46">
        <v>13.49</v>
      </c>
      <c r="G2618" s="46">
        <f t="shared" si="40"/>
        <v>13.49</v>
      </c>
      <c r="H2618" s="47" t="s">
        <v>24</v>
      </c>
      <c r="I2618" s="47" t="s">
        <v>58</v>
      </c>
      <c r="J2618" s="32"/>
    </row>
    <row r="2619" spans="1:10" x14ac:dyDescent="0.2">
      <c r="A2619" s="32"/>
      <c r="B2619" s="36" t="s">
        <v>4145</v>
      </c>
      <c r="C2619" s="37" t="s">
        <v>4136</v>
      </c>
      <c r="D2619" s="38" t="s">
        <v>2767</v>
      </c>
      <c r="E2619" s="39">
        <v>1</v>
      </c>
      <c r="F2619" s="40">
        <v>13.49</v>
      </c>
      <c r="G2619" s="40">
        <f t="shared" si="40"/>
        <v>13.49</v>
      </c>
      <c r="H2619" s="41" t="s">
        <v>24</v>
      </c>
      <c r="I2619" s="41" t="s">
        <v>58</v>
      </c>
      <c r="J2619" s="32"/>
    </row>
    <row r="2620" spans="1:10" x14ac:dyDescent="0.2">
      <c r="A2620" s="32"/>
      <c r="B2620" s="42" t="s">
        <v>4146</v>
      </c>
      <c r="C2620" s="43" t="s">
        <v>4136</v>
      </c>
      <c r="D2620" s="44" t="s">
        <v>4147</v>
      </c>
      <c r="E2620" s="45">
        <v>1</v>
      </c>
      <c r="F2620" s="46">
        <v>36.69</v>
      </c>
      <c r="G2620" s="46">
        <f t="shared" si="40"/>
        <v>36.69</v>
      </c>
      <c r="H2620" s="47" t="s">
        <v>24</v>
      </c>
      <c r="I2620" s="47" t="s">
        <v>58</v>
      </c>
      <c r="J2620" s="32"/>
    </row>
    <row r="2621" spans="1:10" x14ac:dyDescent="0.2">
      <c r="A2621" s="32"/>
      <c r="B2621" s="36" t="s">
        <v>4148</v>
      </c>
      <c r="C2621" s="37" t="s">
        <v>4136</v>
      </c>
      <c r="D2621" s="38" t="s">
        <v>2801</v>
      </c>
      <c r="E2621" s="39">
        <v>1</v>
      </c>
      <c r="F2621" s="40">
        <v>6.29</v>
      </c>
      <c r="G2621" s="40">
        <f t="shared" si="40"/>
        <v>6.29</v>
      </c>
      <c r="H2621" s="41" t="s">
        <v>24</v>
      </c>
      <c r="I2621" s="41" t="s">
        <v>58</v>
      </c>
      <c r="J2621" s="32"/>
    </row>
    <row r="2622" spans="1:10" x14ac:dyDescent="0.2">
      <c r="A2622" s="32"/>
      <c r="B2622" s="42" t="s">
        <v>4149</v>
      </c>
      <c r="C2622" s="43" t="s">
        <v>4136</v>
      </c>
      <c r="D2622" s="44" t="s">
        <v>2767</v>
      </c>
      <c r="E2622" s="45">
        <v>1</v>
      </c>
      <c r="F2622" s="46">
        <v>13.49</v>
      </c>
      <c r="G2622" s="46">
        <f t="shared" si="40"/>
        <v>13.49</v>
      </c>
      <c r="H2622" s="47" t="s">
        <v>24</v>
      </c>
      <c r="I2622" s="47" t="s">
        <v>58</v>
      </c>
      <c r="J2622" s="32"/>
    </row>
    <row r="2623" spans="1:10" x14ac:dyDescent="0.2">
      <c r="A2623" s="32"/>
      <c r="B2623" s="36" t="s">
        <v>4150</v>
      </c>
      <c r="C2623" s="37" t="s">
        <v>4136</v>
      </c>
      <c r="D2623" s="38" t="s">
        <v>2493</v>
      </c>
      <c r="E2623" s="39">
        <v>1</v>
      </c>
      <c r="F2623" s="40">
        <v>50.99</v>
      </c>
      <c r="G2623" s="40">
        <f t="shared" si="40"/>
        <v>50.99</v>
      </c>
      <c r="H2623" s="41" t="s">
        <v>24</v>
      </c>
      <c r="I2623" s="41" t="s">
        <v>58</v>
      </c>
      <c r="J2623" s="32"/>
    </row>
    <row r="2624" spans="1:10" x14ac:dyDescent="0.2">
      <c r="A2624" s="32"/>
      <c r="B2624" s="42" t="s">
        <v>4151</v>
      </c>
      <c r="C2624" s="43" t="s">
        <v>4136</v>
      </c>
      <c r="D2624" s="44" t="s">
        <v>2493</v>
      </c>
      <c r="E2624" s="45">
        <v>1</v>
      </c>
      <c r="F2624" s="46">
        <v>50.99</v>
      </c>
      <c r="G2624" s="46">
        <f t="shared" si="40"/>
        <v>50.99</v>
      </c>
      <c r="H2624" s="47" t="s">
        <v>24</v>
      </c>
      <c r="I2624" s="47" t="s">
        <v>58</v>
      </c>
      <c r="J2624" s="32"/>
    </row>
    <row r="2625" spans="1:10" x14ac:dyDescent="0.2">
      <c r="A2625" s="32"/>
      <c r="B2625" s="36" t="s">
        <v>4152</v>
      </c>
      <c r="C2625" s="37" t="s">
        <v>4136</v>
      </c>
      <c r="D2625" s="38" t="s">
        <v>3513</v>
      </c>
      <c r="E2625" s="39">
        <v>1</v>
      </c>
      <c r="F2625" s="40">
        <v>23.99</v>
      </c>
      <c r="G2625" s="40">
        <f t="shared" si="40"/>
        <v>23.99</v>
      </c>
      <c r="H2625" s="41" t="s">
        <v>24</v>
      </c>
      <c r="I2625" s="41" t="s">
        <v>58</v>
      </c>
      <c r="J2625" s="32"/>
    </row>
    <row r="2626" spans="1:10" x14ac:dyDescent="0.2">
      <c r="A2626" s="32"/>
      <c r="B2626" s="42" t="s">
        <v>4153</v>
      </c>
      <c r="C2626" s="43" t="s">
        <v>4136</v>
      </c>
      <c r="D2626" s="44" t="s">
        <v>3967</v>
      </c>
      <c r="E2626" s="45">
        <v>1</v>
      </c>
      <c r="F2626" s="46">
        <v>8.89</v>
      </c>
      <c r="G2626" s="46">
        <f t="shared" si="40"/>
        <v>8.89</v>
      </c>
      <c r="H2626" s="47" t="s">
        <v>24</v>
      </c>
      <c r="I2626" s="47" t="s">
        <v>58</v>
      </c>
      <c r="J2626" s="32"/>
    </row>
    <row r="2627" spans="1:10" x14ac:dyDescent="0.2">
      <c r="A2627" s="32"/>
      <c r="B2627" s="36" t="s">
        <v>4154</v>
      </c>
      <c r="C2627" s="37" t="s">
        <v>4136</v>
      </c>
      <c r="D2627" s="38" t="s">
        <v>4155</v>
      </c>
      <c r="E2627" s="39">
        <v>1</v>
      </c>
      <c r="F2627" s="40">
        <v>10.99</v>
      </c>
      <c r="G2627" s="40">
        <f t="shared" si="40"/>
        <v>10.99</v>
      </c>
      <c r="H2627" s="41" t="s">
        <v>24</v>
      </c>
      <c r="I2627" s="41" t="s">
        <v>58</v>
      </c>
      <c r="J2627" s="32"/>
    </row>
    <row r="2628" spans="1:10" x14ac:dyDescent="0.2">
      <c r="A2628" s="32"/>
      <c r="B2628" s="42" t="s">
        <v>4156</v>
      </c>
      <c r="C2628" s="43" t="s">
        <v>4136</v>
      </c>
      <c r="D2628" s="44" t="s">
        <v>4157</v>
      </c>
      <c r="E2628" s="45">
        <v>1</v>
      </c>
      <c r="F2628" s="46">
        <v>21.99</v>
      </c>
      <c r="G2628" s="46">
        <f t="shared" si="40"/>
        <v>21.99</v>
      </c>
      <c r="H2628" s="47" t="s">
        <v>24</v>
      </c>
      <c r="I2628" s="47" t="s">
        <v>58</v>
      </c>
      <c r="J2628" s="32"/>
    </row>
    <row r="2629" spans="1:10" x14ac:dyDescent="0.2">
      <c r="A2629" s="32"/>
      <c r="B2629" s="36" t="s">
        <v>4158</v>
      </c>
      <c r="C2629" s="37" t="s">
        <v>4136</v>
      </c>
      <c r="D2629" s="38" t="s">
        <v>1831</v>
      </c>
      <c r="E2629" s="39">
        <v>1</v>
      </c>
      <c r="F2629" s="40">
        <v>9.2899999999999991</v>
      </c>
      <c r="G2629" s="40">
        <f t="shared" ref="G2629:G2692" si="41">E2629*F2629</f>
        <v>9.2899999999999991</v>
      </c>
      <c r="H2629" s="41" t="s">
        <v>24</v>
      </c>
      <c r="I2629" s="41" t="s">
        <v>58</v>
      </c>
      <c r="J2629" s="32"/>
    </row>
    <row r="2630" spans="1:10" x14ac:dyDescent="0.2">
      <c r="A2630" s="32"/>
      <c r="B2630" s="42" t="s">
        <v>4159</v>
      </c>
      <c r="C2630" s="43" t="s">
        <v>4136</v>
      </c>
      <c r="D2630" s="44" t="s">
        <v>2803</v>
      </c>
      <c r="E2630" s="45">
        <v>1</v>
      </c>
      <c r="F2630" s="46">
        <v>6.29</v>
      </c>
      <c r="G2630" s="46">
        <f t="shared" si="41"/>
        <v>6.29</v>
      </c>
      <c r="H2630" s="47" t="s">
        <v>24</v>
      </c>
      <c r="I2630" s="47" t="s">
        <v>58</v>
      </c>
      <c r="J2630" s="32"/>
    </row>
    <row r="2631" spans="1:10" x14ac:dyDescent="0.2">
      <c r="A2631" s="32"/>
      <c r="B2631" s="36" t="s">
        <v>4160</v>
      </c>
      <c r="C2631" s="37" t="s">
        <v>4136</v>
      </c>
      <c r="D2631" s="38" t="s">
        <v>2861</v>
      </c>
      <c r="E2631" s="39">
        <v>1</v>
      </c>
      <c r="F2631" s="40">
        <v>9.2899999999999991</v>
      </c>
      <c r="G2631" s="40">
        <f t="shared" si="41"/>
        <v>9.2899999999999991</v>
      </c>
      <c r="H2631" s="41" t="s">
        <v>24</v>
      </c>
      <c r="I2631" s="41" t="s">
        <v>58</v>
      </c>
      <c r="J2631" s="32"/>
    </row>
    <row r="2632" spans="1:10" x14ac:dyDescent="0.2">
      <c r="A2632" s="32"/>
      <c r="B2632" s="42" t="s">
        <v>4161</v>
      </c>
      <c r="C2632" s="43" t="s">
        <v>4136</v>
      </c>
      <c r="D2632" s="44" t="s">
        <v>3474</v>
      </c>
      <c r="E2632" s="45">
        <v>1</v>
      </c>
      <c r="F2632" s="46">
        <v>13.79</v>
      </c>
      <c r="G2632" s="46">
        <f t="shared" si="41"/>
        <v>13.79</v>
      </c>
      <c r="H2632" s="47" t="s">
        <v>24</v>
      </c>
      <c r="I2632" s="47" t="s">
        <v>58</v>
      </c>
      <c r="J2632" s="32"/>
    </row>
    <row r="2633" spans="1:10" x14ac:dyDescent="0.2">
      <c r="A2633" s="32"/>
      <c r="B2633" s="36" t="s">
        <v>4162</v>
      </c>
      <c r="C2633" s="37" t="s">
        <v>4136</v>
      </c>
      <c r="D2633" s="38" t="s">
        <v>3277</v>
      </c>
      <c r="E2633" s="39">
        <v>1</v>
      </c>
      <c r="F2633" s="40">
        <v>18.79</v>
      </c>
      <c r="G2633" s="40">
        <f t="shared" si="41"/>
        <v>18.79</v>
      </c>
      <c r="H2633" s="41" t="s">
        <v>24</v>
      </c>
      <c r="I2633" s="41" t="s">
        <v>58</v>
      </c>
      <c r="J2633" s="32"/>
    </row>
    <row r="2634" spans="1:10" x14ac:dyDescent="0.2">
      <c r="A2634" s="32"/>
      <c r="B2634" s="42" t="s">
        <v>4163</v>
      </c>
      <c r="C2634" s="43" t="s">
        <v>4136</v>
      </c>
      <c r="D2634" s="44" t="s">
        <v>4164</v>
      </c>
      <c r="E2634" s="45">
        <v>1</v>
      </c>
      <c r="F2634" s="46">
        <v>35.9</v>
      </c>
      <c r="G2634" s="46">
        <f t="shared" si="41"/>
        <v>35.9</v>
      </c>
      <c r="H2634" s="47" t="s">
        <v>24</v>
      </c>
      <c r="I2634" s="47" t="s">
        <v>58</v>
      </c>
      <c r="J2634" s="32"/>
    </row>
    <row r="2635" spans="1:10" x14ac:dyDescent="0.2">
      <c r="A2635" s="32"/>
      <c r="B2635" s="36" t="s">
        <v>4165</v>
      </c>
      <c r="C2635" s="37" t="s">
        <v>4136</v>
      </c>
      <c r="D2635" s="38" t="s">
        <v>3981</v>
      </c>
      <c r="E2635" s="39">
        <v>1</v>
      </c>
      <c r="F2635" s="40">
        <v>30.99</v>
      </c>
      <c r="G2635" s="40">
        <f t="shared" si="41"/>
        <v>30.99</v>
      </c>
      <c r="H2635" s="41" t="s">
        <v>24</v>
      </c>
      <c r="I2635" s="41" t="s">
        <v>58</v>
      </c>
      <c r="J2635" s="32"/>
    </row>
    <row r="2636" spans="1:10" x14ac:dyDescent="0.2">
      <c r="A2636" s="32"/>
      <c r="B2636" s="42" t="s">
        <v>4166</v>
      </c>
      <c r="C2636" s="43" t="s">
        <v>4136</v>
      </c>
      <c r="D2636" s="44" t="s">
        <v>1896</v>
      </c>
      <c r="E2636" s="45">
        <v>1</v>
      </c>
      <c r="F2636" s="46">
        <v>4.99</v>
      </c>
      <c r="G2636" s="46">
        <f t="shared" si="41"/>
        <v>4.99</v>
      </c>
      <c r="H2636" s="47" t="s">
        <v>24</v>
      </c>
      <c r="I2636" s="47" t="s">
        <v>58</v>
      </c>
      <c r="J2636" s="32"/>
    </row>
    <row r="2637" spans="1:10" x14ac:dyDescent="0.2">
      <c r="A2637" s="32"/>
      <c r="B2637" s="36" t="s">
        <v>4167</v>
      </c>
      <c r="C2637" s="37" t="s">
        <v>4136</v>
      </c>
      <c r="D2637" s="38" t="s">
        <v>1896</v>
      </c>
      <c r="E2637" s="39">
        <v>1</v>
      </c>
      <c r="F2637" s="40">
        <v>4.99</v>
      </c>
      <c r="G2637" s="40">
        <f t="shared" si="41"/>
        <v>4.99</v>
      </c>
      <c r="H2637" s="41" t="s">
        <v>24</v>
      </c>
      <c r="I2637" s="41" t="s">
        <v>58</v>
      </c>
      <c r="J2637" s="32"/>
    </row>
    <row r="2638" spans="1:10" x14ac:dyDescent="0.2">
      <c r="A2638" s="32"/>
      <c r="B2638" s="42" t="s">
        <v>4168</v>
      </c>
      <c r="C2638" s="43" t="s">
        <v>4136</v>
      </c>
      <c r="D2638" s="44" t="s">
        <v>4169</v>
      </c>
      <c r="E2638" s="45">
        <v>1</v>
      </c>
      <c r="F2638" s="46">
        <v>17.59</v>
      </c>
      <c r="G2638" s="46">
        <f t="shared" si="41"/>
        <v>17.59</v>
      </c>
      <c r="H2638" s="47" t="s">
        <v>24</v>
      </c>
      <c r="I2638" s="47" t="s">
        <v>58</v>
      </c>
      <c r="J2638" s="32"/>
    </row>
    <row r="2639" spans="1:10" x14ac:dyDescent="0.2">
      <c r="A2639" s="32"/>
      <c r="B2639" s="36" t="s">
        <v>4170</v>
      </c>
      <c r="C2639" s="37" t="s">
        <v>4136</v>
      </c>
      <c r="D2639" s="38" t="s">
        <v>3184</v>
      </c>
      <c r="E2639" s="39">
        <v>1</v>
      </c>
      <c r="F2639" s="40">
        <v>5.29</v>
      </c>
      <c r="G2639" s="40">
        <f t="shared" si="41"/>
        <v>5.29</v>
      </c>
      <c r="H2639" s="41" t="s">
        <v>24</v>
      </c>
      <c r="I2639" s="41" t="s">
        <v>58</v>
      </c>
      <c r="J2639" s="32"/>
    </row>
    <row r="2640" spans="1:10" x14ac:dyDescent="0.2">
      <c r="A2640" s="32"/>
      <c r="B2640" s="42" t="s">
        <v>4171</v>
      </c>
      <c r="C2640" s="43" t="s">
        <v>4136</v>
      </c>
      <c r="D2640" s="44" t="s">
        <v>3184</v>
      </c>
      <c r="E2640" s="45">
        <v>1</v>
      </c>
      <c r="F2640" s="46">
        <v>5.29</v>
      </c>
      <c r="G2640" s="46">
        <f t="shared" si="41"/>
        <v>5.29</v>
      </c>
      <c r="H2640" s="47" t="s">
        <v>24</v>
      </c>
      <c r="I2640" s="47" t="s">
        <v>58</v>
      </c>
      <c r="J2640" s="32"/>
    </row>
    <row r="2641" spans="1:10" x14ac:dyDescent="0.2">
      <c r="A2641" s="32"/>
      <c r="B2641" s="36" t="s">
        <v>4172</v>
      </c>
      <c r="C2641" s="37" t="s">
        <v>4136</v>
      </c>
      <c r="D2641" s="38" t="s">
        <v>3887</v>
      </c>
      <c r="E2641" s="39">
        <v>1</v>
      </c>
      <c r="F2641" s="40">
        <v>3.99</v>
      </c>
      <c r="G2641" s="40">
        <f t="shared" si="41"/>
        <v>3.99</v>
      </c>
      <c r="H2641" s="41" t="s">
        <v>24</v>
      </c>
      <c r="I2641" s="41" t="s">
        <v>58</v>
      </c>
      <c r="J2641" s="32"/>
    </row>
    <row r="2642" spans="1:10" x14ac:dyDescent="0.2">
      <c r="A2642" s="32"/>
      <c r="B2642" s="42" t="s">
        <v>4173</v>
      </c>
      <c r="C2642" s="43" t="s">
        <v>4136</v>
      </c>
      <c r="D2642" s="44" t="s">
        <v>3887</v>
      </c>
      <c r="E2642" s="45">
        <v>1</v>
      </c>
      <c r="F2642" s="46">
        <v>3.99</v>
      </c>
      <c r="G2642" s="46">
        <f t="shared" si="41"/>
        <v>3.99</v>
      </c>
      <c r="H2642" s="47" t="s">
        <v>24</v>
      </c>
      <c r="I2642" s="47" t="s">
        <v>58</v>
      </c>
      <c r="J2642" s="32"/>
    </row>
    <row r="2643" spans="1:10" x14ac:dyDescent="0.2">
      <c r="A2643" s="32"/>
      <c r="B2643" s="36" t="s">
        <v>4174</v>
      </c>
      <c r="C2643" s="37" t="s">
        <v>4136</v>
      </c>
      <c r="D2643" s="38" t="s">
        <v>3882</v>
      </c>
      <c r="E2643" s="39">
        <v>1</v>
      </c>
      <c r="F2643" s="40">
        <v>3.99</v>
      </c>
      <c r="G2643" s="40">
        <f t="shared" si="41"/>
        <v>3.99</v>
      </c>
      <c r="H2643" s="41" t="s">
        <v>24</v>
      </c>
      <c r="I2643" s="41" t="s">
        <v>58</v>
      </c>
      <c r="J2643" s="32"/>
    </row>
    <row r="2644" spans="1:10" x14ac:dyDescent="0.2">
      <c r="A2644" s="32"/>
      <c r="B2644" s="42" t="s">
        <v>4175</v>
      </c>
      <c r="C2644" s="43" t="s">
        <v>4136</v>
      </c>
      <c r="D2644" s="44" t="s">
        <v>3882</v>
      </c>
      <c r="E2644" s="45">
        <v>1</v>
      </c>
      <c r="F2644" s="46">
        <v>3.99</v>
      </c>
      <c r="G2644" s="46">
        <f t="shared" si="41"/>
        <v>3.99</v>
      </c>
      <c r="H2644" s="47" t="s">
        <v>24</v>
      </c>
      <c r="I2644" s="47" t="s">
        <v>58</v>
      </c>
      <c r="J2644" s="32"/>
    </row>
    <row r="2645" spans="1:10" x14ac:dyDescent="0.2">
      <c r="A2645" s="32"/>
      <c r="B2645" s="36" t="s">
        <v>4176</v>
      </c>
      <c r="C2645" s="37" t="s">
        <v>4136</v>
      </c>
      <c r="D2645" s="38" t="s">
        <v>3882</v>
      </c>
      <c r="E2645" s="39">
        <v>1</v>
      </c>
      <c r="F2645" s="40">
        <v>3.99</v>
      </c>
      <c r="G2645" s="40">
        <f t="shared" si="41"/>
        <v>3.99</v>
      </c>
      <c r="H2645" s="41" t="s">
        <v>24</v>
      </c>
      <c r="I2645" s="41" t="s">
        <v>58</v>
      </c>
      <c r="J2645" s="32"/>
    </row>
    <row r="2646" spans="1:10" x14ac:dyDescent="0.2">
      <c r="A2646" s="32"/>
      <c r="B2646" s="42" t="s">
        <v>4177</v>
      </c>
      <c r="C2646" s="43" t="s">
        <v>4136</v>
      </c>
      <c r="D2646" s="44" t="s">
        <v>4178</v>
      </c>
      <c r="E2646" s="45">
        <v>1</v>
      </c>
      <c r="F2646" s="46">
        <v>4.6900000000000004</v>
      </c>
      <c r="G2646" s="46">
        <f t="shared" si="41"/>
        <v>4.6900000000000004</v>
      </c>
      <c r="H2646" s="47" t="s">
        <v>24</v>
      </c>
      <c r="I2646" s="47" t="s">
        <v>58</v>
      </c>
      <c r="J2646" s="32"/>
    </row>
    <row r="2647" spans="1:10" x14ac:dyDescent="0.2">
      <c r="A2647" s="32"/>
      <c r="B2647" s="36" t="s">
        <v>4179</v>
      </c>
      <c r="C2647" s="37" t="s">
        <v>4136</v>
      </c>
      <c r="D2647" s="38" t="s">
        <v>4180</v>
      </c>
      <c r="E2647" s="39">
        <v>1</v>
      </c>
      <c r="F2647" s="40">
        <v>6.59</v>
      </c>
      <c r="G2647" s="40">
        <f t="shared" si="41"/>
        <v>6.59</v>
      </c>
      <c r="H2647" s="41" t="s">
        <v>24</v>
      </c>
      <c r="I2647" s="41" t="s">
        <v>58</v>
      </c>
      <c r="J2647" s="32"/>
    </row>
    <row r="2648" spans="1:10" x14ac:dyDescent="0.2">
      <c r="A2648" s="32"/>
      <c r="B2648" s="42" t="s">
        <v>4181</v>
      </c>
      <c r="C2648" s="43" t="s">
        <v>4136</v>
      </c>
      <c r="D2648" s="44" t="s">
        <v>2871</v>
      </c>
      <c r="E2648" s="45">
        <v>1</v>
      </c>
      <c r="F2648" s="46">
        <v>10.69</v>
      </c>
      <c r="G2648" s="46">
        <f t="shared" si="41"/>
        <v>10.69</v>
      </c>
      <c r="H2648" s="47" t="s">
        <v>24</v>
      </c>
      <c r="I2648" s="47" t="s">
        <v>58</v>
      </c>
      <c r="J2648" s="32"/>
    </row>
    <row r="2649" spans="1:10" x14ac:dyDescent="0.2">
      <c r="A2649" s="32"/>
      <c r="B2649" s="36" t="s">
        <v>4182</v>
      </c>
      <c r="C2649" s="37" t="s">
        <v>4136</v>
      </c>
      <c r="D2649" s="38" t="s">
        <v>2589</v>
      </c>
      <c r="E2649" s="39">
        <v>1</v>
      </c>
      <c r="F2649" s="40">
        <v>8.2899999999999991</v>
      </c>
      <c r="G2649" s="40">
        <f t="shared" si="41"/>
        <v>8.2899999999999991</v>
      </c>
      <c r="H2649" s="41" t="s">
        <v>24</v>
      </c>
      <c r="I2649" s="41" t="s">
        <v>58</v>
      </c>
      <c r="J2649" s="32"/>
    </row>
    <row r="2650" spans="1:10" x14ac:dyDescent="0.2">
      <c r="A2650" s="32"/>
      <c r="B2650" s="42" t="s">
        <v>4183</v>
      </c>
      <c r="C2650" s="43" t="s">
        <v>4136</v>
      </c>
      <c r="D2650" s="44" t="s">
        <v>4184</v>
      </c>
      <c r="E2650" s="45">
        <v>1</v>
      </c>
      <c r="F2650" s="46">
        <v>8.7899999999999991</v>
      </c>
      <c r="G2650" s="46">
        <f t="shared" si="41"/>
        <v>8.7899999999999991</v>
      </c>
      <c r="H2650" s="47" t="s">
        <v>24</v>
      </c>
      <c r="I2650" s="47" t="s">
        <v>58</v>
      </c>
      <c r="J2650" s="32"/>
    </row>
    <row r="2651" spans="1:10" x14ac:dyDescent="0.2">
      <c r="A2651" s="32"/>
      <c r="B2651" s="36" t="s">
        <v>4185</v>
      </c>
      <c r="C2651" s="37" t="s">
        <v>4136</v>
      </c>
      <c r="D2651" s="38" t="s">
        <v>1368</v>
      </c>
      <c r="E2651" s="39">
        <v>1</v>
      </c>
      <c r="F2651" s="40">
        <v>1.55</v>
      </c>
      <c r="G2651" s="40">
        <f t="shared" si="41"/>
        <v>1.55</v>
      </c>
      <c r="H2651" s="41" t="s">
        <v>24</v>
      </c>
      <c r="I2651" s="41" t="s">
        <v>58</v>
      </c>
      <c r="J2651" s="32"/>
    </row>
    <row r="2652" spans="1:10" x14ac:dyDescent="0.2">
      <c r="A2652" s="32"/>
      <c r="B2652" s="42" t="s">
        <v>4186</v>
      </c>
      <c r="C2652" s="43" t="s">
        <v>4136</v>
      </c>
      <c r="D2652" s="44" t="s">
        <v>1871</v>
      </c>
      <c r="E2652" s="45">
        <v>1</v>
      </c>
      <c r="F2652" s="46">
        <v>5.59</v>
      </c>
      <c r="G2652" s="46">
        <f t="shared" si="41"/>
        <v>5.59</v>
      </c>
      <c r="H2652" s="47" t="s">
        <v>24</v>
      </c>
      <c r="I2652" s="47" t="s">
        <v>58</v>
      </c>
      <c r="J2652" s="32"/>
    </row>
    <row r="2653" spans="1:10" x14ac:dyDescent="0.2">
      <c r="A2653" s="32"/>
      <c r="B2653" s="36" t="s">
        <v>4187</v>
      </c>
      <c r="C2653" s="37" t="s">
        <v>4136</v>
      </c>
      <c r="D2653" s="38" t="s">
        <v>3097</v>
      </c>
      <c r="E2653" s="39">
        <v>1</v>
      </c>
      <c r="F2653" s="40">
        <v>19.59</v>
      </c>
      <c r="G2653" s="40">
        <f t="shared" si="41"/>
        <v>19.59</v>
      </c>
      <c r="H2653" s="41" t="s">
        <v>24</v>
      </c>
      <c r="I2653" s="41" t="s">
        <v>58</v>
      </c>
      <c r="J2653" s="32"/>
    </row>
    <row r="2654" spans="1:10" x14ac:dyDescent="0.2">
      <c r="A2654" s="32"/>
      <c r="B2654" s="42" t="s">
        <v>4188</v>
      </c>
      <c r="C2654" s="43" t="s">
        <v>4136</v>
      </c>
      <c r="D2654" s="44" t="s">
        <v>1357</v>
      </c>
      <c r="E2654" s="45">
        <v>1</v>
      </c>
      <c r="F2654" s="46">
        <v>44.99</v>
      </c>
      <c r="G2654" s="46">
        <f t="shared" si="41"/>
        <v>44.99</v>
      </c>
      <c r="H2654" s="47" t="s">
        <v>24</v>
      </c>
      <c r="I2654" s="47" t="s">
        <v>58</v>
      </c>
      <c r="J2654" s="32"/>
    </row>
    <row r="2655" spans="1:10" x14ac:dyDescent="0.2">
      <c r="A2655" s="32"/>
      <c r="B2655" s="36" t="s">
        <v>4189</v>
      </c>
      <c r="C2655" s="37" t="s">
        <v>4136</v>
      </c>
      <c r="D2655" s="38" t="s">
        <v>4190</v>
      </c>
      <c r="E2655" s="39">
        <v>1</v>
      </c>
      <c r="F2655" s="40">
        <v>21.66</v>
      </c>
      <c r="G2655" s="40">
        <f t="shared" si="41"/>
        <v>21.66</v>
      </c>
      <c r="H2655" s="41" t="s">
        <v>24</v>
      </c>
      <c r="I2655" s="41" t="s">
        <v>58</v>
      </c>
      <c r="J2655" s="32"/>
    </row>
    <row r="2656" spans="1:10" x14ac:dyDescent="0.2">
      <c r="A2656" s="32"/>
      <c r="B2656" s="42" t="s">
        <v>4191</v>
      </c>
      <c r="C2656" s="43" t="s">
        <v>4136</v>
      </c>
      <c r="D2656" s="44" t="s">
        <v>2927</v>
      </c>
      <c r="E2656" s="45">
        <v>1</v>
      </c>
      <c r="F2656" s="46">
        <v>3.99</v>
      </c>
      <c r="G2656" s="46">
        <f t="shared" si="41"/>
        <v>3.99</v>
      </c>
      <c r="H2656" s="47" t="s">
        <v>24</v>
      </c>
      <c r="I2656" s="47" t="s">
        <v>58</v>
      </c>
      <c r="J2656" s="32"/>
    </row>
    <row r="2657" spans="1:10" x14ac:dyDescent="0.2">
      <c r="A2657" s="32"/>
      <c r="B2657" s="36" t="s">
        <v>4192</v>
      </c>
      <c r="C2657" s="37" t="s">
        <v>4136</v>
      </c>
      <c r="D2657" s="38" t="s">
        <v>3060</v>
      </c>
      <c r="E2657" s="39">
        <v>1</v>
      </c>
      <c r="F2657" s="40">
        <v>3.99</v>
      </c>
      <c r="G2657" s="40">
        <f t="shared" si="41"/>
        <v>3.99</v>
      </c>
      <c r="H2657" s="41" t="s">
        <v>24</v>
      </c>
      <c r="I2657" s="41" t="s">
        <v>58</v>
      </c>
      <c r="J2657" s="32"/>
    </row>
    <row r="2658" spans="1:10" x14ac:dyDescent="0.2">
      <c r="A2658" s="32"/>
      <c r="B2658" s="42" t="s">
        <v>4193</v>
      </c>
      <c r="C2658" s="43" t="s">
        <v>4136</v>
      </c>
      <c r="D2658" s="44" t="s">
        <v>1007</v>
      </c>
      <c r="E2658" s="45">
        <v>1</v>
      </c>
      <c r="F2658" s="46">
        <v>7.99</v>
      </c>
      <c r="G2658" s="46">
        <f t="shared" si="41"/>
        <v>7.99</v>
      </c>
      <c r="H2658" s="47" t="s">
        <v>24</v>
      </c>
      <c r="I2658" s="47" t="s">
        <v>58</v>
      </c>
      <c r="J2658" s="32"/>
    </row>
    <row r="2659" spans="1:10" x14ac:dyDescent="0.2">
      <c r="A2659" s="32"/>
      <c r="B2659" s="36" t="s">
        <v>4194</v>
      </c>
      <c r="C2659" s="37" t="s">
        <v>4136</v>
      </c>
      <c r="D2659" s="38" t="s">
        <v>3158</v>
      </c>
      <c r="E2659" s="39">
        <v>1</v>
      </c>
      <c r="F2659" s="40">
        <v>2.59</v>
      </c>
      <c r="G2659" s="40">
        <f t="shared" si="41"/>
        <v>2.59</v>
      </c>
      <c r="H2659" s="41" t="s">
        <v>24</v>
      </c>
      <c r="I2659" s="41" t="s">
        <v>58</v>
      </c>
      <c r="J2659" s="32"/>
    </row>
    <row r="2660" spans="1:10" x14ac:dyDescent="0.2">
      <c r="A2660" s="32"/>
      <c r="B2660" s="42" t="s">
        <v>4195</v>
      </c>
      <c r="C2660" s="43" t="s">
        <v>4136</v>
      </c>
      <c r="D2660" s="44" t="s">
        <v>1678</v>
      </c>
      <c r="E2660" s="45">
        <v>1</v>
      </c>
      <c r="F2660" s="46">
        <v>17.989999999999998</v>
      </c>
      <c r="G2660" s="46">
        <f t="shared" si="41"/>
        <v>17.989999999999998</v>
      </c>
      <c r="H2660" s="47" t="s">
        <v>24</v>
      </c>
      <c r="I2660" s="47" t="s">
        <v>58</v>
      </c>
      <c r="J2660" s="32"/>
    </row>
    <row r="2661" spans="1:10" x14ac:dyDescent="0.2">
      <c r="A2661" s="32"/>
      <c r="B2661" s="36" t="s">
        <v>4196</v>
      </c>
      <c r="C2661" s="37" t="s">
        <v>4136</v>
      </c>
      <c r="D2661" s="38" t="s">
        <v>2982</v>
      </c>
      <c r="E2661" s="39">
        <v>1</v>
      </c>
      <c r="F2661" s="40">
        <v>12.99</v>
      </c>
      <c r="G2661" s="40">
        <f t="shared" si="41"/>
        <v>12.99</v>
      </c>
      <c r="H2661" s="41" t="s">
        <v>24</v>
      </c>
      <c r="I2661" s="41" t="s">
        <v>58</v>
      </c>
      <c r="J2661" s="32"/>
    </row>
    <row r="2662" spans="1:10" x14ac:dyDescent="0.2">
      <c r="A2662" s="32"/>
      <c r="B2662" s="42" t="s">
        <v>4197</v>
      </c>
      <c r="C2662" s="43" t="s">
        <v>4136</v>
      </c>
      <c r="D2662" s="44" t="s">
        <v>3565</v>
      </c>
      <c r="E2662" s="45">
        <v>1</v>
      </c>
      <c r="F2662" s="46">
        <v>15.99</v>
      </c>
      <c r="G2662" s="46">
        <f t="shared" si="41"/>
        <v>15.99</v>
      </c>
      <c r="H2662" s="47" t="s">
        <v>24</v>
      </c>
      <c r="I2662" s="47" t="s">
        <v>58</v>
      </c>
      <c r="J2662" s="32"/>
    </row>
    <row r="2663" spans="1:10" x14ac:dyDescent="0.2">
      <c r="A2663" s="32"/>
      <c r="B2663" s="36" t="s">
        <v>4198</v>
      </c>
      <c r="C2663" s="37" t="s">
        <v>4136</v>
      </c>
      <c r="D2663" s="38" t="s">
        <v>2918</v>
      </c>
      <c r="E2663" s="39">
        <v>1</v>
      </c>
      <c r="F2663" s="40">
        <v>5.49</v>
      </c>
      <c r="G2663" s="40">
        <f t="shared" si="41"/>
        <v>5.49</v>
      </c>
      <c r="H2663" s="41" t="s">
        <v>24</v>
      </c>
      <c r="I2663" s="41" t="s">
        <v>58</v>
      </c>
      <c r="J2663" s="32"/>
    </row>
    <row r="2664" spans="1:10" x14ac:dyDescent="0.2">
      <c r="A2664" s="32"/>
      <c r="B2664" s="42" t="s">
        <v>4199</v>
      </c>
      <c r="C2664" s="43" t="s">
        <v>4136</v>
      </c>
      <c r="D2664" s="44" t="s">
        <v>3472</v>
      </c>
      <c r="E2664" s="45">
        <v>1</v>
      </c>
      <c r="F2664" s="46">
        <v>8.99</v>
      </c>
      <c r="G2664" s="46">
        <f t="shared" si="41"/>
        <v>8.99</v>
      </c>
      <c r="H2664" s="47" t="s">
        <v>24</v>
      </c>
      <c r="I2664" s="47" t="s">
        <v>58</v>
      </c>
      <c r="J2664" s="32"/>
    </row>
    <row r="2665" spans="1:10" x14ac:dyDescent="0.2">
      <c r="A2665" s="32"/>
      <c r="B2665" s="36" t="s">
        <v>4200</v>
      </c>
      <c r="C2665" s="37" t="s">
        <v>4136</v>
      </c>
      <c r="D2665" s="38" t="s">
        <v>2945</v>
      </c>
      <c r="E2665" s="39">
        <v>1</v>
      </c>
      <c r="F2665" s="40">
        <v>14.99</v>
      </c>
      <c r="G2665" s="40">
        <f t="shared" si="41"/>
        <v>14.99</v>
      </c>
      <c r="H2665" s="41" t="s">
        <v>24</v>
      </c>
      <c r="I2665" s="41" t="s">
        <v>58</v>
      </c>
      <c r="J2665" s="32"/>
    </row>
    <row r="2666" spans="1:10" x14ac:dyDescent="0.2">
      <c r="A2666" s="32"/>
      <c r="B2666" s="42" t="s">
        <v>4201</v>
      </c>
      <c r="C2666" s="43" t="s">
        <v>4136</v>
      </c>
      <c r="D2666" s="44" t="s">
        <v>95</v>
      </c>
      <c r="E2666" s="45">
        <v>1</v>
      </c>
      <c r="F2666" s="46">
        <v>4.99</v>
      </c>
      <c r="G2666" s="46">
        <f t="shared" si="41"/>
        <v>4.99</v>
      </c>
      <c r="H2666" s="47" t="s">
        <v>24</v>
      </c>
      <c r="I2666" s="47" t="s">
        <v>58</v>
      </c>
      <c r="J2666" s="32"/>
    </row>
    <row r="2667" spans="1:10" x14ac:dyDescent="0.2">
      <c r="A2667" s="32"/>
      <c r="B2667" s="36" t="s">
        <v>4202</v>
      </c>
      <c r="C2667" s="37" t="s">
        <v>4136</v>
      </c>
      <c r="D2667" s="38" t="s">
        <v>1398</v>
      </c>
      <c r="E2667" s="39">
        <v>1</v>
      </c>
      <c r="F2667" s="40">
        <v>55.99</v>
      </c>
      <c r="G2667" s="40">
        <f t="shared" si="41"/>
        <v>55.99</v>
      </c>
      <c r="H2667" s="41" t="s">
        <v>24</v>
      </c>
      <c r="I2667" s="41" t="s">
        <v>58</v>
      </c>
      <c r="J2667" s="32"/>
    </row>
    <row r="2668" spans="1:10" x14ac:dyDescent="0.2">
      <c r="A2668" s="32"/>
      <c r="B2668" s="42" t="s">
        <v>4203</v>
      </c>
      <c r="C2668" s="43" t="s">
        <v>4136</v>
      </c>
      <c r="D2668" s="44" t="s">
        <v>2582</v>
      </c>
      <c r="E2668" s="45">
        <v>1</v>
      </c>
      <c r="F2668" s="46">
        <v>3.99</v>
      </c>
      <c r="G2668" s="46">
        <f t="shared" si="41"/>
        <v>3.99</v>
      </c>
      <c r="H2668" s="47" t="s">
        <v>24</v>
      </c>
      <c r="I2668" s="47" t="s">
        <v>58</v>
      </c>
      <c r="J2668" s="32"/>
    </row>
    <row r="2669" spans="1:10" x14ac:dyDescent="0.2">
      <c r="A2669" s="32"/>
      <c r="B2669" s="36" t="s">
        <v>4204</v>
      </c>
      <c r="C2669" s="37" t="s">
        <v>4136</v>
      </c>
      <c r="D2669" s="38" t="s">
        <v>4205</v>
      </c>
      <c r="E2669" s="39">
        <v>1</v>
      </c>
      <c r="F2669" s="40">
        <v>8.7899999999999991</v>
      </c>
      <c r="G2669" s="40">
        <f t="shared" si="41"/>
        <v>8.7899999999999991</v>
      </c>
      <c r="H2669" s="41" t="s">
        <v>24</v>
      </c>
      <c r="I2669" s="41" t="s">
        <v>58</v>
      </c>
      <c r="J2669" s="32"/>
    </row>
    <row r="2670" spans="1:10" x14ac:dyDescent="0.2">
      <c r="A2670" s="32"/>
      <c r="B2670" s="42" t="s">
        <v>4206</v>
      </c>
      <c r="C2670" s="43" t="s">
        <v>4136</v>
      </c>
      <c r="D2670" s="44" t="s">
        <v>4035</v>
      </c>
      <c r="E2670" s="45">
        <v>1</v>
      </c>
      <c r="F2670" s="46">
        <v>29.99</v>
      </c>
      <c r="G2670" s="46">
        <f t="shared" si="41"/>
        <v>29.99</v>
      </c>
      <c r="H2670" s="47" t="s">
        <v>24</v>
      </c>
      <c r="I2670" s="47" t="s">
        <v>58</v>
      </c>
      <c r="J2670" s="32"/>
    </row>
    <row r="2671" spans="1:10" x14ac:dyDescent="0.2">
      <c r="A2671" s="32"/>
      <c r="B2671" s="36" t="s">
        <v>4207</v>
      </c>
      <c r="C2671" s="37" t="s">
        <v>4208</v>
      </c>
      <c r="D2671" s="38" t="s">
        <v>4209</v>
      </c>
      <c r="E2671" s="39">
        <v>1</v>
      </c>
      <c r="F2671" s="40">
        <v>8.99</v>
      </c>
      <c r="G2671" s="40">
        <f t="shared" si="41"/>
        <v>8.99</v>
      </c>
      <c r="H2671" s="41" t="s">
        <v>24</v>
      </c>
      <c r="I2671" s="41" t="s">
        <v>58</v>
      </c>
      <c r="J2671" s="32"/>
    </row>
    <row r="2672" spans="1:10" x14ac:dyDescent="0.2">
      <c r="A2672" s="32"/>
      <c r="B2672" s="42" t="s">
        <v>4210</v>
      </c>
      <c r="C2672" s="43" t="s">
        <v>4208</v>
      </c>
      <c r="D2672" s="44" t="s">
        <v>2982</v>
      </c>
      <c r="E2672" s="45">
        <v>1</v>
      </c>
      <c r="F2672" s="46">
        <v>9.99</v>
      </c>
      <c r="G2672" s="46">
        <f t="shared" si="41"/>
        <v>9.99</v>
      </c>
      <c r="H2672" s="47" t="s">
        <v>24</v>
      </c>
      <c r="I2672" s="47" t="s">
        <v>58</v>
      </c>
      <c r="J2672" s="32"/>
    </row>
    <row r="2673" spans="1:10" x14ac:dyDescent="0.2">
      <c r="A2673" s="32"/>
      <c r="B2673" s="36" t="s">
        <v>4211</v>
      </c>
      <c r="C2673" s="37" t="s">
        <v>4208</v>
      </c>
      <c r="D2673" s="38" t="s">
        <v>38</v>
      </c>
      <c r="E2673" s="39">
        <v>1</v>
      </c>
      <c r="F2673" s="40">
        <v>4.99</v>
      </c>
      <c r="G2673" s="40">
        <f t="shared" si="41"/>
        <v>4.99</v>
      </c>
      <c r="H2673" s="41" t="s">
        <v>24</v>
      </c>
      <c r="I2673" s="41" t="s">
        <v>58</v>
      </c>
      <c r="J2673" s="32"/>
    </row>
    <row r="2674" spans="1:10" x14ac:dyDescent="0.2">
      <c r="A2674" s="32"/>
      <c r="B2674" s="42" t="s">
        <v>4212</v>
      </c>
      <c r="C2674" s="43" t="s">
        <v>4208</v>
      </c>
      <c r="D2674" s="44" t="s">
        <v>4213</v>
      </c>
      <c r="E2674" s="45">
        <v>1</v>
      </c>
      <c r="F2674" s="46">
        <v>5.99</v>
      </c>
      <c r="G2674" s="46">
        <f t="shared" si="41"/>
        <v>5.99</v>
      </c>
      <c r="H2674" s="47" t="s">
        <v>24</v>
      </c>
      <c r="I2674" s="47" t="s">
        <v>58</v>
      </c>
      <c r="J2674" s="32"/>
    </row>
    <row r="2675" spans="1:10" x14ac:dyDescent="0.2">
      <c r="A2675" s="32"/>
      <c r="B2675" s="36" t="s">
        <v>4214</v>
      </c>
      <c r="C2675" s="37" t="s">
        <v>4208</v>
      </c>
      <c r="D2675" s="38" t="s">
        <v>3465</v>
      </c>
      <c r="E2675" s="39">
        <v>1</v>
      </c>
      <c r="F2675" s="40">
        <v>5.99</v>
      </c>
      <c r="G2675" s="40">
        <f t="shared" si="41"/>
        <v>5.99</v>
      </c>
      <c r="H2675" s="41" t="s">
        <v>24</v>
      </c>
      <c r="I2675" s="41" t="s">
        <v>58</v>
      </c>
      <c r="J2675" s="32"/>
    </row>
    <row r="2676" spans="1:10" x14ac:dyDescent="0.2">
      <c r="A2676" s="32"/>
      <c r="B2676" s="42" t="s">
        <v>4215</v>
      </c>
      <c r="C2676" s="43" t="s">
        <v>4208</v>
      </c>
      <c r="D2676" s="44" t="s">
        <v>1463</v>
      </c>
      <c r="E2676" s="45">
        <v>1</v>
      </c>
      <c r="F2676" s="46">
        <v>5.99</v>
      </c>
      <c r="G2676" s="46">
        <f t="shared" si="41"/>
        <v>5.99</v>
      </c>
      <c r="H2676" s="47" t="s">
        <v>24</v>
      </c>
      <c r="I2676" s="47" t="s">
        <v>58</v>
      </c>
      <c r="J2676" s="32"/>
    </row>
    <row r="2677" spans="1:10" x14ac:dyDescent="0.2">
      <c r="A2677" s="32"/>
      <c r="B2677" s="36" t="s">
        <v>4216</v>
      </c>
      <c r="C2677" s="37" t="s">
        <v>4208</v>
      </c>
      <c r="D2677" s="38" t="s">
        <v>3158</v>
      </c>
      <c r="E2677" s="39">
        <v>1</v>
      </c>
      <c r="F2677" s="40">
        <v>2.59</v>
      </c>
      <c r="G2677" s="40">
        <f t="shared" si="41"/>
        <v>2.59</v>
      </c>
      <c r="H2677" s="41" t="s">
        <v>24</v>
      </c>
      <c r="I2677" s="41" t="s">
        <v>58</v>
      </c>
      <c r="J2677" s="32"/>
    </row>
    <row r="2678" spans="1:10" x14ac:dyDescent="0.2">
      <c r="A2678" s="32"/>
      <c r="B2678" s="42" t="s">
        <v>4217</v>
      </c>
      <c r="C2678" s="43" t="s">
        <v>4208</v>
      </c>
      <c r="D2678" s="44" t="s">
        <v>2927</v>
      </c>
      <c r="E2678" s="45">
        <v>1</v>
      </c>
      <c r="F2678" s="46">
        <v>3.99</v>
      </c>
      <c r="G2678" s="46">
        <f t="shared" si="41"/>
        <v>3.99</v>
      </c>
      <c r="H2678" s="47" t="s">
        <v>24</v>
      </c>
      <c r="I2678" s="47" t="s">
        <v>58</v>
      </c>
      <c r="J2678" s="32"/>
    </row>
    <row r="2679" spans="1:10" x14ac:dyDescent="0.2">
      <c r="A2679" s="32"/>
      <c r="B2679" s="36" t="s">
        <v>4218</v>
      </c>
      <c r="C2679" s="37" t="s">
        <v>4208</v>
      </c>
      <c r="D2679" s="38" t="s">
        <v>4219</v>
      </c>
      <c r="E2679" s="39">
        <v>1</v>
      </c>
      <c r="F2679" s="40">
        <v>43.99</v>
      </c>
      <c r="G2679" s="40">
        <f t="shared" si="41"/>
        <v>43.99</v>
      </c>
      <c r="H2679" s="41" t="s">
        <v>24</v>
      </c>
      <c r="I2679" s="41" t="s">
        <v>58</v>
      </c>
      <c r="J2679" s="32"/>
    </row>
    <row r="2680" spans="1:10" x14ac:dyDescent="0.2">
      <c r="A2680" s="32"/>
      <c r="B2680" s="42" t="s">
        <v>4220</v>
      </c>
      <c r="C2680" s="43" t="s">
        <v>4208</v>
      </c>
      <c r="D2680" s="44" t="s">
        <v>365</v>
      </c>
      <c r="E2680" s="45">
        <v>1</v>
      </c>
      <c r="F2680" s="46">
        <v>6.99</v>
      </c>
      <c r="G2680" s="46">
        <f t="shared" si="41"/>
        <v>6.99</v>
      </c>
      <c r="H2680" s="47" t="s">
        <v>24</v>
      </c>
      <c r="I2680" s="47" t="s">
        <v>58</v>
      </c>
      <c r="J2680" s="32"/>
    </row>
    <row r="2681" spans="1:10" x14ac:dyDescent="0.2">
      <c r="A2681" s="32"/>
      <c r="B2681" s="36" t="s">
        <v>4221</v>
      </c>
      <c r="C2681" s="37" t="s">
        <v>4208</v>
      </c>
      <c r="D2681" s="38" t="s">
        <v>2803</v>
      </c>
      <c r="E2681" s="39">
        <v>1</v>
      </c>
      <c r="F2681" s="40">
        <v>6.29</v>
      </c>
      <c r="G2681" s="40">
        <f t="shared" si="41"/>
        <v>6.29</v>
      </c>
      <c r="H2681" s="41" t="s">
        <v>24</v>
      </c>
      <c r="I2681" s="41" t="s">
        <v>58</v>
      </c>
      <c r="J2681" s="32"/>
    </row>
    <row r="2682" spans="1:10" x14ac:dyDescent="0.2">
      <c r="A2682" s="32"/>
      <c r="B2682" s="42" t="s">
        <v>4222</v>
      </c>
      <c r="C2682" s="43" t="s">
        <v>4208</v>
      </c>
      <c r="D2682" s="44" t="s">
        <v>4223</v>
      </c>
      <c r="E2682" s="45">
        <v>1</v>
      </c>
      <c r="F2682" s="46">
        <v>6.29</v>
      </c>
      <c r="G2682" s="46">
        <f t="shared" si="41"/>
        <v>6.29</v>
      </c>
      <c r="H2682" s="47" t="s">
        <v>24</v>
      </c>
      <c r="I2682" s="47" t="s">
        <v>58</v>
      </c>
      <c r="J2682" s="32"/>
    </row>
    <row r="2683" spans="1:10" x14ac:dyDescent="0.2">
      <c r="A2683" s="32"/>
      <c r="B2683" s="36" t="s">
        <v>4224</v>
      </c>
      <c r="C2683" s="37" t="s">
        <v>4208</v>
      </c>
      <c r="D2683" s="38" t="s">
        <v>81</v>
      </c>
      <c r="E2683" s="39">
        <v>1</v>
      </c>
      <c r="F2683" s="40">
        <v>3.99</v>
      </c>
      <c r="G2683" s="40">
        <f t="shared" si="41"/>
        <v>3.99</v>
      </c>
      <c r="H2683" s="41" t="s">
        <v>24</v>
      </c>
      <c r="I2683" s="41" t="s">
        <v>58</v>
      </c>
      <c r="J2683" s="32"/>
    </row>
    <row r="2684" spans="1:10" x14ac:dyDescent="0.2">
      <c r="A2684" s="32"/>
      <c r="B2684" s="42" t="s">
        <v>4225</v>
      </c>
      <c r="C2684" s="43" t="s">
        <v>4208</v>
      </c>
      <c r="D2684" s="44" t="s">
        <v>3474</v>
      </c>
      <c r="E2684" s="45">
        <v>1</v>
      </c>
      <c r="F2684" s="46">
        <v>13.79</v>
      </c>
      <c r="G2684" s="46">
        <f t="shared" si="41"/>
        <v>13.79</v>
      </c>
      <c r="H2684" s="47" t="s">
        <v>24</v>
      </c>
      <c r="I2684" s="47" t="s">
        <v>58</v>
      </c>
      <c r="J2684" s="32"/>
    </row>
    <row r="2685" spans="1:10" x14ac:dyDescent="0.2">
      <c r="A2685" s="32"/>
      <c r="B2685" s="36" t="s">
        <v>4226</v>
      </c>
      <c r="C2685" s="37" t="s">
        <v>4208</v>
      </c>
      <c r="D2685" s="38" t="s">
        <v>2930</v>
      </c>
      <c r="E2685" s="39">
        <v>1</v>
      </c>
      <c r="F2685" s="40">
        <v>39.99</v>
      </c>
      <c r="G2685" s="40">
        <f t="shared" si="41"/>
        <v>39.99</v>
      </c>
      <c r="H2685" s="41" t="s">
        <v>24</v>
      </c>
      <c r="I2685" s="41" t="s">
        <v>58</v>
      </c>
      <c r="J2685" s="32"/>
    </row>
    <row r="2686" spans="1:10" x14ac:dyDescent="0.2">
      <c r="A2686" s="32"/>
      <c r="B2686" s="42" t="s">
        <v>4227</v>
      </c>
      <c r="C2686" s="43" t="s">
        <v>4208</v>
      </c>
      <c r="D2686" s="44" t="s">
        <v>2930</v>
      </c>
      <c r="E2686" s="45">
        <v>1</v>
      </c>
      <c r="F2686" s="46">
        <v>39.99</v>
      </c>
      <c r="G2686" s="46">
        <f t="shared" si="41"/>
        <v>39.99</v>
      </c>
      <c r="H2686" s="47" t="s">
        <v>24</v>
      </c>
      <c r="I2686" s="47" t="s">
        <v>58</v>
      </c>
      <c r="J2686" s="32"/>
    </row>
    <row r="2687" spans="1:10" x14ac:dyDescent="0.2">
      <c r="A2687" s="32"/>
      <c r="B2687" s="36" t="s">
        <v>4228</v>
      </c>
      <c r="C2687" s="37" t="s">
        <v>4208</v>
      </c>
      <c r="D2687" s="38" t="s">
        <v>4229</v>
      </c>
      <c r="E2687" s="39">
        <v>1</v>
      </c>
      <c r="F2687" s="40">
        <v>7.79</v>
      </c>
      <c r="G2687" s="40">
        <f t="shared" si="41"/>
        <v>7.79</v>
      </c>
      <c r="H2687" s="41" t="s">
        <v>24</v>
      </c>
      <c r="I2687" s="41" t="s">
        <v>58</v>
      </c>
      <c r="J2687" s="32"/>
    </row>
    <row r="2688" spans="1:10" x14ac:dyDescent="0.2">
      <c r="A2688" s="32"/>
      <c r="B2688" s="42" t="s">
        <v>4230</v>
      </c>
      <c r="C2688" s="43" t="s">
        <v>4208</v>
      </c>
      <c r="D2688" s="44" t="s">
        <v>3470</v>
      </c>
      <c r="E2688" s="45">
        <v>1</v>
      </c>
      <c r="F2688" s="46">
        <v>22.69</v>
      </c>
      <c r="G2688" s="46">
        <f t="shared" si="41"/>
        <v>22.69</v>
      </c>
      <c r="H2688" s="47" t="s">
        <v>24</v>
      </c>
      <c r="I2688" s="47" t="s">
        <v>58</v>
      </c>
      <c r="J2688" s="32"/>
    </row>
    <row r="2689" spans="1:10" x14ac:dyDescent="0.2">
      <c r="A2689" s="32"/>
      <c r="B2689" s="36" t="s">
        <v>4231</v>
      </c>
      <c r="C2689" s="37" t="s">
        <v>4208</v>
      </c>
      <c r="D2689" s="38" t="s">
        <v>4232</v>
      </c>
      <c r="E2689" s="39">
        <v>1</v>
      </c>
      <c r="F2689" s="40">
        <v>19.59</v>
      </c>
      <c r="G2689" s="40">
        <f t="shared" si="41"/>
        <v>19.59</v>
      </c>
      <c r="H2689" s="41" t="s">
        <v>24</v>
      </c>
      <c r="I2689" s="41" t="s">
        <v>58</v>
      </c>
      <c r="J2689" s="32"/>
    </row>
    <row r="2690" spans="1:10" x14ac:dyDescent="0.2">
      <c r="A2690" s="32"/>
      <c r="B2690" s="42" t="s">
        <v>4233</v>
      </c>
      <c r="C2690" s="43" t="s">
        <v>4208</v>
      </c>
      <c r="D2690" s="44" t="s">
        <v>1676</v>
      </c>
      <c r="E2690" s="45">
        <v>1</v>
      </c>
      <c r="F2690" s="46">
        <v>22.99</v>
      </c>
      <c r="G2690" s="46">
        <f t="shared" si="41"/>
        <v>22.99</v>
      </c>
      <c r="H2690" s="47" t="s">
        <v>24</v>
      </c>
      <c r="I2690" s="47" t="s">
        <v>58</v>
      </c>
      <c r="J2690" s="32"/>
    </row>
    <row r="2691" spans="1:10" x14ac:dyDescent="0.2">
      <c r="A2691" s="32"/>
      <c r="B2691" s="36" t="s">
        <v>4234</v>
      </c>
      <c r="C2691" s="37" t="s">
        <v>4208</v>
      </c>
      <c r="D2691" s="38" t="s">
        <v>4235</v>
      </c>
      <c r="E2691" s="39">
        <v>1</v>
      </c>
      <c r="F2691" s="40">
        <v>4.6900000000000004</v>
      </c>
      <c r="G2691" s="40">
        <f t="shared" si="41"/>
        <v>4.6900000000000004</v>
      </c>
      <c r="H2691" s="41" t="s">
        <v>24</v>
      </c>
      <c r="I2691" s="41" t="s">
        <v>58</v>
      </c>
      <c r="J2691" s="32"/>
    </row>
    <row r="2692" spans="1:10" x14ac:dyDescent="0.2">
      <c r="A2692" s="32"/>
      <c r="B2692" s="42" t="s">
        <v>4236</v>
      </c>
      <c r="C2692" s="43" t="s">
        <v>4208</v>
      </c>
      <c r="D2692" s="44" t="s">
        <v>2589</v>
      </c>
      <c r="E2692" s="45">
        <v>1</v>
      </c>
      <c r="F2692" s="46">
        <v>8.2899999999999991</v>
      </c>
      <c r="G2692" s="46">
        <f t="shared" si="41"/>
        <v>8.2899999999999991</v>
      </c>
      <c r="H2692" s="47" t="s">
        <v>24</v>
      </c>
      <c r="I2692" s="47" t="s">
        <v>58</v>
      </c>
      <c r="J2692" s="32"/>
    </row>
    <row r="2693" spans="1:10" x14ac:dyDescent="0.2">
      <c r="A2693" s="32"/>
      <c r="B2693" s="36" t="s">
        <v>4237</v>
      </c>
      <c r="C2693" s="37" t="s">
        <v>4208</v>
      </c>
      <c r="D2693" s="38" t="s">
        <v>2589</v>
      </c>
      <c r="E2693" s="39">
        <v>1</v>
      </c>
      <c r="F2693" s="40">
        <v>8.2899999999999991</v>
      </c>
      <c r="G2693" s="40">
        <f t="shared" ref="G2693:G2756" si="42">E2693*F2693</f>
        <v>8.2899999999999991</v>
      </c>
      <c r="H2693" s="41" t="s">
        <v>24</v>
      </c>
      <c r="I2693" s="41" t="s">
        <v>58</v>
      </c>
      <c r="J2693" s="32"/>
    </row>
    <row r="2694" spans="1:10" x14ac:dyDescent="0.2">
      <c r="A2694" s="32"/>
      <c r="B2694" s="42" t="s">
        <v>4238</v>
      </c>
      <c r="C2694" s="43" t="s">
        <v>4208</v>
      </c>
      <c r="D2694" s="44" t="s">
        <v>39</v>
      </c>
      <c r="E2694" s="45">
        <v>1</v>
      </c>
      <c r="F2694" s="46">
        <v>14.99</v>
      </c>
      <c r="G2694" s="46">
        <f t="shared" si="42"/>
        <v>14.99</v>
      </c>
      <c r="H2694" s="47" t="s">
        <v>24</v>
      </c>
      <c r="I2694" s="47" t="s">
        <v>58</v>
      </c>
      <c r="J2694" s="32"/>
    </row>
    <row r="2695" spans="1:10" x14ac:dyDescent="0.2">
      <c r="A2695" s="32"/>
      <c r="B2695" s="36" t="s">
        <v>4239</v>
      </c>
      <c r="C2695" s="37" t="s">
        <v>4208</v>
      </c>
      <c r="D2695" s="38" t="s">
        <v>39</v>
      </c>
      <c r="E2695" s="39">
        <v>1</v>
      </c>
      <c r="F2695" s="40">
        <v>14.99</v>
      </c>
      <c r="G2695" s="40">
        <f t="shared" si="42"/>
        <v>14.99</v>
      </c>
      <c r="H2695" s="41" t="s">
        <v>24</v>
      </c>
      <c r="I2695" s="41" t="s">
        <v>58</v>
      </c>
      <c r="J2695" s="32"/>
    </row>
    <row r="2696" spans="1:10" x14ac:dyDescent="0.2">
      <c r="A2696" s="32"/>
      <c r="B2696" s="42" t="s">
        <v>4240</v>
      </c>
      <c r="C2696" s="43" t="s">
        <v>4208</v>
      </c>
      <c r="D2696" s="44" t="s">
        <v>2497</v>
      </c>
      <c r="E2696" s="45">
        <v>1</v>
      </c>
      <c r="F2696" s="46">
        <v>11.99</v>
      </c>
      <c r="G2696" s="46">
        <f t="shared" si="42"/>
        <v>11.99</v>
      </c>
      <c r="H2696" s="47" t="s">
        <v>24</v>
      </c>
      <c r="I2696" s="47" t="s">
        <v>58</v>
      </c>
      <c r="J2696" s="32"/>
    </row>
    <row r="2697" spans="1:10" x14ac:dyDescent="0.2">
      <c r="A2697" s="32"/>
      <c r="B2697" s="36" t="s">
        <v>4241</v>
      </c>
      <c r="C2697" s="37" t="s">
        <v>4208</v>
      </c>
      <c r="D2697" s="38" t="s">
        <v>4242</v>
      </c>
      <c r="E2697" s="39">
        <v>1</v>
      </c>
      <c r="F2697" s="40">
        <v>7.99</v>
      </c>
      <c r="G2697" s="40">
        <f t="shared" si="42"/>
        <v>7.99</v>
      </c>
      <c r="H2697" s="41" t="s">
        <v>24</v>
      </c>
      <c r="I2697" s="41" t="s">
        <v>58</v>
      </c>
      <c r="J2697" s="32"/>
    </row>
    <row r="2698" spans="1:10" x14ac:dyDescent="0.2">
      <c r="A2698" s="32"/>
      <c r="B2698" s="42" t="s">
        <v>4243</v>
      </c>
      <c r="C2698" s="43" t="s">
        <v>4208</v>
      </c>
      <c r="D2698" s="44" t="s">
        <v>3184</v>
      </c>
      <c r="E2698" s="45">
        <v>1</v>
      </c>
      <c r="F2698" s="46">
        <v>5.29</v>
      </c>
      <c r="G2698" s="46">
        <f t="shared" si="42"/>
        <v>5.29</v>
      </c>
      <c r="H2698" s="47" t="s">
        <v>24</v>
      </c>
      <c r="I2698" s="47" t="s">
        <v>58</v>
      </c>
      <c r="J2698" s="32"/>
    </row>
    <row r="2699" spans="1:10" x14ac:dyDescent="0.2">
      <c r="A2699" s="32"/>
      <c r="B2699" s="36" t="s">
        <v>4244</v>
      </c>
      <c r="C2699" s="37" t="s">
        <v>4208</v>
      </c>
      <c r="D2699" s="38" t="s">
        <v>3184</v>
      </c>
      <c r="E2699" s="39">
        <v>1</v>
      </c>
      <c r="F2699" s="40">
        <v>5.29</v>
      </c>
      <c r="G2699" s="40">
        <f t="shared" si="42"/>
        <v>5.29</v>
      </c>
      <c r="H2699" s="41" t="s">
        <v>24</v>
      </c>
      <c r="I2699" s="41" t="s">
        <v>58</v>
      </c>
      <c r="J2699" s="32"/>
    </row>
    <row r="2700" spans="1:10" x14ac:dyDescent="0.2">
      <c r="A2700" s="32"/>
      <c r="B2700" s="42" t="s">
        <v>4245</v>
      </c>
      <c r="C2700" s="43" t="s">
        <v>4208</v>
      </c>
      <c r="D2700" s="44" t="s">
        <v>1896</v>
      </c>
      <c r="E2700" s="45">
        <v>1</v>
      </c>
      <c r="F2700" s="46">
        <v>4.99</v>
      </c>
      <c r="G2700" s="46">
        <f t="shared" si="42"/>
        <v>4.99</v>
      </c>
      <c r="H2700" s="47" t="s">
        <v>24</v>
      </c>
      <c r="I2700" s="47" t="s">
        <v>58</v>
      </c>
      <c r="J2700" s="32"/>
    </row>
    <row r="2701" spans="1:10" x14ac:dyDescent="0.2">
      <c r="A2701" s="32"/>
      <c r="B2701" s="36" t="s">
        <v>4246</v>
      </c>
      <c r="C2701" s="37" t="s">
        <v>4208</v>
      </c>
      <c r="D2701" s="38" t="s">
        <v>1896</v>
      </c>
      <c r="E2701" s="39">
        <v>1</v>
      </c>
      <c r="F2701" s="40">
        <v>4.99</v>
      </c>
      <c r="G2701" s="40">
        <f t="shared" si="42"/>
        <v>4.99</v>
      </c>
      <c r="H2701" s="41" t="s">
        <v>24</v>
      </c>
      <c r="I2701" s="41" t="s">
        <v>58</v>
      </c>
      <c r="J2701" s="32"/>
    </row>
    <row r="2702" spans="1:10" x14ac:dyDescent="0.2">
      <c r="A2702" s="32"/>
      <c r="B2702" s="42" t="s">
        <v>4247</v>
      </c>
      <c r="C2702" s="43" t="s">
        <v>4208</v>
      </c>
      <c r="D2702" s="44" t="s">
        <v>1896</v>
      </c>
      <c r="E2702" s="45">
        <v>1</v>
      </c>
      <c r="F2702" s="46">
        <v>4.99</v>
      </c>
      <c r="G2702" s="46">
        <f t="shared" si="42"/>
        <v>4.99</v>
      </c>
      <c r="H2702" s="47" t="s">
        <v>24</v>
      </c>
      <c r="I2702" s="47" t="s">
        <v>58</v>
      </c>
      <c r="J2702" s="32"/>
    </row>
    <row r="2703" spans="1:10" x14ac:dyDescent="0.2">
      <c r="A2703" s="32"/>
      <c r="B2703" s="36" t="s">
        <v>4248</v>
      </c>
      <c r="C2703" s="37" t="s">
        <v>4208</v>
      </c>
      <c r="D2703" s="38" t="s">
        <v>3070</v>
      </c>
      <c r="E2703" s="39">
        <v>1</v>
      </c>
      <c r="F2703" s="40">
        <v>3.39</v>
      </c>
      <c r="G2703" s="40">
        <f t="shared" si="42"/>
        <v>3.39</v>
      </c>
      <c r="H2703" s="41" t="s">
        <v>24</v>
      </c>
      <c r="I2703" s="41" t="s">
        <v>58</v>
      </c>
      <c r="J2703" s="32"/>
    </row>
    <row r="2704" spans="1:10" x14ac:dyDescent="0.2">
      <c r="A2704" s="32"/>
      <c r="B2704" s="42" t="s">
        <v>4249</v>
      </c>
      <c r="C2704" s="43" t="s">
        <v>4208</v>
      </c>
      <c r="D2704" s="44" t="s">
        <v>2956</v>
      </c>
      <c r="E2704" s="45">
        <v>1</v>
      </c>
      <c r="F2704" s="46">
        <v>3.39</v>
      </c>
      <c r="G2704" s="46">
        <f t="shared" si="42"/>
        <v>3.39</v>
      </c>
      <c r="H2704" s="47" t="s">
        <v>24</v>
      </c>
      <c r="I2704" s="47" t="s">
        <v>58</v>
      </c>
      <c r="J2704" s="32"/>
    </row>
    <row r="2705" spans="1:10" x14ac:dyDescent="0.2">
      <c r="A2705" s="32"/>
      <c r="B2705" s="36" t="s">
        <v>4250</v>
      </c>
      <c r="C2705" s="37" t="s">
        <v>4208</v>
      </c>
      <c r="D2705" s="38" t="s">
        <v>2956</v>
      </c>
      <c r="E2705" s="39">
        <v>1</v>
      </c>
      <c r="F2705" s="40">
        <v>3.39</v>
      </c>
      <c r="G2705" s="40">
        <f t="shared" si="42"/>
        <v>3.39</v>
      </c>
      <c r="H2705" s="41" t="s">
        <v>24</v>
      </c>
      <c r="I2705" s="41" t="s">
        <v>58</v>
      </c>
      <c r="J2705" s="32"/>
    </row>
    <row r="2706" spans="1:10" x14ac:dyDescent="0.2">
      <c r="A2706" s="32"/>
      <c r="B2706" s="42" t="s">
        <v>4251</v>
      </c>
      <c r="C2706" s="43" t="s">
        <v>4208</v>
      </c>
      <c r="D2706" s="44" t="s">
        <v>4252</v>
      </c>
      <c r="E2706" s="45">
        <v>1</v>
      </c>
      <c r="F2706" s="46">
        <v>13.99</v>
      </c>
      <c r="G2706" s="46">
        <f t="shared" si="42"/>
        <v>13.99</v>
      </c>
      <c r="H2706" s="47" t="s">
        <v>24</v>
      </c>
      <c r="I2706" s="47" t="s">
        <v>58</v>
      </c>
      <c r="J2706" s="32"/>
    </row>
    <row r="2707" spans="1:10" x14ac:dyDescent="0.2">
      <c r="A2707" s="32"/>
      <c r="B2707" s="36" t="s">
        <v>4253</v>
      </c>
      <c r="C2707" s="37" t="s">
        <v>4208</v>
      </c>
      <c r="D2707" s="38" t="s">
        <v>3575</v>
      </c>
      <c r="E2707" s="39">
        <v>1</v>
      </c>
      <c r="F2707" s="40">
        <v>25.99</v>
      </c>
      <c r="G2707" s="40">
        <f t="shared" si="42"/>
        <v>25.99</v>
      </c>
      <c r="H2707" s="41" t="s">
        <v>24</v>
      </c>
      <c r="I2707" s="41" t="s">
        <v>58</v>
      </c>
      <c r="J2707" s="32"/>
    </row>
    <row r="2708" spans="1:10" x14ac:dyDescent="0.2">
      <c r="A2708" s="32"/>
      <c r="B2708" s="42" t="s">
        <v>4254</v>
      </c>
      <c r="C2708" s="43" t="s">
        <v>4208</v>
      </c>
      <c r="D2708" s="44" t="s">
        <v>4012</v>
      </c>
      <c r="E2708" s="45">
        <v>1</v>
      </c>
      <c r="F2708" s="46">
        <v>21.99</v>
      </c>
      <c r="G2708" s="46">
        <f t="shared" si="42"/>
        <v>21.99</v>
      </c>
      <c r="H2708" s="47" t="s">
        <v>24</v>
      </c>
      <c r="I2708" s="47" t="s">
        <v>58</v>
      </c>
      <c r="J2708" s="32"/>
    </row>
    <row r="2709" spans="1:10" x14ac:dyDescent="0.2">
      <c r="A2709" s="32"/>
      <c r="B2709" s="36" t="s">
        <v>4255</v>
      </c>
      <c r="C2709" s="37" t="s">
        <v>4208</v>
      </c>
      <c r="D2709" s="38" t="s">
        <v>4012</v>
      </c>
      <c r="E2709" s="39">
        <v>1</v>
      </c>
      <c r="F2709" s="40">
        <v>21.99</v>
      </c>
      <c r="G2709" s="40">
        <f t="shared" si="42"/>
        <v>21.99</v>
      </c>
      <c r="H2709" s="41" t="s">
        <v>24</v>
      </c>
      <c r="I2709" s="41" t="s">
        <v>58</v>
      </c>
      <c r="J2709" s="32"/>
    </row>
    <row r="2710" spans="1:10" x14ac:dyDescent="0.2">
      <c r="A2710" s="32"/>
      <c r="B2710" s="42" t="s">
        <v>4256</v>
      </c>
      <c r="C2710" s="43" t="s">
        <v>4208</v>
      </c>
      <c r="D2710" s="44" t="s">
        <v>3672</v>
      </c>
      <c r="E2710" s="45">
        <v>1</v>
      </c>
      <c r="F2710" s="46">
        <v>21.99</v>
      </c>
      <c r="G2710" s="46">
        <f t="shared" si="42"/>
        <v>21.99</v>
      </c>
      <c r="H2710" s="47" t="s">
        <v>24</v>
      </c>
      <c r="I2710" s="47" t="s">
        <v>58</v>
      </c>
      <c r="J2710" s="32"/>
    </row>
    <row r="2711" spans="1:10" x14ac:dyDescent="0.2">
      <c r="A2711" s="32"/>
      <c r="B2711" s="36" t="s">
        <v>4257</v>
      </c>
      <c r="C2711" s="37" t="s">
        <v>4208</v>
      </c>
      <c r="D2711" s="38" t="s">
        <v>4012</v>
      </c>
      <c r="E2711" s="39">
        <v>1</v>
      </c>
      <c r="F2711" s="40">
        <v>21.99</v>
      </c>
      <c r="G2711" s="40">
        <f t="shared" si="42"/>
        <v>21.99</v>
      </c>
      <c r="H2711" s="41" t="s">
        <v>24</v>
      </c>
      <c r="I2711" s="41" t="s">
        <v>58</v>
      </c>
      <c r="J2711" s="32"/>
    </row>
    <row r="2712" spans="1:10" x14ac:dyDescent="0.2">
      <c r="A2712" s="32"/>
      <c r="B2712" s="42" t="s">
        <v>4258</v>
      </c>
      <c r="C2712" s="43" t="s">
        <v>4208</v>
      </c>
      <c r="D2712" s="44" t="s">
        <v>3887</v>
      </c>
      <c r="E2712" s="45">
        <v>1</v>
      </c>
      <c r="F2712" s="46">
        <v>4.29</v>
      </c>
      <c r="G2712" s="46">
        <f t="shared" si="42"/>
        <v>4.29</v>
      </c>
      <c r="H2712" s="47" t="s">
        <v>24</v>
      </c>
      <c r="I2712" s="47" t="s">
        <v>58</v>
      </c>
      <c r="J2712" s="32"/>
    </row>
    <row r="2713" spans="1:10" x14ac:dyDescent="0.2">
      <c r="A2713" s="32"/>
      <c r="B2713" s="36" t="s">
        <v>4259</v>
      </c>
      <c r="C2713" s="37" t="s">
        <v>4208</v>
      </c>
      <c r="D2713" s="38" t="s">
        <v>3887</v>
      </c>
      <c r="E2713" s="39">
        <v>1</v>
      </c>
      <c r="F2713" s="40">
        <v>4.29</v>
      </c>
      <c r="G2713" s="40">
        <f t="shared" si="42"/>
        <v>4.29</v>
      </c>
      <c r="H2713" s="41" t="s">
        <v>24</v>
      </c>
      <c r="I2713" s="41" t="s">
        <v>58</v>
      </c>
      <c r="J2713" s="32"/>
    </row>
    <row r="2714" spans="1:10" x14ac:dyDescent="0.2">
      <c r="A2714" s="32"/>
      <c r="B2714" s="42" t="s">
        <v>4260</v>
      </c>
      <c r="C2714" s="43" t="s">
        <v>4208</v>
      </c>
      <c r="D2714" s="44" t="s">
        <v>3995</v>
      </c>
      <c r="E2714" s="45">
        <v>1</v>
      </c>
      <c r="F2714" s="46">
        <v>29.59</v>
      </c>
      <c r="G2714" s="46">
        <f t="shared" si="42"/>
        <v>29.59</v>
      </c>
      <c r="H2714" s="47" t="s">
        <v>24</v>
      </c>
      <c r="I2714" s="47" t="s">
        <v>58</v>
      </c>
      <c r="J2714" s="32"/>
    </row>
    <row r="2715" spans="1:10" x14ac:dyDescent="0.2">
      <c r="A2715" s="32"/>
      <c r="B2715" s="36" t="s">
        <v>4261</v>
      </c>
      <c r="C2715" s="37" t="s">
        <v>4208</v>
      </c>
      <c r="D2715" s="38" t="s">
        <v>4262</v>
      </c>
      <c r="E2715" s="39">
        <v>1</v>
      </c>
      <c r="F2715" s="40">
        <v>11.29</v>
      </c>
      <c r="G2715" s="40">
        <f t="shared" si="42"/>
        <v>11.29</v>
      </c>
      <c r="H2715" s="41" t="s">
        <v>24</v>
      </c>
      <c r="I2715" s="41" t="s">
        <v>58</v>
      </c>
      <c r="J2715" s="32"/>
    </row>
    <row r="2716" spans="1:10" x14ac:dyDescent="0.2">
      <c r="A2716" s="32"/>
      <c r="B2716" s="42" t="s">
        <v>4263</v>
      </c>
      <c r="C2716" s="43" t="s">
        <v>4208</v>
      </c>
      <c r="D2716" s="44" t="s">
        <v>4264</v>
      </c>
      <c r="E2716" s="45">
        <v>1</v>
      </c>
      <c r="F2716" s="46">
        <v>15.79</v>
      </c>
      <c r="G2716" s="46">
        <f t="shared" si="42"/>
        <v>15.79</v>
      </c>
      <c r="H2716" s="47" t="s">
        <v>25</v>
      </c>
      <c r="I2716" s="47" t="s">
        <v>58</v>
      </c>
      <c r="J2716" s="32"/>
    </row>
    <row r="2717" spans="1:10" x14ac:dyDescent="0.2">
      <c r="A2717" s="32"/>
      <c r="B2717" s="36" t="s">
        <v>4265</v>
      </c>
      <c r="C2717" s="37" t="s">
        <v>4208</v>
      </c>
      <c r="D2717" s="38" t="s">
        <v>3247</v>
      </c>
      <c r="E2717" s="39">
        <v>1</v>
      </c>
      <c r="F2717" s="40">
        <v>36.99</v>
      </c>
      <c r="G2717" s="40">
        <f t="shared" si="42"/>
        <v>36.99</v>
      </c>
      <c r="H2717" s="41" t="s">
        <v>24</v>
      </c>
      <c r="I2717" s="41" t="s">
        <v>58</v>
      </c>
      <c r="J2717" s="32"/>
    </row>
    <row r="2718" spans="1:10" x14ac:dyDescent="0.2">
      <c r="A2718" s="32"/>
      <c r="B2718" s="42" t="s">
        <v>4266</v>
      </c>
      <c r="C2718" s="43" t="s">
        <v>4208</v>
      </c>
      <c r="D2718" s="44" t="s">
        <v>2840</v>
      </c>
      <c r="E2718" s="45">
        <v>1</v>
      </c>
      <c r="F2718" s="46">
        <v>59.99</v>
      </c>
      <c r="G2718" s="46">
        <f t="shared" si="42"/>
        <v>59.99</v>
      </c>
      <c r="H2718" s="47" t="s">
        <v>24</v>
      </c>
      <c r="I2718" s="47" t="s">
        <v>58</v>
      </c>
      <c r="J2718" s="32"/>
    </row>
    <row r="2719" spans="1:10" x14ac:dyDescent="0.2">
      <c r="A2719" s="32"/>
      <c r="B2719" s="36" t="s">
        <v>4267</v>
      </c>
      <c r="C2719" s="37" t="s">
        <v>4208</v>
      </c>
      <c r="D2719" s="38" t="s">
        <v>40</v>
      </c>
      <c r="E2719" s="39">
        <v>1</v>
      </c>
      <c r="F2719" s="40">
        <v>14.99</v>
      </c>
      <c r="G2719" s="40">
        <f t="shared" si="42"/>
        <v>14.99</v>
      </c>
      <c r="H2719" s="41" t="s">
        <v>25</v>
      </c>
      <c r="I2719" s="41" t="s">
        <v>58</v>
      </c>
      <c r="J2719" s="32"/>
    </row>
    <row r="2720" spans="1:10" x14ac:dyDescent="0.2">
      <c r="A2720" s="32"/>
      <c r="B2720" s="42" t="s">
        <v>4268</v>
      </c>
      <c r="C2720" s="43" t="s">
        <v>4208</v>
      </c>
      <c r="D2720" s="44" t="s">
        <v>1862</v>
      </c>
      <c r="E2720" s="45">
        <v>1</v>
      </c>
      <c r="F2720" s="46">
        <v>12.99</v>
      </c>
      <c r="G2720" s="46">
        <f t="shared" si="42"/>
        <v>12.99</v>
      </c>
      <c r="H2720" s="47" t="s">
        <v>24</v>
      </c>
      <c r="I2720" s="47" t="s">
        <v>58</v>
      </c>
      <c r="J2720" s="32"/>
    </row>
    <row r="2721" spans="1:10" x14ac:dyDescent="0.2">
      <c r="A2721" s="32"/>
      <c r="B2721" s="36" t="s">
        <v>4269</v>
      </c>
      <c r="C2721" s="37" t="s">
        <v>4208</v>
      </c>
      <c r="D2721" s="38" t="s">
        <v>1862</v>
      </c>
      <c r="E2721" s="39">
        <v>1</v>
      </c>
      <c r="F2721" s="40">
        <v>12.99</v>
      </c>
      <c r="G2721" s="40">
        <f t="shared" si="42"/>
        <v>12.99</v>
      </c>
      <c r="H2721" s="41" t="s">
        <v>24</v>
      </c>
      <c r="I2721" s="41" t="s">
        <v>58</v>
      </c>
      <c r="J2721" s="32"/>
    </row>
    <row r="2722" spans="1:10" x14ac:dyDescent="0.2">
      <c r="A2722" s="32"/>
      <c r="B2722" s="42" t="s">
        <v>4270</v>
      </c>
      <c r="C2722" s="43" t="s">
        <v>4208</v>
      </c>
      <c r="D2722" s="44" t="s">
        <v>1862</v>
      </c>
      <c r="E2722" s="45">
        <v>1</v>
      </c>
      <c r="F2722" s="46">
        <v>12.99</v>
      </c>
      <c r="G2722" s="46">
        <f t="shared" si="42"/>
        <v>12.99</v>
      </c>
      <c r="H2722" s="47" t="s">
        <v>24</v>
      </c>
      <c r="I2722" s="47" t="s">
        <v>58</v>
      </c>
      <c r="J2722" s="32"/>
    </row>
    <row r="2723" spans="1:10" x14ac:dyDescent="0.2">
      <c r="A2723" s="32"/>
      <c r="B2723" s="36" t="s">
        <v>4271</v>
      </c>
      <c r="C2723" s="37" t="s">
        <v>4208</v>
      </c>
      <c r="D2723" s="38" t="s">
        <v>1862</v>
      </c>
      <c r="E2723" s="39">
        <v>1</v>
      </c>
      <c r="F2723" s="40">
        <v>12.99</v>
      </c>
      <c r="G2723" s="40">
        <f t="shared" si="42"/>
        <v>12.99</v>
      </c>
      <c r="H2723" s="41" t="s">
        <v>24</v>
      </c>
      <c r="I2723" s="41" t="s">
        <v>58</v>
      </c>
      <c r="J2723" s="32"/>
    </row>
    <row r="2724" spans="1:10" x14ac:dyDescent="0.2">
      <c r="A2724" s="32"/>
      <c r="B2724" s="42" t="s">
        <v>4272</v>
      </c>
      <c r="C2724" s="43" t="s">
        <v>4208</v>
      </c>
      <c r="D2724" s="44" t="s">
        <v>1862</v>
      </c>
      <c r="E2724" s="45">
        <v>1</v>
      </c>
      <c r="F2724" s="46">
        <v>12.99</v>
      </c>
      <c r="G2724" s="46">
        <f t="shared" si="42"/>
        <v>12.99</v>
      </c>
      <c r="H2724" s="47" t="s">
        <v>24</v>
      </c>
      <c r="I2724" s="47" t="s">
        <v>58</v>
      </c>
      <c r="J2724" s="32"/>
    </row>
    <row r="2725" spans="1:10" x14ac:dyDescent="0.2">
      <c r="A2725" s="32"/>
      <c r="B2725" s="36" t="s">
        <v>4273</v>
      </c>
      <c r="C2725" s="37" t="s">
        <v>4208</v>
      </c>
      <c r="D2725" s="38" t="s">
        <v>1678</v>
      </c>
      <c r="E2725" s="39">
        <v>1</v>
      </c>
      <c r="F2725" s="40">
        <v>16.989999999999998</v>
      </c>
      <c r="G2725" s="40">
        <f t="shared" si="42"/>
        <v>16.989999999999998</v>
      </c>
      <c r="H2725" s="41" t="s">
        <v>24</v>
      </c>
      <c r="I2725" s="41" t="s">
        <v>58</v>
      </c>
      <c r="J2725" s="32"/>
    </row>
    <row r="2726" spans="1:10" x14ac:dyDescent="0.2">
      <c r="A2726" s="32"/>
      <c r="B2726" s="42" t="s">
        <v>4274</v>
      </c>
      <c r="C2726" s="43" t="s">
        <v>4275</v>
      </c>
      <c r="D2726" s="44" t="s">
        <v>4276</v>
      </c>
      <c r="E2726" s="45">
        <v>1</v>
      </c>
      <c r="F2726" s="46">
        <v>17.989999999999998</v>
      </c>
      <c r="G2726" s="46">
        <f t="shared" si="42"/>
        <v>17.989999999999998</v>
      </c>
      <c r="H2726" s="47" t="s">
        <v>24</v>
      </c>
      <c r="I2726" s="47" t="s">
        <v>58</v>
      </c>
      <c r="J2726" s="32"/>
    </row>
    <row r="2727" spans="1:10" x14ac:dyDescent="0.2">
      <c r="A2727" s="32"/>
      <c r="B2727" s="36" t="s">
        <v>4277</v>
      </c>
      <c r="C2727" s="37" t="s">
        <v>4275</v>
      </c>
      <c r="D2727" s="38" t="s">
        <v>3550</v>
      </c>
      <c r="E2727" s="39">
        <v>1</v>
      </c>
      <c r="F2727" s="40">
        <v>4.59</v>
      </c>
      <c r="G2727" s="40">
        <f t="shared" si="42"/>
        <v>4.59</v>
      </c>
      <c r="H2727" s="41" t="s">
        <v>24</v>
      </c>
      <c r="I2727" s="41" t="s">
        <v>58</v>
      </c>
      <c r="J2727" s="32"/>
    </row>
    <row r="2728" spans="1:10" x14ac:dyDescent="0.2">
      <c r="A2728" s="32"/>
      <c r="B2728" s="42" t="s">
        <v>4278</v>
      </c>
      <c r="C2728" s="43" t="s">
        <v>4275</v>
      </c>
      <c r="D2728" s="44" t="s">
        <v>3152</v>
      </c>
      <c r="E2728" s="45">
        <v>1</v>
      </c>
      <c r="F2728" s="46">
        <v>6.29</v>
      </c>
      <c r="G2728" s="46">
        <f t="shared" si="42"/>
        <v>6.29</v>
      </c>
      <c r="H2728" s="47" t="s">
        <v>24</v>
      </c>
      <c r="I2728" s="47" t="s">
        <v>58</v>
      </c>
      <c r="J2728" s="32"/>
    </row>
    <row r="2729" spans="1:10" x14ac:dyDescent="0.2">
      <c r="A2729" s="32"/>
      <c r="B2729" s="36" t="s">
        <v>4279</v>
      </c>
      <c r="C2729" s="37" t="s">
        <v>4275</v>
      </c>
      <c r="D2729" s="38" t="s">
        <v>2803</v>
      </c>
      <c r="E2729" s="39">
        <v>1</v>
      </c>
      <c r="F2729" s="40">
        <v>6.29</v>
      </c>
      <c r="G2729" s="40">
        <f t="shared" si="42"/>
        <v>6.29</v>
      </c>
      <c r="H2729" s="41" t="s">
        <v>24</v>
      </c>
      <c r="I2729" s="41" t="s">
        <v>58</v>
      </c>
      <c r="J2729" s="32"/>
    </row>
    <row r="2730" spans="1:10" x14ac:dyDescent="0.2">
      <c r="A2730" s="32"/>
      <c r="B2730" s="42" t="s">
        <v>4280</v>
      </c>
      <c r="C2730" s="43" t="s">
        <v>4275</v>
      </c>
      <c r="D2730" s="44" t="s">
        <v>2930</v>
      </c>
      <c r="E2730" s="45">
        <v>1</v>
      </c>
      <c r="F2730" s="46">
        <v>39.99</v>
      </c>
      <c r="G2730" s="46">
        <f t="shared" si="42"/>
        <v>39.99</v>
      </c>
      <c r="H2730" s="47" t="s">
        <v>24</v>
      </c>
      <c r="I2730" s="47" t="s">
        <v>58</v>
      </c>
      <c r="J2730" s="32"/>
    </row>
    <row r="2731" spans="1:10" x14ac:dyDescent="0.2">
      <c r="A2731" s="32"/>
      <c r="B2731" s="36" t="s">
        <v>4281</v>
      </c>
      <c r="C2731" s="37" t="s">
        <v>4275</v>
      </c>
      <c r="D2731" s="38" t="s">
        <v>2930</v>
      </c>
      <c r="E2731" s="39">
        <v>1</v>
      </c>
      <c r="F2731" s="40">
        <v>39.99</v>
      </c>
      <c r="G2731" s="40">
        <f t="shared" si="42"/>
        <v>39.99</v>
      </c>
      <c r="H2731" s="41" t="s">
        <v>24</v>
      </c>
      <c r="I2731" s="41" t="s">
        <v>58</v>
      </c>
      <c r="J2731" s="32"/>
    </row>
    <row r="2732" spans="1:10" x14ac:dyDescent="0.2">
      <c r="A2732" s="32"/>
      <c r="B2732" s="42" t="s">
        <v>4282</v>
      </c>
      <c r="C2732" s="43" t="s">
        <v>4275</v>
      </c>
      <c r="D2732" s="44" t="s">
        <v>4213</v>
      </c>
      <c r="E2732" s="45">
        <v>1</v>
      </c>
      <c r="F2732" s="46">
        <v>5.99</v>
      </c>
      <c r="G2732" s="46">
        <f t="shared" si="42"/>
        <v>5.99</v>
      </c>
      <c r="H2732" s="47" t="s">
        <v>24</v>
      </c>
      <c r="I2732" s="47" t="s">
        <v>58</v>
      </c>
      <c r="J2732" s="32"/>
    </row>
    <row r="2733" spans="1:10" x14ac:dyDescent="0.2">
      <c r="A2733" s="32"/>
      <c r="B2733" s="36" t="s">
        <v>4283</v>
      </c>
      <c r="C2733" s="37" t="s">
        <v>4275</v>
      </c>
      <c r="D2733" s="38" t="s">
        <v>3158</v>
      </c>
      <c r="E2733" s="39">
        <v>1</v>
      </c>
      <c r="F2733" s="40">
        <v>2.59</v>
      </c>
      <c r="G2733" s="40">
        <f t="shared" si="42"/>
        <v>2.59</v>
      </c>
      <c r="H2733" s="41" t="s">
        <v>24</v>
      </c>
      <c r="I2733" s="41" t="s">
        <v>58</v>
      </c>
      <c r="J2733" s="32"/>
    </row>
    <row r="2734" spans="1:10" x14ac:dyDescent="0.2">
      <c r="A2734" s="32"/>
      <c r="B2734" s="42" t="s">
        <v>4284</v>
      </c>
      <c r="C2734" s="43" t="s">
        <v>4275</v>
      </c>
      <c r="D2734" s="44" t="s">
        <v>2672</v>
      </c>
      <c r="E2734" s="45">
        <v>1</v>
      </c>
      <c r="F2734" s="46">
        <v>3.99</v>
      </c>
      <c r="G2734" s="46">
        <f t="shared" si="42"/>
        <v>3.99</v>
      </c>
      <c r="H2734" s="47" t="s">
        <v>24</v>
      </c>
      <c r="I2734" s="47" t="s">
        <v>58</v>
      </c>
      <c r="J2734" s="32"/>
    </row>
    <row r="2735" spans="1:10" x14ac:dyDescent="0.2">
      <c r="A2735" s="32"/>
      <c r="B2735" s="36" t="s">
        <v>4285</v>
      </c>
      <c r="C2735" s="37" t="s">
        <v>4275</v>
      </c>
      <c r="D2735" s="38" t="s">
        <v>4286</v>
      </c>
      <c r="E2735" s="39">
        <v>1</v>
      </c>
      <c r="F2735" s="40">
        <v>5.59</v>
      </c>
      <c r="G2735" s="40">
        <f t="shared" si="42"/>
        <v>5.59</v>
      </c>
      <c r="H2735" s="41" t="s">
        <v>24</v>
      </c>
      <c r="I2735" s="41" t="s">
        <v>58</v>
      </c>
      <c r="J2735" s="32"/>
    </row>
    <row r="2736" spans="1:10" x14ac:dyDescent="0.2">
      <c r="A2736" s="32"/>
      <c r="B2736" s="42" t="s">
        <v>4287</v>
      </c>
      <c r="C2736" s="43" t="s">
        <v>4275</v>
      </c>
      <c r="D2736" s="44" t="s">
        <v>1012</v>
      </c>
      <c r="E2736" s="45">
        <v>1</v>
      </c>
      <c r="F2736" s="46">
        <v>5.49</v>
      </c>
      <c r="G2736" s="46">
        <f t="shared" si="42"/>
        <v>5.49</v>
      </c>
      <c r="H2736" s="47" t="s">
        <v>24</v>
      </c>
      <c r="I2736" s="47" t="s">
        <v>58</v>
      </c>
      <c r="J2736" s="32"/>
    </row>
    <row r="2737" spans="1:10" x14ac:dyDescent="0.2">
      <c r="A2737" s="32"/>
      <c r="B2737" s="36" t="s">
        <v>4288</v>
      </c>
      <c r="C2737" s="37" t="s">
        <v>4275</v>
      </c>
      <c r="D2737" s="38" t="s">
        <v>2486</v>
      </c>
      <c r="E2737" s="39">
        <v>1</v>
      </c>
      <c r="F2737" s="40">
        <v>7.99</v>
      </c>
      <c r="G2737" s="40">
        <f t="shared" si="42"/>
        <v>7.99</v>
      </c>
      <c r="H2737" s="41" t="s">
        <v>24</v>
      </c>
      <c r="I2737" s="41" t="s">
        <v>58</v>
      </c>
      <c r="J2737" s="32"/>
    </row>
    <row r="2738" spans="1:10" x14ac:dyDescent="0.2">
      <c r="A2738" s="32"/>
      <c r="B2738" s="42" t="s">
        <v>4289</v>
      </c>
      <c r="C2738" s="43" t="s">
        <v>4275</v>
      </c>
      <c r="D2738" s="44" t="s">
        <v>4290</v>
      </c>
      <c r="E2738" s="45">
        <v>1</v>
      </c>
      <c r="F2738" s="46">
        <v>3.99</v>
      </c>
      <c r="G2738" s="46">
        <f t="shared" si="42"/>
        <v>3.99</v>
      </c>
      <c r="H2738" s="47" t="s">
        <v>24</v>
      </c>
      <c r="I2738" s="47" t="s">
        <v>58</v>
      </c>
      <c r="J2738" s="32"/>
    </row>
    <row r="2739" spans="1:10" x14ac:dyDescent="0.2">
      <c r="A2739" s="32"/>
      <c r="B2739" s="36" t="s">
        <v>4291</v>
      </c>
      <c r="C2739" s="37" t="s">
        <v>4275</v>
      </c>
      <c r="D2739" s="38" t="s">
        <v>4292</v>
      </c>
      <c r="E2739" s="39">
        <v>1</v>
      </c>
      <c r="F2739" s="40">
        <v>18.989999999999998</v>
      </c>
      <c r="G2739" s="40">
        <f t="shared" si="42"/>
        <v>18.989999999999998</v>
      </c>
      <c r="H2739" s="41" t="s">
        <v>24</v>
      </c>
      <c r="I2739" s="41" t="s">
        <v>58</v>
      </c>
      <c r="J2739" s="32"/>
    </row>
    <row r="2740" spans="1:10" x14ac:dyDescent="0.2">
      <c r="A2740" s="32"/>
      <c r="B2740" s="42" t="s">
        <v>4293</v>
      </c>
      <c r="C2740" s="43" t="s">
        <v>4275</v>
      </c>
      <c r="D2740" s="44" t="s">
        <v>4157</v>
      </c>
      <c r="E2740" s="45">
        <v>1</v>
      </c>
      <c r="F2740" s="46">
        <v>22.99</v>
      </c>
      <c r="G2740" s="46">
        <f t="shared" si="42"/>
        <v>22.99</v>
      </c>
      <c r="H2740" s="47" t="s">
        <v>24</v>
      </c>
      <c r="I2740" s="47" t="s">
        <v>58</v>
      </c>
      <c r="J2740" s="32"/>
    </row>
    <row r="2741" spans="1:10" x14ac:dyDescent="0.2">
      <c r="A2741" s="32"/>
      <c r="B2741" s="36" t="s">
        <v>4294</v>
      </c>
      <c r="C2741" s="37" t="s">
        <v>4275</v>
      </c>
      <c r="D2741" s="38" t="s">
        <v>2680</v>
      </c>
      <c r="E2741" s="39">
        <v>1</v>
      </c>
      <c r="F2741" s="40">
        <v>7.99</v>
      </c>
      <c r="G2741" s="40">
        <f t="shared" si="42"/>
        <v>7.99</v>
      </c>
      <c r="H2741" s="41" t="s">
        <v>24</v>
      </c>
      <c r="I2741" s="41" t="s">
        <v>58</v>
      </c>
      <c r="J2741" s="32"/>
    </row>
    <row r="2742" spans="1:10" x14ac:dyDescent="0.2">
      <c r="A2742" s="32"/>
      <c r="B2742" s="42" t="s">
        <v>4295</v>
      </c>
      <c r="C2742" s="43" t="s">
        <v>4275</v>
      </c>
      <c r="D2742" s="44" t="s">
        <v>42</v>
      </c>
      <c r="E2742" s="45">
        <v>1</v>
      </c>
      <c r="F2742" s="46">
        <v>8.99</v>
      </c>
      <c r="G2742" s="46">
        <f t="shared" si="42"/>
        <v>8.99</v>
      </c>
      <c r="H2742" s="47" t="s">
        <v>24</v>
      </c>
      <c r="I2742" s="47" t="s">
        <v>58</v>
      </c>
      <c r="J2742" s="32"/>
    </row>
    <row r="2743" spans="1:10" x14ac:dyDescent="0.2">
      <c r="A2743" s="32"/>
      <c r="B2743" s="36" t="s">
        <v>4296</v>
      </c>
      <c r="C2743" s="37" t="s">
        <v>4275</v>
      </c>
      <c r="D2743" s="38" t="s">
        <v>2676</v>
      </c>
      <c r="E2743" s="39">
        <v>1</v>
      </c>
      <c r="F2743" s="40">
        <v>3.99</v>
      </c>
      <c r="G2743" s="40">
        <f t="shared" si="42"/>
        <v>3.99</v>
      </c>
      <c r="H2743" s="41" t="s">
        <v>24</v>
      </c>
      <c r="I2743" s="41" t="s">
        <v>58</v>
      </c>
      <c r="J2743" s="32"/>
    </row>
    <row r="2744" spans="1:10" x14ac:dyDescent="0.2">
      <c r="A2744" s="32"/>
      <c r="B2744" s="42" t="s">
        <v>4297</v>
      </c>
      <c r="C2744" s="43" t="s">
        <v>4275</v>
      </c>
      <c r="D2744" s="44" t="s">
        <v>3882</v>
      </c>
      <c r="E2744" s="45">
        <v>1</v>
      </c>
      <c r="F2744" s="46">
        <v>4.29</v>
      </c>
      <c r="G2744" s="46">
        <f t="shared" si="42"/>
        <v>4.29</v>
      </c>
      <c r="H2744" s="47" t="s">
        <v>24</v>
      </c>
      <c r="I2744" s="47" t="s">
        <v>58</v>
      </c>
      <c r="J2744" s="32"/>
    </row>
    <row r="2745" spans="1:10" x14ac:dyDescent="0.2">
      <c r="A2745" s="32"/>
      <c r="B2745" s="36" t="s">
        <v>4298</v>
      </c>
      <c r="C2745" s="37" t="s">
        <v>4275</v>
      </c>
      <c r="D2745" s="38" t="s">
        <v>4299</v>
      </c>
      <c r="E2745" s="39">
        <v>1</v>
      </c>
      <c r="F2745" s="40">
        <v>4.3899999999999997</v>
      </c>
      <c r="G2745" s="40">
        <f t="shared" si="42"/>
        <v>4.3899999999999997</v>
      </c>
      <c r="H2745" s="41" t="s">
        <v>24</v>
      </c>
      <c r="I2745" s="41" t="s">
        <v>58</v>
      </c>
      <c r="J2745" s="32"/>
    </row>
    <row r="2746" spans="1:10" x14ac:dyDescent="0.2">
      <c r="A2746" s="32"/>
      <c r="B2746" s="42" t="s">
        <v>4300</v>
      </c>
      <c r="C2746" s="43" t="s">
        <v>4275</v>
      </c>
      <c r="D2746" s="44" t="s">
        <v>2701</v>
      </c>
      <c r="E2746" s="45">
        <v>1</v>
      </c>
      <c r="F2746" s="46">
        <v>5.99</v>
      </c>
      <c r="G2746" s="46">
        <f t="shared" si="42"/>
        <v>5.99</v>
      </c>
      <c r="H2746" s="47" t="s">
        <v>24</v>
      </c>
      <c r="I2746" s="47" t="s">
        <v>58</v>
      </c>
      <c r="J2746" s="32"/>
    </row>
    <row r="2747" spans="1:10" x14ac:dyDescent="0.2">
      <c r="A2747" s="32"/>
      <c r="B2747" s="36" t="s">
        <v>4301</v>
      </c>
      <c r="C2747" s="37" t="s">
        <v>4275</v>
      </c>
      <c r="D2747" s="38" t="s">
        <v>2982</v>
      </c>
      <c r="E2747" s="39">
        <v>1</v>
      </c>
      <c r="F2747" s="40">
        <v>12.99</v>
      </c>
      <c r="G2747" s="40">
        <f t="shared" si="42"/>
        <v>12.99</v>
      </c>
      <c r="H2747" s="41" t="s">
        <v>24</v>
      </c>
      <c r="I2747" s="41" t="s">
        <v>58</v>
      </c>
      <c r="J2747" s="32"/>
    </row>
    <row r="2748" spans="1:10" x14ac:dyDescent="0.2">
      <c r="A2748" s="32"/>
      <c r="B2748" s="42" t="s">
        <v>4302</v>
      </c>
      <c r="C2748" s="43" t="s">
        <v>4275</v>
      </c>
      <c r="D2748" s="44" t="s">
        <v>2822</v>
      </c>
      <c r="E2748" s="45">
        <v>1</v>
      </c>
      <c r="F2748" s="46">
        <v>33.9</v>
      </c>
      <c r="G2748" s="46">
        <f t="shared" si="42"/>
        <v>33.9</v>
      </c>
      <c r="H2748" s="47" t="s">
        <v>24</v>
      </c>
      <c r="I2748" s="47" t="s">
        <v>58</v>
      </c>
      <c r="J2748" s="32"/>
    </row>
    <row r="2749" spans="1:10" x14ac:dyDescent="0.2">
      <c r="A2749" s="32"/>
      <c r="B2749" s="36" t="s">
        <v>4303</v>
      </c>
      <c r="C2749" s="37" t="s">
        <v>4275</v>
      </c>
      <c r="D2749" s="38" t="s">
        <v>4164</v>
      </c>
      <c r="E2749" s="39">
        <v>1</v>
      </c>
      <c r="F2749" s="40">
        <v>35.9</v>
      </c>
      <c r="G2749" s="40">
        <f t="shared" si="42"/>
        <v>35.9</v>
      </c>
      <c r="H2749" s="41" t="s">
        <v>24</v>
      </c>
      <c r="I2749" s="41" t="s">
        <v>58</v>
      </c>
      <c r="J2749" s="32"/>
    </row>
    <row r="2750" spans="1:10" x14ac:dyDescent="0.2">
      <c r="A2750" s="32"/>
      <c r="B2750" s="42" t="s">
        <v>4304</v>
      </c>
      <c r="C2750" s="43" t="s">
        <v>4275</v>
      </c>
      <c r="D2750" s="44" t="s">
        <v>3184</v>
      </c>
      <c r="E2750" s="45">
        <v>1</v>
      </c>
      <c r="F2750" s="46">
        <v>5.29</v>
      </c>
      <c r="G2750" s="46">
        <f t="shared" si="42"/>
        <v>5.29</v>
      </c>
      <c r="H2750" s="47" t="s">
        <v>24</v>
      </c>
      <c r="I2750" s="47" t="s">
        <v>58</v>
      </c>
      <c r="J2750" s="32"/>
    </row>
    <row r="2751" spans="1:10" x14ac:dyDescent="0.2">
      <c r="A2751" s="32"/>
      <c r="B2751" s="36" t="s">
        <v>4305</v>
      </c>
      <c r="C2751" s="37" t="s">
        <v>4275</v>
      </c>
      <c r="D2751" s="38" t="s">
        <v>4299</v>
      </c>
      <c r="E2751" s="39">
        <v>1</v>
      </c>
      <c r="F2751" s="40">
        <v>4.3899999999999997</v>
      </c>
      <c r="G2751" s="40">
        <f t="shared" si="42"/>
        <v>4.3899999999999997</v>
      </c>
      <c r="H2751" s="41" t="s">
        <v>24</v>
      </c>
      <c r="I2751" s="41" t="s">
        <v>58</v>
      </c>
      <c r="J2751" s="32"/>
    </row>
    <row r="2752" spans="1:10" x14ac:dyDescent="0.2">
      <c r="A2752" s="32"/>
      <c r="B2752" s="42" t="s">
        <v>4306</v>
      </c>
      <c r="C2752" s="43" t="s">
        <v>4275</v>
      </c>
      <c r="D2752" s="44" t="s">
        <v>3882</v>
      </c>
      <c r="E2752" s="45">
        <v>1</v>
      </c>
      <c r="F2752" s="46">
        <v>4.29</v>
      </c>
      <c r="G2752" s="46">
        <f t="shared" si="42"/>
        <v>4.29</v>
      </c>
      <c r="H2752" s="47" t="s">
        <v>24</v>
      </c>
      <c r="I2752" s="47" t="s">
        <v>58</v>
      </c>
      <c r="J2752" s="32"/>
    </row>
    <row r="2753" spans="1:10" x14ac:dyDescent="0.2">
      <c r="A2753" s="32"/>
      <c r="B2753" s="36" t="s">
        <v>4307</v>
      </c>
      <c r="C2753" s="37" t="s">
        <v>4275</v>
      </c>
      <c r="D2753" s="38" t="s">
        <v>2688</v>
      </c>
      <c r="E2753" s="39">
        <v>1</v>
      </c>
      <c r="F2753" s="40">
        <v>8.99</v>
      </c>
      <c r="G2753" s="40">
        <f t="shared" si="42"/>
        <v>8.99</v>
      </c>
      <c r="H2753" s="41" t="s">
        <v>24</v>
      </c>
      <c r="I2753" s="41" t="s">
        <v>58</v>
      </c>
      <c r="J2753" s="32"/>
    </row>
    <row r="2754" spans="1:10" x14ac:dyDescent="0.2">
      <c r="A2754" s="32"/>
      <c r="B2754" s="42" t="s">
        <v>4308</v>
      </c>
      <c r="C2754" s="43" t="s">
        <v>4275</v>
      </c>
      <c r="D2754" s="44" t="s">
        <v>39</v>
      </c>
      <c r="E2754" s="45">
        <v>1</v>
      </c>
      <c r="F2754" s="46">
        <v>14.49</v>
      </c>
      <c r="G2754" s="46">
        <f t="shared" si="42"/>
        <v>14.49</v>
      </c>
      <c r="H2754" s="47" t="s">
        <v>24</v>
      </c>
      <c r="I2754" s="47" t="s">
        <v>58</v>
      </c>
      <c r="J2754" s="32"/>
    </row>
    <row r="2755" spans="1:10" x14ac:dyDescent="0.2">
      <c r="A2755" s="32"/>
      <c r="B2755" s="36" t="s">
        <v>4309</v>
      </c>
      <c r="C2755" s="37" t="s">
        <v>4275</v>
      </c>
      <c r="D2755" s="38" t="s">
        <v>2589</v>
      </c>
      <c r="E2755" s="39">
        <v>1</v>
      </c>
      <c r="F2755" s="40">
        <v>8.2899999999999991</v>
      </c>
      <c r="G2755" s="40">
        <f t="shared" si="42"/>
        <v>8.2899999999999991</v>
      </c>
      <c r="H2755" s="41" t="s">
        <v>24</v>
      </c>
      <c r="I2755" s="41" t="s">
        <v>58</v>
      </c>
      <c r="J2755" s="32"/>
    </row>
    <row r="2756" spans="1:10" x14ac:dyDescent="0.2">
      <c r="A2756" s="32"/>
      <c r="B2756" s="42" t="s">
        <v>4310</v>
      </c>
      <c r="C2756" s="43" t="s">
        <v>4275</v>
      </c>
      <c r="D2756" s="44" t="s">
        <v>2555</v>
      </c>
      <c r="E2756" s="45">
        <v>1</v>
      </c>
      <c r="F2756" s="46">
        <v>33.99</v>
      </c>
      <c r="G2756" s="46">
        <f t="shared" si="42"/>
        <v>33.99</v>
      </c>
      <c r="H2756" s="47" t="s">
        <v>28</v>
      </c>
      <c r="I2756" s="47" t="s">
        <v>58</v>
      </c>
      <c r="J2756" s="32"/>
    </row>
    <row r="2757" spans="1:10" x14ac:dyDescent="0.2">
      <c r="A2757" s="32"/>
      <c r="B2757" s="36" t="s">
        <v>4311</v>
      </c>
      <c r="C2757" s="37" t="s">
        <v>4275</v>
      </c>
      <c r="D2757" s="38" t="s">
        <v>3870</v>
      </c>
      <c r="E2757" s="39">
        <v>1</v>
      </c>
      <c r="F2757" s="40">
        <v>17.989999999999998</v>
      </c>
      <c r="G2757" s="40">
        <f t="shared" ref="G2757:G2820" si="43">E2757*F2757</f>
        <v>17.989999999999998</v>
      </c>
      <c r="H2757" s="41" t="s">
        <v>24</v>
      </c>
      <c r="I2757" s="41" t="s">
        <v>58</v>
      </c>
      <c r="J2757" s="32"/>
    </row>
    <row r="2758" spans="1:10" x14ac:dyDescent="0.2">
      <c r="A2758" s="32"/>
      <c r="B2758" s="42" t="s">
        <v>4312</v>
      </c>
      <c r="C2758" s="43" t="s">
        <v>4275</v>
      </c>
      <c r="D2758" s="44" t="s">
        <v>4012</v>
      </c>
      <c r="E2758" s="45">
        <v>1</v>
      </c>
      <c r="F2758" s="46">
        <v>21.99</v>
      </c>
      <c r="G2758" s="46">
        <f t="shared" si="43"/>
        <v>21.99</v>
      </c>
      <c r="H2758" s="47" t="s">
        <v>24</v>
      </c>
      <c r="I2758" s="47" t="s">
        <v>58</v>
      </c>
      <c r="J2758" s="32"/>
    </row>
    <row r="2759" spans="1:10" x14ac:dyDescent="0.2">
      <c r="A2759" s="32"/>
      <c r="B2759" s="36" t="s">
        <v>4313</v>
      </c>
      <c r="C2759" s="37" t="s">
        <v>4275</v>
      </c>
      <c r="D2759" s="38" t="s">
        <v>3672</v>
      </c>
      <c r="E2759" s="39">
        <v>1</v>
      </c>
      <c r="F2759" s="40">
        <v>21.99</v>
      </c>
      <c r="G2759" s="40">
        <f t="shared" si="43"/>
        <v>21.99</v>
      </c>
      <c r="H2759" s="41" t="s">
        <v>24</v>
      </c>
      <c r="I2759" s="41" t="s">
        <v>58</v>
      </c>
      <c r="J2759" s="32"/>
    </row>
    <row r="2760" spans="1:10" x14ac:dyDescent="0.2">
      <c r="A2760" s="32"/>
      <c r="B2760" s="42" t="s">
        <v>4314</v>
      </c>
      <c r="C2760" s="43" t="s">
        <v>4275</v>
      </c>
      <c r="D2760" s="44" t="s">
        <v>4315</v>
      </c>
      <c r="E2760" s="45">
        <v>1</v>
      </c>
      <c r="F2760" s="46">
        <v>9.99</v>
      </c>
      <c r="G2760" s="46">
        <f t="shared" si="43"/>
        <v>9.99</v>
      </c>
      <c r="H2760" s="47" t="s">
        <v>24</v>
      </c>
      <c r="I2760" s="47" t="s">
        <v>58</v>
      </c>
      <c r="J2760" s="32"/>
    </row>
    <row r="2761" spans="1:10" x14ac:dyDescent="0.2">
      <c r="A2761" s="32"/>
      <c r="B2761" s="36" t="s">
        <v>4316</v>
      </c>
      <c r="C2761" s="37" t="s">
        <v>4275</v>
      </c>
      <c r="D2761" s="38" t="s">
        <v>4317</v>
      </c>
      <c r="E2761" s="39">
        <v>1</v>
      </c>
      <c r="F2761" s="40">
        <v>21.99</v>
      </c>
      <c r="G2761" s="40">
        <f t="shared" si="43"/>
        <v>21.99</v>
      </c>
      <c r="H2761" s="41" t="s">
        <v>24</v>
      </c>
      <c r="I2761" s="41" t="s">
        <v>58</v>
      </c>
      <c r="J2761" s="32"/>
    </row>
    <row r="2762" spans="1:10" x14ac:dyDescent="0.2">
      <c r="A2762" s="32"/>
      <c r="B2762" s="42" t="s">
        <v>4318</v>
      </c>
      <c r="C2762" s="43" t="s">
        <v>4275</v>
      </c>
      <c r="D2762" s="44" t="s">
        <v>1871</v>
      </c>
      <c r="E2762" s="45">
        <v>1</v>
      </c>
      <c r="F2762" s="46">
        <v>5.89</v>
      </c>
      <c r="G2762" s="46">
        <f t="shared" si="43"/>
        <v>5.89</v>
      </c>
      <c r="H2762" s="47" t="s">
        <v>24</v>
      </c>
      <c r="I2762" s="47" t="s">
        <v>58</v>
      </c>
      <c r="J2762" s="32"/>
    </row>
    <row r="2763" spans="1:10" x14ac:dyDescent="0.2">
      <c r="A2763" s="32"/>
      <c r="B2763" s="36" t="s">
        <v>4319</v>
      </c>
      <c r="C2763" s="37" t="s">
        <v>4275</v>
      </c>
      <c r="D2763" s="38" t="s">
        <v>1862</v>
      </c>
      <c r="E2763" s="39">
        <v>1</v>
      </c>
      <c r="F2763" s="40">
        <v>12.99</v>
      </c>
      <c r="G2763" s="40">
        <f t="shared" si="43"/>
        <v>12.99</v>
      </c>
      <c r="H2763" s="41" t="s">
        <v>24</v>
      </c>
      <c r="I2763" s="41" t="s">
        <v>58</v>
      </c>
      <c r="J2763" s="32"/>
    </row>
    <row r="2764" spans="1:10" x14ac:dyDescent="0.2">
      <c r="A2764" s="32"/>
      <c r="B2764" s="42" t="s">
        <v>4320</v>
      </c>
      <c r="C2764" s="43" t="s">
        <v>4275</v>
      </c>
      <c r="D2764" s="44" t="s">
        <v>40</v>
      </c>
      <c r="E2764" s="45">
        <v>1</v>
      </c>
      <c r="F2764" s="46">
        <v>14.99</v>
      </c>
      <c r="G2764" s="46">
        <f t="shared" si="43"/>
        <v>14.99</v>
      </c>
      <c r="H2764" s="47" t="s">
        <v>25</v>
      </c>
      <c r="I2764" s="47" t="s">
        <v>58</v>
      </c>
      <c r="J2764" s="32"/>
    </row>
    <row r="2765" spans="1:10" x14ac:dyDescent="0.2">
      <c r="A2765" s="32"/>
      <c r="B2765" s="36" t="s">
        <v>4321</v>
      </c>
      <c r="C2765" s="37" t="s">
        <v>4275</v>
      </c>
      <c r="D2765" s="38" t="s">
        <v>3388</v>
      </c>
      <c r="E2765" s="39">
        <v>1</v>
      </c>
      <c r="F2765" s="40">
        <v>23.59</v>
      </c>
      <c r="G2765" s="40">
        <f t="shared" si="43"/>
        <v>23.59</v>
      </c>
      <c r="H2765" s="41" t="s">
        <v>24</v>
      </c>
      <c r="I2765" s="41" t="s">
        <v>58</v>
      </c>
      <c r="J2765" s="32"/>
    </row>
    <row r="2766" spans="1:10" x14ac:dyDescent="0.2">
      <c r="A2766" s="32"/>
      <c r="B2766" s="42" t="s">
        <v>4322</v>
      </c>
      <c r="C2766" s="43" t="s">
        <v>4275</v>
      </c>
      <c r="D2766" s="44" t="s">
        <v>43</v>
      </c>
      <c r="E2766" s="45">
        <v>1</v>
      </c>
      <c r="F2766" s="46">
        <v>2.59</v>
      </c>
      <c r="G2766" s="46">
        <f t="shared" si="43"/>
        <v>2.59</v>
      </c>
      <c r="H2766" s="47" t="s">
        <v>24</v>
      </c>
      <c r="I2766" s="47" t="s">
        <v>58</v>
      </c>
      <c r="J2766" s="32"/>
    </row>
    <row r="2767" spans="1:10" x14ac:dyDescent="0.2">
      <c r="A2767" s="32"/>
      <c r="B2767" s="36" t="s">
        <v>4323</v>
      </c>
      <c r="C2767" s="37" t="s">
        <v>4275</v>
      </c>
      <c r="D2767" s="38" t="s">
        <v>4324</v>
      </c>
      <c r="E2767" s="39">
        <v>1</v>
      </c>
      <c r="F2767" s="40">
        <v>34.99</v>
      </c>
      <c r="G2767" s="40">
        <f t="shared" si="43"/>
        <v>34.99</v>
      </c>
      <c r="H2767" s="41" t="s">
        <v>24</v>
      </c>
      <c r="I2767" s="41" t="s">
        <v>58</v>
      </c>
      <c r="J2767" s="32"/>
    </row>
    <row r="2768" spans="1:10" x14ac:dyDescent="0.2">
      <c r="A2768" s="32"/>
      <c r="B2768" s="42" t="s">
        <v>4325</v>
      </c>
      <c r="C2768" s="43" t="s">
        <v>4275</v>
      </c>
      <c r="D2768" s="44" t="s">
        <v>4326</v>
      </c>
      <c r="E2768" s="45">
        <v>1</v>
      </c>
      <c r="F2768" s="46">
        <v>7.99</v>
      </c>
      <c r="G2768" s="46">
        <f t="shared" si="43"/>
        <v>7.99</v>
      </c>
      <c r="H2768" s="47" t="s">
        <v>24</v>
      </c>
      <c r="I2768" s="47" t="s">
        <v>58</v>
      </c>
      <c r="J2768" s="32"/>
    </row>
    <row r="2769" spans="1:10" x14ac:dyDescent="0.2">
      <c r="A2769" s="32"/>
      <c r="B2769" s="36" t="s">
        <v>4327</v>
      </c>
      <c r="C2769" s="37" t="s">
        <v>4275</v>
      </c>
      <c r="D2769" s="38" t="s">
        <v>834</v>
      </c>
      <c r="E2769" s="39">
        <v>1</v>
      </c>
      <c r="F2769" s="40">
        <v>4.9800000000000004</v>
      </c>
      <c r="G2769" s="40">
        <f t="shared" si="43"/>
        <v>4.9800000000000004</v>
      </c>
      <c r="H2769" s="41" t="s">
        <v>25</v>
      </c>
      <c r="I2769" s="41" t="s">
        <v>58</v>
      </c>
      <c r="J2769" s="32"/>
    </row>
    <row r="2770" spans="1:10" x14ac:dyDescent="0.2">
      <c r="A2770" s="32"/>
      <c r="B2770" s="42" t="s">
        <v>4328</v>
      </c>
      <c r="C2770" s="43" t="s">
        <v>4275</v>
      </c>
      <c r="D2770" s="44" t="s">
        <v>834</v>
      </c>
      <c r="E2770" s="45">
        <v>1</v>
      </c>
      <c r="F2770" s="46">
        <v>4.9800000000000004</v>
      </c>
      <c r="G2770" s="46">
        <f t="shared" si="43"/>
        <v>4.9800000000000004</v>
      </c>
      <c r="H2770" s="47" t="s">
        <v>25</v>
      </c>
      <c r="I2770" s="47" t="s">
        <v>58</v>
      </c>
      <c r="J2770" s="32"/>
    </row>
    <row r="2771" spans="1:10" x14ac:dyDescent="0.2">
      <c r="A2771" s="32"/>
      <c r="B2771" s="36" t="s">
        <v>4329</v>
      </c>
      <c r="C2771" s="37" t="s">
        <v>4275</v>
      </c>
      <c r="D2771" s="38" t="s">
        <v>4035</v>
      </c>
      <c r="E2771" s="39">
        <v>1</v>
      </c>
      <c r="F2771" s="40">
        <v>29.99</v>
      </c>
      <c r="G2771" s="40">
        <f t="shared" si="43"/>
        <v>29.99</v>
      </c>
      <c r="H2771" s="41" t="s">
        <v>24</v>
      </c>
      <c r="I2771" s="41" t="s">
        <v>58</v>
      </c>
      <c r="J2771" s="32"/>
    </row>
    <row r="2772" spans="1:10" x14ac:dyDescent="0.2">
      <c r="A2772" s="32"/>
      <c r="B2772" s="42" t="s">
        <v>4330</v>
      </c>
      <c r="C2772" s="43" t="s">
        <v>4275</v>
      </c>
      <c r="D2772" s="44" t="s">
        <v>4035</v>
      </c>
      <c r="E2772" s="45">
        <v>1</v>
      </c>
      <c r="F2772" s="46">
        <v>29.99</v>
      </c>
      <c r="G2772" s="46">
        <f t="shared" si="43"/>
        <v>29.99</v>
      </c>
      <c r="H2772" s="47" t="s">
        <v>24</v>
      </c>
      <c r="I2772" s="47" t="s">
        <v>58</v>
      </c>
      <c r="J2772" s="32"/>
    </row>
    <row r="2773" spans="1:10" x14ac:dyDescent="0.2">
      <c r="A2773" s="32"/>
      <c r="B2773" s="36" t="s">
        <v>4331</v>
      </c>
      <c r="C2773" s="37" t="s">
        <v>4275</v>
      </c>
      <c r="D2773" s="38" t="s">
        <v>216</v>
      </c>
      <c r="E2773" s="39">
        <v>1</v>
      </c>
      <c r="F2773" s="40">
        <v>9.99</v>
      </c>
      <c r="G2773" s="40">
        <f t="shared" si="43"/>
        <v>9.99</v>
      </c>
      <c r="H2773" s="41" t="s">
        <v>25</v>
      </c>
      <c r="I2773" s="41" t="s">
        <v>58</v>
      </c>
      <c r="J2773" s="32"/>
    </row>
    <row r="2774" spans="1:10" x14ac:dyDescent="0.2">
      <c r="A2774" s="32"/>
      <c r="B2774" s="42" t="s">
        <v>4332</v>
      </c>
      <c r="C2774" s="43" t="s">
        <v>4275</v>
      </c>
      <c r="D2774" s="44" t="s">
        <v>3504</v>
      </c>
      <c r="E2774" s="45">
        <v>1</v>
      </c>
      <c r="F2774" s="46">
        <v>31.49</v>
      </c>
      <c r="G2774" s="46">
        <f t="shared" si="43"/>
        <v>31.49</v>
      </c>
      <c r="H2774" s="47" t="s">
        <v>24</v>
      </c>
      <c r="I2774" s="47" t="s">
        <v>58</v>
      </c>
      <c r="J2774" s="32"/>
    </row>
    <row r="2775" spans="1:10" x14ac:dyDescent="0.2">
      <c r="A2775" s="32"/>
      <c r="B2775" s="36" t="s">
        <v>4333</v>
      </c>
      <c r="C2775" s="37" t="s">
        <v>4275</v>
      </c>
      <c r="D2775" s="38" t="s">
        <v>4119</v>
      </c>
      <c r="E2775" s="39">
        <v>1</v>
      </c>
      <c r="F2775" s="40">
        <v>12.99</v>
      </c>
      <c r="G2775" s="40">
        <f t="shared" si="43"/>
        <v>12.99</v>
      </c>
      <c r="H2775" s="41" t="s">
        <v>24</v>
      </c>
      <c r="I2775" s="41" t="s">
        <v>58</v>
      </c>
      <c r="J2775" s="32"/>
    </row>
    <row r="2776" spans="1:10" x14ac:dyDescent="0.2">
      <c r="A2776" s="32"/>
      <c r="B2776" s="42" t="s">
        <v>4334</v>
      </c>
      <c r="C2776" s="43" t="s">
        <v>4335</v>
      </c>
      <c r="D2776" s="44" t="s">
        <v>4336</v>
      </c>
      <c r="E2776" s="45">
        <v>1</v>
      </c>
      <c r="F2776" s="46">
        <v>229.9</v>
      </c>
      <c r="G2776" s="46">
        <f t="shared" si="43"/>
        <v>229.9</v>
      </c>
      <c r="H2776" s="47" t="s">
        <v>27</v>
      </c>
      <c r="I2776" s="47" t="s">
        <v>1086</v>
      </c>
      <c r="J2776" s="32"/>
    </row>
    <row r="2777" spans="1:10" x14ac:dyDescent="0.2">
      <c r="A2777" s="32"/>
      <c r="B2777" s="36" t="s">
        <v>4337</v>
      </c>
      <c r="C2777" s="37" t="s">
        <v>4335</v>
      </c>
      <c r="D2777" s="38" t="s">
        <v>4338</v>
      </c>
      <c r="E2777" s="39">
        <v>1</v>
      </c>
      <c r="F2777" s="40">
        <v>24.9</v>
      </c>
      <c r="G2777" s="40">
        <f t="shared" si="43"/>
        <v>24.9</v>
      </c>
      <c r="H2777" s="41" t="s">
        <v>27</v>
      </c>
      <c r="I2777" s="41" t="s">
        <v>1086</v>
      </c>
      <c r="J2777" s="32"/>
    </row>
    <row r="2778" spans="1:10" x14ac:dyDescent="0.2">
      <c r="A2778" s="32"/>
      <c r="B2778" s="42" t="s">
        <v>4339</v>
      </c>
      <c r="C2778" s="43" t="s">
        <v>4335</v>
      </c>
      <c r="D2778" s="44" t="s">
        <v>4340</v>
      </c>
      <c r="E2778" s="45">
        <v>1</v>
      </c>
      <c r="F2778" s="46">
        <v>24.9</v>
      </c>
      <c r="G2778" s="46">
        <f t="shared" si="43"/>
        <v>24.9</v>
      </c>
      <c r="H2778" s="47" t="s">
        <v>27</v>
      </c>
      <c r="I2778" s="47" t="s">
        <v>1086</v>
      </c>
      <c r="J2778" s="32"/>
    </row>
    <row r="2779" spans="1:10" x14ac:dyDescent="0.2">
      <c r="A2779" s="32"/>
      <c r="B2779" s="36" t="s">
        <v>4341</v>
      </c>
      <c r="C2779" s="37" t="s">
        <v>4335</v>
      </c>
      <c r="D2779" s="38" t="s">
        <v>4342</v>
      </c>
      <c r="E2779" s="39">
        <v>1</v>
      </c>
      <c r="F2779" s="40">
        <v>84.9</v>
      </c>
      <c r="G2779" s="40">
        <f t="shared" si="43"/>
        <v>84.9</v>
      </c>
      <c r="H2779" s="41" t="s">
        <v>27</v>
      </c>
      <c r="I2779" s="41" t="s">
        <v>1086</v>
      </c>
      <c r="J2779" s="32"/>
    </row>
    <row r="2780" spans="1:10" x14ac:dyDescent="0.2">
      <c r="A2780" s="32"/>
      <c r="B2780" s="42" t="s">
        <v>4343</v>
      </c>
      <c r="C2780" s="43" t="s">
        <v>4335</v>
      </c>
      <c r="D2780" s="44" t="s">
        <v>4344</v>
      </c>
      <c r="E2780" s="45">
        <v>1</v>
      </c>
      <c r="F2780" s="46">
        <v>10.395</v>
      </c>
      <c r="G2780" s="46">
        <f t="shared" si="43"/>
        <v>10.395</v>
      </c>
      <c r="H2780" s="47" t="s">
        <v>27</v>
      </c>
      <c r="I2780" s="47" t="s">
        <v>1086</v>
      </c>
      <c r="J2780" s="32"/>
    </row>
    <row r="2781" spans="1:10" x14ac:dyDescent="0.2">
      <c r="A2781" s="32"/>
      <c r="B2781" s="36" t="s">
        <v>4345</v>
      </c>
      <c r="C2781" s="37" t="s">
        <v>4335</v>
      </c>
      <c r="D2781" s="38" t="s">
        <v>4346</v>
      </c>
      <c r="E2781" s="39">
        <v>1</v>
      </c>
      <c r="F2781" s="40">
        <v>49.5</v>
      </c>
      <c r="G2781" s="40">
        <f t="shared" si="43"/>
        <v>49.5</v>
      </c>
      <c r="H2781" s="41" t="s">
        <v>24</v>
      </c>
      <c r="I2781" s="41" t="s">
        <v>58</v>
      </c>
      <c r="J2781" s="32"/>
    </row>
    <row r="2782" spans="1:10" x14ac:dyDescent="0.2">
      <c r="A2782" s="32"/>
      <c r="B2782" s="42" t="s">
        <v>4347</v>
      </c>
      <c r="C2782" s="43" t="s">
        <v>4335</v>
      </c>
      <c r="D2782" s="44" t="s">
        <v>4348</v>
      </c>
      <c r="E2782" s="45">
        <v>1</v>
      </c>
      <c r="F2782" s="46">
        <v>64.5</v>
      </c>
      <c r="G2782" s="46">
        <f t="shared" si="43"/>
        <v>64.5</v>
      </c>
      <c r="H2782" s="47" t="s">
        <v>27</v>
      </c>
      <c r="I2782" s="47" t="s">
        <v>1086</v>
      </c>
      <c r="J2782" s="32"/>
    </row>
    <row r="2783" spans="1:10" x14ac:dyDescent="0.2">
      <c r="A2783" s="32"/>
      <c r="B2783" s="36" t="s">
        <v>4349</v>
      </c>
      <c r="C2783" s="37" t="s">
        <v>4335</v>
      </c>
      <c r="D2783" s="38" t="s">
        <v>4350</v>
      </c>
      <c r="E2783" s="39">
        <v>1</v>
      </c>
      <c r="F2783" s="40">
        <v>4.5</v>
      </c>
      <c r="G2783" s="40">
        <f t="shared" si="43"/>
        <v>4.5</v>
      </c>
      <c r="H2783" s="41" t="s">
        <v>24</v>
      </c>
      <c r="I2783" s="41" t="s">
        <v>58</v>
      </c>
      <c r="J2783" s="32"/>
    </row>
    <row r="2784" spans="1:10" x14ac:dyDescent="0.2">
      <c r="A2784" s="32"/>
      <c r="B2784" s="42" t="s">
        <v>4351</v>
      </c>
      <c r="C2784" s="43" t="s">
        <v>4335</v>
      </c>
      <c r="D2784" s="44" t="s">
        <v>4352</v>
      </c>
      <c r="E2784" s="45">
        <v>1</v>
      </c>
      <c r="F2784" s="46">
        <v>4.9000000000000004</v>
      </c>
      <c r="G2784" s="46">
        <f t="shared" si="43"/>
        <v>4.9000000000000004</v>
      </c>
      <c r="H2784" s="47" t="s">
        <v>27</v>
      </c>
      <c r="I2784" s="47" t="s">
        <v>58</v>
      </c>
      <c r="J2784" s="32"/>
    </row>
    <row r="2785" spans="1:10" x14ac:dyDescent="0.2">
      <c r="A2785" s="32"/>
      <c r="B2785" s="36" t="s">
        <v>4353</v>
      </c>
      <c r="C2785" s="37" t="s">
        <v>4335</v>
      </c>
      <c r="D2785" s="38" t="s">
        <v>4354</v>
      </c>
      <c r="E2785" s="39">
        <v>1</v>
      </c>
      <c r="F2785" s="40">
        <v>10.9</v>
      </c>
      <c r="G2785" s="40">
        <f t="shared" si="43"/>
        <v>10.9</v>
      </c>
      <c r="H2785" s="41" t="s">
        <v>24</v>
      </c>
      <c r="I2785" s="41" t="s">
        <v>58</v>
      </c>
      <c r="J2785" s="32"/>
    </row>
    <row r="2786" spans="1:10" x14ac:dyDescent="0.2">
      <c r="A2786" s="32"/>
      <c r="B2786" s="42" t="s">
        <v>4355</v>
      </c>
      <c r="C2786" s="43" t="s">
        <v>4335</v>
      </c>
      <c r="D2786" s="44" t="s">
        <v>4356</v>
      </c>
      <c r="E2786" s="45">
        <v>1</v>
      </c>
      <c r="F2786" s="46">
        <v>2</v>
      </c>
      <c r="G2786" s="46">
        <f t="shared" si="43"/>
        <v>2</v>
      </c>
      <c r="H2786" s="47" t="s">
        <v>27</v>
      </c>
      <c r="I2786" s="47" t="s">
        <v>1086</v>
      </c>
      <c r="J2786" s="32"/>
    </row>
    <row r="2787" spans="1:10" x14ac:dyDescent="0.2">
      <c r="A2787" s="32"/>
      <c r="B2787" s="36" t="s">
        <v>4357</v>
      </c>
      <c r="C2787" s="37" t="s">
        <v>4335</v>
      </c>
      <c r="D2787" s="38" t="s">
        <v>4358</v>
      </c>
      <c r="E2787" s="39">
        <v>1</v>
      </c>
      <c r="F2787" s="40">
        <v>19.899999999999999</v>
      </c>
      <c r="G2787" s="40">
        <f t="shared" si="43"/>
        <v>19.899999999999999</v>
      </c>
      <c r="H2787" s="41" t="s">
        <v>24</v>
      </c>
      <c r="I2787" s="41" t="s">
        <v>58</v>
      </c>
      <c r="J2787" s="32"/>
    </row>
    <row r="2788" spans="1:10" x14ac:dyDescent="0.2">
      <c r="A2788" s="32"/>
      <c r="B2788" s="42" t="s">
        <v>4359</v>
      </c>
      <c r="C2788" s="43" t="s">
        <v>4335</v>
      </c>
      <c r="D2788" s="44" t="s">
        <v>4360</v>
      </c>
      <c r="E2788" s="45">
        <v>1</v>
      </c>
      <c r="F2788" s="46">
        <v>5.9</v>
      </c>
      <c r="G2788" s="46">
        <f t="shared" si="43"/>
        <v>5.9</v>
      </c>
      <c r="H2788" s="47" t="s">
        <v>24</v>
      </c>
      <c r="I2788" s="47" t="s">
        <v>58</v>
      </c>
      <c r="J2788" s="32"/>
    </row>
    <row r="2789" spans="1:10" x14ac:dyDescent="0.2">
      <c r="A2789" s="32"/>
      <c r="B2789" s="36" t="s">
        <v>4361</v>
      </c>
      <c r="C2789" s="37" t="s">
        <v>4335</v>
      </c>
      <c r="D2789" s="38" t="s">
        <v>4362</v>
      </c>
      <c r="E2789" s="39">
        <v>1</v>
      </c>
      <c r="F2789" s="40">
        <v>64.5</v>
      </c>
      <c r="G2789" s="40">
        <f t="shared" si="43"/>
        <v>64.5</v>
      </c>
      <c r="H2789" s="41" t="s">
        <v>27</v>
      </c>
      <c r="I2789" s="41" t="s">
        <v>1086</v>
      </c>
      <c r="J2789" s="32"/>
    </row>
    <row r="2790" spans="1:10" x14ac:dyDescent="0.2">
      <c r="A2790" s="32"/>
      <c r="B2790" s="42" t="s">
        <v>4363</v>
      </c>
      <c r="C2790" s="43" t="s">
        <v>4364</v>
      </c>
      <c r="D2790" s="44" t="s">
        <v>2589</v>
      </c>
      <c r="E2790" s="45">
        <v>1</v>
      </c>
      <c r="F2790" s="46">
        <v>6.99</v>
      </c>
      <c r="G2790" s="46">
        <f t="shared" si="43"/>
        <v>6.99</v>
      </c>
      <c r="H2790" s="47" t="s">
        <v>24</v>
      </c>
      <c r="I2790" s="47" t="s">
        <v>58</v>
      </c>
      <c r="J2790" s="32"/>
    </row>
    <row r="2791" spans="1:10" x14ac:dyDescent="0.2">
      <c r="A2791" s="32"/>
      <c r="B2791" s="36" t="s">
        <v>4365</v>
      </c>
      <c r="C2791" s="37" t="s">
        <v>4364</v>
      </c>
      <c r="D2791" s="38" t="s">
        <v>2591</v>
      </c>
      <c r="E2791" s="39">
        <v>1</v>
      </c>
      <c r="F2791" s="40">
        <v>7.75</v>
      </c>
      <c r="G2791" s="40">
        <f t="shared" si="43"/>
        <v>7.75</v>
      </c>
      <c r="H2791" s="41" t="s">
        <v>24</v>
      </c>
      <c r="I2791" s="41" t="s">
        <v>58</v>
      </c>
      <c r="J2791" s="32"/>
    </row>
    <row r="2792" spans="1:10" x14ac:dyDescent="0.2">
      <c r="A2792" s="32"/>
      <c r="B2792" s="42" t="s">
        <v>4366</v>
      </c>
      <c r="C2792" s="43" t="s">
        <v>4364</v>
      </c>
      <c r="D2792" s="44" t="s">
        <v>1368</v>
      </c>
      <c r="E2792" s="45">
        <v>1</v>
      </c>
      <c r="F2792" s="46">
        <v>1.55</v>
      </c>
      <c r="G2792" s="46">
        <f t="shared" si="43"/>
        <v>1.55</v>
      </c>
      <c r="H2792" s="47" t="s">
        <v>24</v>
      </c>
      <c r="I2792" s="47" t="s">
        <v>58</v>
      </c>
      <c r="J2792" s="32"/>
    </row>
    <row r="2793" spans="1:10" x14ac:dyDescent="0.2">
      <c r="A2793" s="32"/>
      <c r="B2793" s="36" t="s">
        <v>4367</v>
      </c>
      <c r="C2793" s="37" t="s">
        <v>4364</v>
      </c>
      <c r="D2793" s="38" t="s">
        <v>3184</v>
      </c>
      <c r="E2793" s="39">
        <v>1</v>
      </c>
      <c r="F2793" s="40">
        <v>5.29</v>
      </c>
      <c r="G2793" s="40">
        <f t="shared" si="43"/>
        <v>5.29</v>
      </c>
      <c r="H2793" s="41" t="s">
        <v>24</v>
      </c>
      <c r="I2793" s="41" t="s">
        <v>58</v>
      </c>
      <c r="J2793" s="32"/>
    </row>
    <row r="2794" spans="1:10" x14ac:dyDescent="0.2">
      <c r="A2794" s="32"/>
      <c r="B2794" s="42" t="s">
        <v>4368</v>
      </c>
      <c r="C2794" s="43" t="s">
        <v>4364</v>
      </c>
      <c r="D2794" s="44" t="s">
        <v>3184</v>
      </c>
      <c r="E2794" s="45">
        <v>1</v>
      </c>
      <c r="F2794" s="46">
        <v>5.29</v>
      </c>
      <c r="G2794" s="46">
        <f t="shared" si="43"/>
        <v>5.29</v>
      </c>
      <c r="H2794" s="47" t="s">
        <v>24</v>
      </c>
      <c r="I2794" s="47" t="s">
        <v>58</v>
      </c>
      <c r="J2794" s="32"/>
    </row>
    <row r="2795" spans="1:10" x14ac:dyDescent="0.2">
      <c r="A2795" s="32"/>
      <c r="B2795" s="36" t="s">
        <v>4369</v>
      </c>
      <c r="C2795" s="37" t="s">
        <v>4364</v>
      </c>
      <c r="D2795" s="38" t="s">
        <v>2688</v>
      </c>
      <c r="E2795" s="39">
        <v>1</v>
      </c>
      <c r="F2795" s="40">
        <v>8.99</v>
      </c>
      <c r="G2795" s="40">
        <f t="shared" si="43"/>
        <v>8.99</v>
      </c>
      <c r="H2795" s="41" t="s">
        <v>24</v>
      </c>
      <c r="I2795" s="41" t="s">
        <v>58</v>
      </c>
      <c r="J2795" s="32"/>
    </row>
    <row r="2796" spans="1:10" x14ac:dyDescent="0.2">
      <c r="A2796" s="32"/>
      <c r="B2796" s="42" t="s">
        <v>4370</v>
      </c>
      <c r="C2796" s="43" t="s">
        <v>4364</v>
      </c>
      <c r="D2796" s="44" t="s">
        <v>4371</v>
      </c>
      <c r="E2796" s="45">
        <v>1</v>
      </c>
      <c r="F2796" s="46">
        <v>2.69</v>
      </c>
      <c r="G2796" s="46">
        <f t="shared" si="43"/>
        <v>2.69</v>
      </c>
      <c r="H2796" s="47" t="s">
        <v>24</v>
      </c>
      <c r="I2796" s="47" t="s">
        <v>58</v>
      </c>
      <c r="J2796" s="32"/>
    </row>
    <row r="2797" spans="1:10" x14ac:dyDescent="0.2">
      <c r="A2797" s="32"/>
      <c r="B2797" s="36" t="s">
        <v>4372</v>
      </c>
      <c r="C2797" s="37" t="s">
        <v>4364</v>
      </c>
      <c r="D2797" s="38" t="s">
        <v>4373</v>
      </c>
      <c r="E2797" s="39">
        <v>1</v>
      </c>
      <c r="F2797" s="40">
        <v>16.59</v>
      </c>
      <c r="G2797" s="40">
        <f t="shared" si="43"/>
        <v>16.59</v>
      </c>
      <c r="H2797" s="41" t="s">
        <v>24</v>
      </c>
      <c r="I2797" s="41" t="s">
        <v>58</v>
      </c>
      <c r="J2797" s="32"/>
    </row>
    <row r="2798" spans="1:10" x14ac:dyDescent="0.2">
      <c r="A2798" s="32"/>
      <c r="B2798" s="42" t="s">
        <v>4374</v>
      </c>
      <c r="C2798" s="43" t="s">
        <v>4364</v>
      </c>
      <c r="D2798" s="44" t="s">
        <v>2849</v>
      </c>
      <c r="E2798" s="45">
        <v>1</v>
      </c>
      <c r="F2798" s="46">
        <v>3.39</v>
      </c>
      <c r="G2798" s="46">
        <f t="shared" si="43"/>
        <v>3.39</v>
      </c>
      <c r="H2798" s="47" t="s">
        <v>24</v>
      </c>
      <c r="I2798" s="47" t="s">
        <v>58</v>
      </c>
      <c r="J2798" s="32"/>
    </row>
    <row r="2799" spans="1:10" x14ac:dyDescent="0.2">
      <c r="A2799" s="32"/>
      <c r="B2799" s="36" t="s">
        <v>4375</v>
      </c>
      <c r="C2799" s="37" t="s">
        <v>4364</v>
      </c>
      <c r="D2799" s="38" t="s">
        <v>2849</v>
      </c>
      <c r="E2799" s="39">
        <v>1</v>
      </c>
      <c r="F2799" s="40">
        <v>3.39</v>
      </c>
      <c r="G2799" s="40">
        <f t="shared" si="43"/>
        <v>3.39</v>
      </c>
      <c r="H2799" s="41" t="s">
        <v>24</v>
      </c>
      <c r="I2799" s="41" t="s">
        <v>58</v>
      </c>
      <c r="J2799" s="32"/>
    </row>
    <row r="2800" spans="1:10" x14ac:dyDescent="0.2">
      <c r="A2800" s="32"/>
      <c r="B2800" s="42" t="s">
        <v>4376</v>
      </c>
      <c r="C2800" s="43" t="s">
        <v>4364</v>
      </c>
      <c r="D2800" s="44" t="s">
        <v>2849</v>
      </c>
      <c r="E2800" s="45">
        <v>1</v>
      </c>
      <c r="F2800" s="46">
        <v>3.39</v>
      </c>
      <c r="G2800" s="46">
        <f t="shared" si="43"/>
        <v>3.39</v>
      </c>
      <c r="H2800" s="47" t="s">
        <v>24</v>
      </c>
      <c r="I2800" s="47" t="s">
        <v>58</v>
      </c>
      <c r="J2800" s="32"/>
    </row>
    <row r="2801" spans="1:10" x14ac:dyDescent="0.2">
      <c r="A2801" s="32"/>
      <c r="B2801" s="36" t="s">
        <v>4377</v>
      </c>
      <c r="C2801" s="37" t="s">
        <v>4364</v>
      </c>
      <c r="D2801" s="38" t="s">
        <v>2849</v>
      </c>
      <c r="E2801" s="39">
        <v>1</v>
      </c>
      <c r="F2801" s="40">
        <v>3.39</v>
      </c>
      <c r="G2801" s="40">
        <f t="shared" si="43"/>
        <v>3.39</v>
      </c>
      <c r="H2801" s="41" t="s">
        <v>24</v>
      </c>
      <c r="I2801" s="41" t="s">
        <v>58</v>
      </c>
      <c r="J2801" s="32"/>
    </row>
    <row r="2802" spans="1:10" x14ac:dyDescent="0.2">
      <c r="A2802" s="32"/>
      <c r="B2802" s="42" t="s">
        <v>4378</v>
      </c>
      <c r="C2802" s="43" t="s">
        <v>4364</v>
      </c>
      <c r="D2802" s="44" t="s">
        <v>2849</v>
      </c>
      <c r="E2802" s="45">
        <v>1</v>
      </c>
      <c r="F2802" s="46">
        <v>3.39</v>
      </c>
      <c r="G2802" s="46">
        <f t="shared" si="43"/>
        <v>3.39</v>
      </c>
      <c r="H2802" s="47" t="s">
        <v>24</v>
      </c>
      <c r="I2802" s="47" t="s">
        <v>58</v>
      </c>
      <c r="J2802" s="32"/>
    </row>
    <row r="2803" spans="1:10" x14ac:dyDescent="0.2">
      <c r="A2803" s="32"/>
      <c r="B2803" s="36" t="s">
        <v>4379</v>
      </c>
      <c r="C2803" s="37" t="s">
        <v>4364</v>
      </c>
      <c r="D2803" s="38" t="s">
        <v>2499</v>
      </c>
      <c r="E2803" s="39">
        <v>1</v>
      </c>
      <c r="F2803" s="40">
        <v>29.9</v>
      </c>
      <c r="G2803" s="40">
        <f t="shared" si="43"/>
        <v>29.9</v>
      </c>
      <c r="H2803" s="41" t="s">
        <v>24</v>
      </c>
      <c r="I2803" s="41" t="s">
        <v>58</v>
      </c>
      <c r="J2803" s="32"/>
    </row>
    <row r="2804" spans="1:10" x14ac:dyDescent="0.2">
      <c r="A2804" s="32"/>
      <c r="B2804" s="42" t="s">
        <v>4380</v>
      </c>
      <c r="C2804" s="43" t="s">
        <v>4364</v>
      </c>
      <c r="D2804" s="44" t="s">
        <v>95</v>
      </c>
      <c r="E2804" s="45">
        <v>1</v>
      </c>
      <c r="F2804" s="46">
        <v>3.49</v>
      </c>
      <c r="G2804" s="46">
        <f t="shared" si="43"/>
        <v>3.49</v>
      </c>
      <c r="H2804" s="47" t="s">
        <v>24</v>
      </c>
      <c r="I2804" s="47" t="s">
        <v>58</v>
      </c>
      <c r="J2804" s="32"/>
    </row>
    <row r="2805" spans="1:10" x14ac:dyDescent="0.2">
      <c r="A2805" s="32"/>
      <c r="B2805" s="36" t="s">
        <v>4381</v>
      </c>
      <c r="C2805" s="37" t="s">
        <v>4364</v>
      </c>
      <c r="D2805" s="38" t="s">
        <v>1896</v>
      </c>
      <c r="E2805" s="39">
        <v>1</v>
      </c>
      <c r="F2805" s="40">
        <v>4.99</v>
      </c>
      <c r="G2805" s="40">
        <f t="shared" si="43"/>
        <v>4.99</v>
      </c>
      <c r="H2805" s="41" t="s">
        <v>24</v>
      </c>
      <c r="I2805" s="41" t="s">
        <v>58</v>
      </c>
      <c r="J2805" s="32"/>
    </row>
    <row r="2806" spans="1:10" x14ac:dyDescent="0.2">
      <c r="A2806" s="32"/>
      <c r="B2806" s="42" t="s">
        <v>4382</v>
      </c>
      <c r="C2806" s="43" t="s">
        <v>4364</v>
      </c>
      <c r="D2806" s="44" t="s">
        <v>1896</v>
      </c>
      <c r="E2806" s="45">
        <v>1</v>
      </c>
      <c r="F2806" s="46">
        <v>4.99</v>
      </c>
      <c r="G2806" s="46">
        <f t="shared" si="43"/>
        <v>4.99</v>
      </c>
      <c r="H2806" s="47" t="s">
        <v>24</v>
      </c>
      <c r="I2806" s="47" t="s">
        <v>58</v>
      </c>
      <c r="J2806" s="32"/>
    </row>
    <row r="2807" spans="1:10" x14ac:dyDescent="0.2">
      <c r="A2807" s="32"/>
      <c r="B2807" s="36" t="s">
        <v>4383</v>
      </c>
      <c r="C2807" s="37" t="s">
        <v>4364</v>
      </c>
      <c r="D2807" s="38" t="s">
        <v>1896</v>
      </c>
      <c r="E2807" s="39">
        <v>1</v>
      </c>
      <c r="F2807" s="40">
        <v>4.99</v>
      </c>
      <c r="G2807" s="40">
        <f t="shared" si="43"/>
        <v>4.99</v>
      </c>
      <c r="H2807" s="41" t="s">
        <v>24</v>
      </c>
      <c r="I2807" s="41" t="s">
        <v>58</v>
      </c>
      <c r="J2807" s="32"/>
    </row>
    <row r="2808" spans="1:10" x14ac:dyDescent="0.2">
      <c r="A2808" s="32"/>
      <c r="B2808" s="42" t="s">
        <v>4384</v>
      </c>
      <c r="C2808" s="43" t="s">
        <v>4364</v>
      </c>
      <c r="D2808" s="44" t="s">
        <v>1896</v>
      </c>
      <c r="E2808" s="45">
        <v>1</v>
      </c>
      <c r="F2808" s="46">
        <v>4.99</v>
      </c>
      <c r="G2808" s="46">
        <f t="shared" si="43"/>
        <v>4.99</v>
      </c>
      <c r="H2808" s="47" t="s">
        <v>24</v>
      </c>
      <c r="I2808" s="47" t="s">
        <v>58</v>
      </c>
      <c r="J2808" s="32"/>
    </row>
    <row r="2809" spans="1:10" x14ac:dyDescent="0.2">
      <c r="A2809" s="32"/>
      <c r="B2809" s="36" t="s">
        <v>4385</v>
      </c>
      <c r="C2809" s="37" t="s">
        <v>4364</v>
      </c>
      <c r="D2809" s="38" t="s">
        <v>3158</v>
      </c>
      <c r="E2809" s="39">
        <v>1</v>
      </c>
      <c r="F2809" s="40">
        <v>2.59</v>
      </c>
      <c r="G2809" s="40">
        <f t="shared" si="43"/>
        <v>2.59</v>
      </c>
      <c r="H2809" s="41" t="s">
        <v>24</v>
      </c>
      <c r="I2809" s="41" t="s">
        <v>58</v>
      </c>
      <c r="J2809" s="32"/>
    </row>
    <row r="2810" spans="1:10" x14ac:dyDescent="0.2">
      <c r="A2810" s="32"/>
      <c r="B2810" s="42" t="s">
        <v>4386</v>
      </c>
      <c r="C2810" s="43" t="s">
        <v>4364</v>
      </c>
      <c r="D2810" s="44" t="s">
        <v>2668</v>
      </c>
      <c r="E2810" s="45">
        <v>1</v>
      </c>
      <c r="F2810" s="46">
        <v>3.99</v>
      </c>
      <c r="G2810" s="46">
        <f t="shared" si="43"/>
        <v>3.99</v>
      </c>
      <c r="H2810" s="47" t="s">
        <v>24</v>
      </c>
      <c r="I2810" s="47" t="s">
        <v>58</v>
      </c>
      <c r="J2810" s="32"/>
    </row>
    <row r="2811" spans="1:10" x14ac:dyDescent="0.2">
      <c r="A2811" s="32"/>
      <c r="B2811" s="36" t="s">
        <v>4387</v>
      </c>
      <c r="C2811" s="37" t="s">
        <v>4364</v>
      </c>
      <c r="D2811" s="38" t="s">
        <v>2925</v>
      </c>
      <c r="E2811" s="39">
        <v>1</v>
      </c>
      <c r="F2811" s="40">
        <v>5.59</v>
      </c>
      <c r="G2811" s="40">
        <f t="shared" si="43"/>
        <v>5.59</v>
      </c>
      <c r="H2811" s="41" t="s">
        <v>24</v>
      </c>
      <c r="I2811" s="41" t="s">
        <v>58</v>
      </c>
      <c r="J2811" s="32"/>
    </row>
    <row r="2812" spans="1:10" x14ac:dyDescent="0.2">
      <c r="A2812" s="32"/>
      <c r="B2812" s="42" t="s">
        <v>4388</v>
      </c>
      <c r="C2812" s="43" t="s">
        <v>4364</v>
      </c>
      <c r="D2812" s="44" t="s">
        <v>1340</v>
      </c>
      <c r="E2812" s="45">
        <v>1</v>
      </c>
      <c r="F2812" s="46">
        <v>32.99</v>
      </c>
      <c r="G2812" s="46">
        <f t="shared" si="43"/>
        <v>32.99</v>
      </c>
      <c r="H2812" s="47" t="s">
        <v>24</v>
      </c>
      <c r="I2812" s="47" t="s">
        <v>58</v>
      </c>
      <c r="J2812" s="32"/>
    </row>
    <row r="2813" spans="1:10" x14ac:dyDescent="0.2">
      <c r="A2813" s="32"/>
      <c r="B2813" s="36" t="s">
        <v>4389</v>
      </c>
      <c r="C2813" s="37" t="s">
        <v>4364</v>
      </c>
      <c r="D2813" s="38" t="s">
        <v>42</v>
      </c>
      <c r="E2813" s="39">
        <v>1</v>
      </c>
      <c r="F2813" s="40">
        <v>8.99</v>
      </c>
      <c r="G2813" s="40">
        <f t="shared" si="43"/>
        <v>8.99</v>
      </c>
      <c r="H2813" s="41" t="s">
        <v>24</v>
      </c>
      <c r="I2813" s="41" t="s">
        <v>58</v>
      </c>
      <c r="J2813" s="32"/>
    </row>
    <row r="2814" spans="1:10" x14ac:dyDescent="0.2">
      <c r="A2814" s="32"/>
      <c r="B2814" s="42" t="s">
        <v>4390</v>
      </c>
      <c r="C2814" s="43" t="s">
        <v>4364</v>
      </c>
      <c r="D2814" s="44" t="s">
        <v>81</v>
      </c>
      <c r="E2814" s="45">
        <v>1</v>
      </c>
      <c r="F2814" s="46">
        <v>7.49</v>
      </c>
      <c r="G2814" s="46">
        <f t="shared" si="43"/>
        <v>7.49</v>
      </c>
      <c r="H2814" s="47" t="s">
        <v>24</v>
      </c>
      <c r="I2814" s="47" t="s">
        <v>58</v>
      </c>
      <c r="J2814" s="32"/>
    </row>
    <row r="2815" spans="1:10" x14ac:dyDescent="0.2">
      <c r="A2815" s="32"/>
      <c r="B2815" s="36" t="s">
        <v>4391</v>
      </c>
      <c r="C2815" s="37" t="s">
        <v>4364</v>
      </c>
      <c r="D2815" s="38" t="s">
        <v>4392</v>
      </c>
      <c r="E2815" s="39">
        <v>1</v>
      </c>
      <c r="F2815" s="40">
        <v>5.49</v>
      </c>
      <c r="G2815" s="40">
        <f t="shared" si="43"/>
        <v>5.49</v>
      </c>
      <c r="H2815" s="41" t="s">
        <v>24</v>
      </c>
      <c r="I2815" s="41" t="s">
        <v>58</v>
      </c>
      <c r="J2815" s="32"/>
    </row>
    <row r="2816" spans="1:10" x14ac:dyDescent="0.2">
      <c r="A2816" s="32"/>
      <c r="B2816" s="42" t="s">
        <v>4393</v>
      </c>
      <c r="C2816" s="43" t="s">
        <v>4364</v>
      </c>
      <c r="D2816" s="44" t="s">
        <v>4394</v>
      </c>
      <c r="E2816" s="45">
        <v>1</v>
      </c>
      <c r="F2816" s="46">
        <v>6.99</v>
      </c>
      <c r="G2816" s="46">
        <f t="shared" si="43"/>
        <v>6.99</v>
      </c>
      <c r="H2816" s="47" t="s">
        <v>24</v>
      </c>
      <c r="I2816" s="47" t="s">
        <v>58</v>
      </c>
      <c r="J2816" s="32"/>
    </row>
    <row r="2817" spans="1:10" x14ac:dyDescent="0.2">
      <c r="A2817" s="32"/>
      <c r="B2817" s="36" t="s">
        <v>4395</v>
      </c>
      <c r="C2817" s="37" t="s">
        <v>4364</v>
      </c>
      <c r="D2817" s="38" t="s">
        <v>2582</v>
      </c>
      <c r="E2817" s="39">
        <v>1</v>
      </c>
      <c r="F2817" s="40">
        <v>2.99</v>
      </c>
      <c r="G2817" s="40">
        <f t="shared" si="43"/>
        <v>2.99</v>
      </c>
      <c r="H2817" s="41" t="s">
        <v>24</v>
      </c>
      <c r="I2817" s="41" t="s">
        <v>58</v>
      </c>
      <c r="J2817" s="32"/>
    </row>
    <row r="2818" spans="1:10" x14ac:dyDescent="0.2">
      <c r="A2818" s="32"/>
      <c r="B2818" s="42" t="s">
        <v>4396</v>
      </c>
      <c r="C2818" s="43" t="s">
        <v>4364</v>
      </c>
      <c r="D2818" s="44" t="s">
        <v>2680</v>
      </c>
      <c r="E2818" s="45">
        <v>1</v>
      </c>
      <c r="F2818" s="46">
        <v>7.99</v>
      </c>
      <c r="G2818" s="46">
        <f t="shared" si="43"/>
        <v>7.99</v>
      </c>
      <c r="H2818" s="47" t="s">
        <v>24</v>
      </c>
      <c r="I2818" s="47" t="s">
        <v>58</v>
      </c>
      <c r="J2818" s="32"/>
    </row>
    <row r="2819" spans="1:10" x14ac:dyDescent="0.2">
      <c r="A2819" s="32"/>
      <c r="B2819" s="36" t="s">
        <v>4397</v>
      </c>
      <c r="C2819" s="37" t="s">
        <v>4364</v>
      </c>
      <c r="D2819" s="38" t="s">
        <v>4213</v>
      </c>
      <c r="E2819" s="39">
        <v>1</v>
      </c>
      <c r="F2819" s="40">
        <v>5.99</v>
      </c>
      <c r="G2819" s="40">
        <f t="shared" si="43"/>
        <v>5.99</v>
      </c>
      <c r="H2819" s="41" t="s">
        <v>24</v>
      </c>
      <c r="I2819" s="41" t="s">
        <v>58</v>
      </c>
      <c r="J2819" s="32"/>
    </row>
    <row r="2820" spans="1:10" x14ac:dyDescent="0.2">
      <c r="A2820" s="32"/>
      <c r="B2820" s="42" t="s">
        <v>4398</v>
      </c>
      <c r="C2820" s="43" t="s">
        <v>4364</v>
      </c>
      <c r="D2820" s="44" t="s">
        <v>4399</v>
      </c>
      <c r="E2820" s="45">
        <v>1</v>
      </c>
      <c r="F2820" s="46">
        <v>2.4900000000000002</v>
      </c>
      <c r="G2820" s="46">
        <f t="shared" si="43"/>
        <v>2.4900000000000002</v>
      </c>
      <c r="H2820" s="47" t="s">
        <v>24</v>
      </c>
      <c r="I2820" s="47" t="s">
        <v>58</v>
      </c>
      <c r="J2820" s="32"/>
    </row>
    <row r="2821" spans="1:10" x14ac:dyDescent="0.2">
      <c r="A2821" s="32"/>
      <c r="B2821" s="36" t="s">
        <v>4400</v>
      </c>
      <c r="C2821" s="37" t="s">
        <v>4364</v>
      </c>
      <c r="D2821" s="38" t="s">
        <v>4399</v>
      </c>
      <c r="E2821" s="39">
        <v>1</v>
      </c>
      <c r="F2821" s="40">
        <v>2.4900000000000002</v>
      </c>
      <c r="G2821" s="40">
        <f t="shared" ref="G2821:G2884" si="44">E2821*F2821</f>
        <v>2.4900000000000002</v>
      </c>
      <c r="H2821" s="41" t="s">
        <v>24</v>
      </c>
      <c r="I2821" s="41" t="s">
        <v>58</v>
      </c>
      <c r="J2821" s="32"/>
    </row>
    <row r="2822" spans="1:10" x14ac:dyDescent="0.2">
      <c r="A2822" s="32"/>
      <c r="B2822" s="42" t="s">
        <v>4401</v>
      </c>
      <c r="C2822" s="43" t="s">
        <v>4364</v>
      </c>
      <c r="D2822" s="44" t="s">
        <v>38</v>
      </c>
      <c r="E2822" s="45">
        <v>1</v>
      </c>
      <c r="F2822" s="46">
        <v>4.99</v>
      </c>
      <c r="G2822" s="46">
        <f t="shared" si="44"/>
        <v>4.99</v>
      </c>
      <c r="H2822" s="47" t="s">
        <v>24</v>
      </c>
      <c r="I2822" s="47" t="s">
        <v>58</v>
      </c>
      <c r="J2822" s="32"/>
    </row>
    <row r="2823" spans="1:10" x14ac:dyDescent="0.2">
      <c r="A2823" s="32"/>
      <c r="B2823" s="36" t="s">
        <v>4402</v>
      </c>
      <c r="C2823" s="37" t="s">
        <v>4364</v>
      </c>
      <c r="D2823" s="38" t="s">
        <v>76</v>
      </c>
      <c r="E2823" s="39">
        <v>1</v>
      </c>
      <c r="F2823" s="40">
        <v>6.99</v>
      </c>
      <c r="G2823" s="40">
        <f t="shared" si="44"/>
        <v>6.99</v>
      </c>
      <c r="H2823" s="41" t="s">
        <v>24</v>
      </c>
      <c r="I2823" s="41" t="s">
        <v>58</v>
      </c>
      <c r="J2823" s="32"/>
    </row>
    <row r="2824" spans="1:10" x14ac:dyDescent="0.2">
      <c r="A2824" s="32"/>
      <c r="B2824" s="42" t="s">
        <v>4403</v>
      </c>
      <c r="C2824" s="43" t="s">
        <v>4364</v>
      </c>
      <c r="D2824" s="44" t="s">
        <v>2570</v>
      </c>
      <c r="E2824" s="45">
        <v>1</v>
      </c>
      <c r="F2824" s="46">
        <v>10.99</v>
      </c>
      <c r="G2824" s="46">
        <f t="shared" si="44"/>
        <v>10.99</v>
      </c>
      <c r="H2824" s="47" t="s">
        <v>24</v>
      </c>
      <c r="I2824" s="47" t="s">
        <v>58</v>
      </c>
      <c r="J2824" s="32"/>
    </row>
    <row r="2825" spans="1:10" x14ac:dyDescent="0.2">
      <c r="A2825" s="32"/>
      <c r="B2825" s="36" t="s">
        <v>4404</v>
      </c>
      <c r="C2825" s="37" t="s">
        <v>4364</v>
      </c>
      <c r="D2825" s="38" t="s">
        <v>2493</v>
      </c>
      <c r="E2825" s="39">
        <v>1</v>
      </c>
      <c r="F2825" s="40">
        <v>45.99</v>
      </c>
      <c r="G2825" s="40">
        <f t="shared" si="44"/>
        <v>45.99</v>
      </c>
      <c r="H2825" s="41" t="s">
        <v>24</v>
      </c>
      <c r="I2825" s="41" t="s">
        <v>58</v>
      </c>
      <c r="J2825" s="32"/>
    </row>
    <row r="2826" spans="1:10" x14ac:dyDescent="0.2">
      <c r="A2826" s="32"/>
      <c r="B2826" s="42" t="s">
        <v>4405</v>
      </c>
      <c r="C2826" s="43" t="s">
        <v>4364</v>
      </c>
      <c r="D2826" s="44" t="s">
        <v>2493</v>
      </c>
      <c r="E2826" s="45">
        <v>1</v>
      </c>
      <c r="F2826" s="46">
        <v>45.99</v>
      </c>
      <c r="G2826" s="46">
        <f t="shared" si="44"/>
        <v>45.99</v>
      </c>
      <c r="H2826" s="47" t="s">
        <v>24</v>
      </c>
      <c r="I2826" s="47" t="s">
        <v>58</v>
      </c>
      <c r="J2826" s="32"/>
    </row>
    <row r="2827" spans="1:10" x14ac:dyDescent="0.2">
      <c r="A2827" s="32"/>
      <c r="B2827" s="36" t="s">
        <v>4406</v>
      </c>
      <c r="C2827" s="37" t="s">
        <v>4364</v>
      </c>
      <c r="D2827" s="38" t="s">
        <v>4407</v>
      </c>
      <c r="E2827" s="39">
        <v>1</v>
      </c>
      <c r="F2827" s="40">
        <v>13.99</v>
      </c>
      <c r="G2827" s="40">
        <f t="shared" si="44"/>
        <v>13.99</v>
      </c>
      <c r="H2827" s="41" t="s">
        <v>24</v>
      </c>
      <c r="I2827" s="41" t="s">
        <v>58</v>
      </c>
      <c r="J2827" s="32"/>
    </row>
    <row r="2828" spans="1:10" x14ac:dyDescent="0.2">
      <c r="A2828" s="32"/>
      <c r="B2828" s="42" t="s">
        <v>4408</v>
      </c>
      <c r="C2828" s="43" t="s">
        <v>4364</v>
      </c>
      <c r="D2828" s="44" t="s">
        <v>3152</v>
      </c>
      <c r="E2828" s="45">
        <v>1</v>
      </c>
      <c r="F2828" s="46">
        <v>6.29</v>
      </c>
      <c r="G2828" s="46">
        <f t="shared" si="44"/>
        <v>6.29</v>
      </c>
      <c r="H2828" s="47" t="s">
        <v>24</v>
      </c>
      <c r="I2828" s="47" t="s">
        <v>58</v>
      </c>
      <c r="J2828" s="32"/>
    </row>
    <row r="2829" spans="1:10" x14ac:dyDescent="0.2">
      <c r="A2829" s="32"/>
      <c r="B2829" s="36" t="s">
        <v>4409</v>
      </c>
      <c r="C2829" s="37" t="s">
        <v>4364</v>
      </c>
      <c r="D2829" s="38" t="s">
        <v>4410</v>
      </c>
      <c r="E2829" s="39">
        <v>1</v>
      </c>
      <c r="F2829" s="40">
        <v>1.99</v>
      </c>
      <c r="G2829" s="40">
        <f t="shared" si="44"/>
        <v>1.99</v>
      </c>
      <c r="H2829" s="41" t="s">
        <v>24</v>
      </c>
      <c r="I2829" s="41" t="s">
        <v>58</v>
      </c>
      <c r="J2829" s="32"/>
    </row>
    <row r="2830" spans="1:10" x14ac:dyDescent="0.2">
      <c r="A2830" s="32"/>
      <c r="B2830" s="42" t="s">
        <v>4411</v>
      </c>
      <c r="C2830" s="43" t="s">
        <v>4364</v>
      </c>
      <c r="D2830" s="44" t="s">
        <v>1680</v>
      </c>
      <c r="E2830" s="45">
        <v>1</v>
      </c>
      <c r="F2830" s="46">
        <v>15.99</v>
      </c>
      <c r="G2830" s="46">
        <f t="shared" si="44"/>
        <v>15.99</v>
      </c>
      <c r="H2830" s="47" t="s">
        <v>24</v>
      </c>
      <c r="I2830" s="47" t="s">
        <v>58</v>
      </c>
      <c r="J2830" s="32"/>
    </row>
    <row r="2831" spans="1:10" x14ac:dyDescent="0.2">
      <c r="A2831" s="32"/>
      <c r="B2831" s="36" t="s">
        <v>4412</v>
      </c>
      <c r="C2831" s="37" t="s">
        <v>4364</v>
      </c>
      <c r="D2831" s="38" t="s">
        <v>3125</v>
      </c>
      <c r="E2831" s="39">
        <v>1</v>
      </c>
      <c r="F2831" s="40">
        <v>11.99</v>
      </c>
      <c r="G2831" s="40">
        <f t="shared" si="44"/>
        <v>11.99</v>
      </c>
      <c r="H2831" s="41" t="s">
        <v>24</v>
      </c>
      <c r="I2831" s="41" t="s">
        <v>58</v>
      </c>
      <c r="J2831" s="32"/>
    </row>
    <row r="2832" spans="1:10" x14ac:dyDescent="0.2">
      <c r="A2832" s="32"/>
      <c r="B2832" s="42" t="s">
        <v>4413</v>
      </c>
      <c r="C2832" s="43" t="s">
        <v>4364</v>
      </c>
      <c r="D2832" s="44" t="s">
        <v>4414</v>
      </c>
      <c r="E2832" s="45">
        <v>1</v>
      </c>
      <c r="F2832" s="46">
        <v>14.79</v>
      </c>
      <c r="G2832" s="46">
        <f t="shared" si="44"/>
        <v>14.79</v>
      </c>
      <c r="H2832" s="47" t="s">
        <v>24</v>
      </c>
      <c r="I2832" s="47" t="s">
        <v>58</v>
      </c>
      <c r="J2832" s="32"/>
    </row>
    <row r="2833" spans="1:10" x14ac:dyDescent="0.2">
      <c r="A2833" s="32"/>
      <c r="B2833" s="36" t="s">
        <v>4415</v>
      </c>
      <c r="C2833" s="37" t="s">
        <v>4364</v>
      </c>
      <c r="D2833" s="38" t="s">
        <v>4416</v>
      </c>
      <c r="E2833" s="39">
        <v>1</v>
      </c>
      <c r="F2833" s="40">
        <v>35.49</v>
      </c>
      <c r="G2833" s="40">
        <f t="shared" si="44"/>
        <v>35.49</v>
      </c>
      <c r="H2833" s="41" t="s">
        <v>24</v>
      </c>
      <c r="I2833" s="41" t="s">
        <v>58</v>
      </c>
      <c r="J2833" s="32"/>
    </row>
    <row r="2834" spans="1:10" x14ac:dyDescent="0.2">
      <c r="A2834" s="32"/>
      <c r="B2834" s="42" t="s">
        <v>4417</v>
      </c>
      <c r="C2834" s="43" t="s">
        <v>4364</v>
      </c>
      <c r="D2834" s="44" t="s">
        <v>4123</v>
      </c>
      <c r="E2834" s="45">
        <v>1</v>
      </c>
      <c r="F2834" s="46">
        <v>72.989999999999995</v>
      </c>
      <c r="G2834" s="46">
        <f t="shared" si="44"/>
        <v>72.989999999999995</v>
      </c>
      <c r="H2834" s="47" t="s">
        <v>24</v>
      </c>
      <c r="I2834" s="47" t="s">
        <v>58</v>
      </c>
      <c r="J2834" s="32"/>
    </row>
    <row r="2835" spans="1:10" x14ac:dyDescent="0.2">
      <c r="A2835" s="32"/>
      <c r="B2835" s="36" t="s">
        <v>4418</v>
      </c>
      <c r="C2835" s="37" t="s">
        <v>4364</v>
      </c>
      <c r="D2835" s="38" t="s">
        <v>3388</v>
      </c>
      <c r="E2835" s="39">
        <v>1</v>
      </c>
      <c r="F2835" s="40">
        <v>23.59</v>
      </c>
      <c r="G2835" s="40">
        <f t="shared" si="44"/>
        <v>23.59</v>
      </c>
      <c r="H2835" s="41" t="s">
        <v>24</v>
      </c>
      <c r="I2835" s="41" t="s">
        <v>58</v>
      </c>
      <c r="J2835" s="32"/>
    </row>
    <row r="2836" spans="1:10" x14ac:dyDescent="0.2">
      <c r="A2836" s="32"/>
      <c r="B2836" s="42" t="s">
        <v>4419</v>
      </c>
      <c r="C2836" s="43" t="s">
        <v>4364</v>
      </c>
      <c r="D2836" s="44" t="s">
        <v>2999</v>
      </c>
      <c r="E2836" s="45">
        <v>1</v>
      </c>
      <c r="F2836" s="46">
        <v>9.2899999999999991</v>
      </c>
      <c r="G2836" s="46">
        <f t="shared" si="44"/>
        <v>9.2899999999999991</v>
      </c>
      <c r="H2836" s="47" t="s">
        <v>24</v>
      </c>
      <c r="I2836" s="47" t="s">
        <v>58</v>
      </c>
      <c r="J2836" s="32"/>
    </row>
    <row r="2837" spans="1:10" x14ac:dyDescent="0.2">
      <c r="A2837" s="32"/>
      <c r="B2837" s="36" t="s">
        <v>4420</v>
      </c>
      <c r="C2837" s="37" t="s">
        <v>4364</v>
      </c>
      <c r="D2837" s="38" t="s">
        <v>4219</v>
      </c>
      <c r="E2837" s="39">
        <v>1</v>
      </c>
      <c r="F2837" s="40">
        <v>51.99</v>
      </c>
      <c r="G2837" s="40">
        <f t="shared" si="44"/>
        <v>51.99</v>
      </c>
      <c r="H2837" s="41" t="s">
        <v>24</v>
      </c>
      <c r="I2837" s="41" t="s">
        <v>58</v>
      </c>
      <c r="J2837" s="32"/>
    </row>
    <row r="2838" spans="1:10" x14ac:dyDescent="0.2">
      <c r="A2838" s="32"/>
      <c r="B2838" s="42" t="s">
        <v>4421</v>
      </c>
      <c r="C2838" s="43" t="s">
        <v>4364</v>
      </c>
      <c r="D2838" s="44" t="s">
        <v>4229</v>
      </c>
      <c r="E2838" s="45">
        <v>1</v>
      </c>
      <c r="F2838" s="46">
        <v>7.79</v>
      </c>
      <c r="G2838" s="46">
        <f t="shared" si="44"/>
        <v>7.79</v>
      </c>
      <c r="H2838" s="47" t="s">
        <v>24</v>
      </c>
      <c r="I2838" s="47" t="s">
        <v>58</v>
      </c>
      <c r="J2838" s="32"/>
    </row>
    <row r="2839" spans="1:10" x14ac:dyDescent="0.2">
      <c r="A2839" s="32"/>
      <c r="B2839" s="36" t="s">
        <v>4422</v>
      </c>
      <c r="C2839" s="37" t="s">
        <v>4364</v>
      </c>
      <c r="D2839" s="38" t="s">
        <v>4035</v>
      </c>
      <c r="E2839" s="39">
        <v>1</v>
      </c>
      <c r="F2839" s="40">
        <v>29.99</v>
      </c>
      <c r="G2839" s="40">
        <f t="shared" si="44"/>
        <v>29.99</v>
      </c>
      <c r="H2839" s="41" t="s">
        <v>24</v>
      </c>
      <c r="I2839" s="41" t="s">
        <v>58</v>
      </c>
      <c r="J2839" s="32"/>
    </row>
    <row r="2840" spans="1:10" x14ac:dyDescent="0.2">
      <c r="A2840" s="32"/>
      <c r="B2840" s="42" t="s">
        <v>4423</v>
      </c>
      <c r="C2840" s="43" t="s">
        <v>4364</v>
      </c>
      <c r="D2840" s="44" t="s">
        <v>39</v>
      </c>
      <c r="E2840" s="45">
        <v>1</v>
      </c>
      <c r="F2840" s="46">
        <v>17.989999999999998</v>
      </c>
      <c r="G2840" s="46">
        <f t="shared" si="44"/>
        <v>17.989999999999998</v>
      </c>
      <c r="H2840" s="47" t="s">
        <v>24</v>
      </c>
      <c r="I2840" s="47" t="s">
        <v>58</v>
      </c>
      <c r="J2840" s="32"/>
    </row>
    <row r="2841" spans="1:10" x14ac:dyDescent="0.2">
      <c r="A2841" s="32"/>
      <c r="B2841" s="36" t="s">
        <v>4424</v>
      </c>
      <c r="C2841" s="37" t="s">
        <v>4364</v>
      </c>
      <c r="D2841" s="38" t="s">
        <v>4425</v>
      </c>
      <c r="E2841" s="39">
        <v>1</v>
      </c>
      <c r="F2841" s="40">
        <v>21.99</v>
      </c>
      <c r="G2841" s="40">
        <f t="shared" si="44"/>
        <v>21.99</v>
      </c>
      <c r="H2841" s="41" t="s">
        <v>24</v>
      </c>
      <c r="I2841" s="41" t="s">
        <v>58</v>
      </c>
      <c r="J2841" s="32"/>
    </row>
    <row r="2842" spans="1:10" x14ac:dyDescent="0.2">
      <c r="A2842" s="32"/>
      <c r="B2842" s="42" t="s">
        <v>4426</v>
      </c>
      <c r="C2842" s="43" t="s">
        <v>4364</v>
      </c>
      <c r="D2842" s="44" t="s">
        <v>4012</v>
      </c>
      <c r="E2842" s="45">
        <v>1</v>
      </c>
      <c r="F2842" s="46">
        <v>21.99</v>
      </c>
      <c r="G2842" s="46">
        <f t="shared" si="44"/>
        <v>21.99</v>
      </c>
      <c r="H2842" s="47" t="s">
        <v>24</v>
      </c>
      <c r="I2842" s="47" t="s">
        <v>58</v>
      </c>
      <c r="J2842" s="32"/>
    </row>
    <row r="2843" spans="1:10" x14ac:dyDescent="0.2">
      <c r="A2843" s="32"/>
      <c r="B2843" s="36" t="s">
        <v>4427</v>
      </c>
      <c r="C2843" s="37" t="s">
        <v>4364</v>
      </c>
      <c r="D2843" s="38" t="s">
        <v>3672</v>
      </c>
      <c r="E2843" s="39">
        <v>1</v>
      </c>
      <c r="F2843" s="40">
        <v>21.99</v>
      </c>
      <c r="G2843" s="40">
        <f t="shared" si="44"/>
        <v>21.99</v>
      </c>
      <c r="H2843" s="41" t="s">
        <v>24</v>
      </c>
      <c r="I2843" s="41" t="s">
        <v>58</v>
      </c>
      <c r="J2843" s="32"/>
    </row>
    <row r="2844" spans="1:10" x14ac:dyDescent="0.2">
      <c r="A2844" s="32"/>
      <c r="B2844" s="42" t="s">
        <v>4428</v>
      </c>
      <c r="C2844" s="43" t="s">
        <v>4364</v>
      </c>
      <c r="D2844" s="44" t="s">
        <v>43</v>
      </c>
      <c r="E2844" s="45">
        <v>1</v>
      </c>
      <c r="F2844" s="46">
        <v>2.59</v>
      </c>
      <c r="G2844" s="46">
        <f t="shared" si="44"/>
        <v>2.59</v>
      </c>
      <c r="H2844" s="47" t="s">
        <v>24</v>
      </c>
      <c r="I2844" s="47" t="s">
        <v>58</v>
      </c>
      <c r="J2844" s="32"/>
    </row>
    <row r="2845" spans="1:10" x14ac:dyDescent="0.2">
      <c r="A2845" s="32"/>
      <c r="B2845" s="36" t="s">
        <v>4429</v>
      </c>
      <c r="C2845" s="37" t="s">
        <v>4364</v>
      </c>
      <c r="D2845" s="38" t="s">
        <v>2840</v>
      </c>
      <c r="E2845" s="39">
        <v>1</v>
      </c>
      <c r="F2845" s="40">
        <v>59.99</v>
      </c>
      <c r="G2845" s="40">
        <f t="shared" si="44"/>
        <v>59.99</v>
      </c>
      <c r="H2845" s="41" t="s">
        <v>24</v>
      </c>
      <c r="I2845" s="41" t="s">
        <v>58</v>
      </c>
      <c r="J2845" s="32"/>
    </row>
    <row r="2846" spans="1:10" x14ac:dyDescent="0.2">
      <c r="A2846" s="32"/>
      <c r="B2846" s="42" t="s">
        <v>4430</v>
      </c>
      <c r="C2846" s="43" t="s">
        <v>4364</v>
      </c>
      <c r="D2846" s="44" t="s">
        <v>1862</v>
      </c>
      <c r="E2846" s="45">
        <v>1</v>
      </c>
      <c r="F2846" s="46">
        <v>12.99</v>
      </c>
      <c r="G2846" s="46">
        <f t="shared" si="44"/>
        <v>12.99</v>
      </c>
      <c r="H2846" s="47" t="s">
        <v>24</v>
      </c>
      <c r="I2846" s="47" t="s">
        <v>58</v>
      </c>
      <c r="J2846" s="32"/>
    </row>
    <row r="2847" spans="1:10" x14ac:dyDescent="0.2">
      <c r="A2847" s="32"/>
      <c r="B2847" s="36" t="s">
        <v>4431</v>
      </c>
      <c r="C2847" s="37" t="s">
        <v>4364</v>
      </c>
      <c r="D2847" s="38" t="s">
        <v>3513</v>
      </c>
      <c r="E2847" s="39">
        <v>1</v>
      </c>
      <c r="F2847" s="40">
        <v>22.99</v>
      </c>
      <c r="G2847" s="40">
        <f t="shared" si="44"/>
        <v>22.99</v>
      </c>
      <c r="H2847" s="41" t="s">
        <v>24</v>
      </c>
      <c r="I2847" s="41" t="s">
        <v>58</v>
      </c>
      <c r="J2847" s="32"/>
    </row>
    <row r="2848" spans="1:10" x14ac:dyDescent="0.2">
      <c r="A2848" s="32"/>
      <c r="B2848" s="42" t="s">
        <v>4432</v>
      </c>
      <c r="C2848" s="43" t="s">
        <v>4433</v>
      </c>
      <c r="D2848" s="44" t="s">
        <v>2668</v>
      </c>
      <c r="E2848" s="45">
        <v>1</v>
      </c>
      <c r="F2848" s="46">
        <v>3.99</v>
      </c>
      <c r="G2848" s="46">
        <f t="shared" si="44"/>
        <v>3.99</v>
      </c>
      <c r="H2848" s="47" t="s">
        <v>24</v>
      </c>
      <c r="I2848" s="47" t="s">
        <v>58</v>
      </c>
      <c r="J2848" s="32"/>
    </row>
    <row r="2849" spans="1:10" x14ac:dyDescent="0.2">
      <c r="A2849" s="32"/>
      <c r="B2849" s="36" t="s">
        <v>4434</v>
      </c>
      <c r="C2849" s="37" t="s">
        <v>4433</v>
      </c>
      <c r="D2849" s="38" t="s">
        <v>4435</v>
      </c>
      <c r="E2849" s="39">
        <v>1</v>
      </c>
      <c r="F2849" s="40">
        <v>19.989999999999998</v>
      </c>
      <c r="G2849" s="40">
        <f t="shared" si="44"/>
        <v>19.989999999999998</v>
      </c>
      <c r="H2849" s="41" t="s">
        <v>24</v>
      </c>
      <c r="I2849" s="41" t="s">
        <v>58</v>
      </c>
      <c r="J2849" s="32"/>
    </row>
    <row r="2850" spans="1:10" x14ac:dyDescent="0.2">
      <c r="A2850" s="32"/>
      <c r="B2850" s="42" t="s">
        <v>4436</v>
      </c>
      <c r="C2850" s="43" t="s">
        <v>4433</v>
      </c>
      <c r="D2850" s="44" t="s">
        <v>1961</v>
      </c>
      <c r="E2850" s="45">
        <v>1</v>
      </c>
      <c r="F2850" s="46">
        <v>19.989999999999998</v>
      </c>
      <c r="G2850" s="46">
        <f t="shared" si="44"/>
        <v>19.989999999999998</v>
      </c>
      <c r="H2850" s="47" t="s">
        <v>24</v>
      </c>
      <c r="I2850" s="47" t="s">
        <v>58</v>
      </c>
      <c r="J2850" s="32"/>
    </row>
    <row r="2851" spans="1:10" x14ac:dyDescent="0.2">
      <c r="A2851" s="32"/>
      <c r="B2851" s="36" t="s">
        <v>4437</v>
      </c>
      <c r="C2851" s="37" t="s">
        <v>4433</v>
      </c>
      <c r="D2851" s="38" t="s">
        <v>4435</v>
      </c>
      <c r="E2851" s="39">
        <v>1</v>
      </c>
      <c r="F2851" s="40">
        <v>19.989999999999998</v>
      </c>
      <c r="G2851" s="40">
        <f t="shared" si="44"/>
        <v>19.989999999999998</v>
      </c>
      <c r="H2851" s="41" t="s">
        <v>24</v>
      </c>
      <c r="I2851" s="41" t="s">
        <v>58</v>
      </c>
      <c r="J2851" s="32"/>
    </row>
    <row r="2852" spans="1:10" x14ac:dyDescent="0.2">
      <c r="A2852" s="32"/>
      <c r="B2852" s="42" t="s">
        <v>4438</v>
      </c>
      <c r="C2852" s="43" t="s">
        <v>4433</v>
      </c>
      <c r="D2852" s="44" t="s">
        <v>2925</v>
      </c>
      <c r="E2852" s="45">
        <v>1</v>
      </c>
      <c r="F2852" s="46">
        <v>5.59</v>
      </c>
      <c r="G2852" s="46">
        <f t="shared" si="44"/>
        <v>5.59</v>
      </c>
      <c r="H2852" s="47" t="s">
        <v>24</v>
      </c>
      <c r="I2852" s="47" t="s">
        <v>58</v>
      </c>
      <c r="J2852" s="32"/>
    </row>
    <row r="2853" spans="1:10" x14ac:dyDescent="0.2">
      <c r="A2853" s="32"/>
      <c r="B2853" s="36" t="s">
        <v>4439</v>
      </c>
      <c r="C2853" s="37" t="s">
        <v>4433</v>
      </c>
      <c r="D2853" s="38" t="s">
        <v>3158</v>
      </c>
      <c r="E2853" s="39">
        <v>1</v>
      </c>
      <c r="F2853" s="40">
        <v>2.59</v>
      </c>
      <c r="G2853" s="40">
        <f t="shared" si="44"/>
        <v>2.59</v>
      </c>
      <c r="H2853" s="41" t="s">
        <v>24</v>
      </c>
      <c r="I2853" s="41" t="s">
        <v>58</v>
      </c>
      <c r="J2853" s="32"/>
    </row>
    <row r="2854" spans="1:10" x14ac:dyDescent="0.2">
      <c r="A2854" s="32"/>
      <c r="B2854" s="42" t="s">
        <v>4440</v>
      </c>
      <c r="C2854" s="43" t="s">
        <v>4433</v>
      </c>
      <c r="D2854" s="44" t="s">
        <v>2683</v>
      </c>
      <c r="E2854" s="45">
        <v>1</v>
      </c>
      <c r="F2854" s="46">
        <v>4.99</v>
      </c>
      <c r="G2854" s="46">
        <f t="shared" si="44"/>
        <v>4.99</v>
      </c>
      <c r="H2854" s="47" t="s">
        <v>24</v>
      </c>
      <c r="I2854" s="47" t="s">
        <v>58</v>
      </c>
      <c r="J2854" s="32"/>
    </row>
    <row r="2855" spans="1:10" x14ac:dyDescent="0.2">
      <c r="A2855" s="32"/>
      <c r="B2855" s="36" t="s">
        <v>4441</v>
      </c>
      <c r="C2855" s="37" t="s">
        <v>4433</v>
      </c>
      <c r="D2855" s="38" t="s">
        <v>2570</v>
      </c>
      <c r="E2855" s="39">
        <v>1</v>
      </c>
      <c r="F2855" s="40">
        <v>10.99</v>
      </c>
      <c r="G2855" s="40">
        <f t="shared" si="44"/>
        <v>10.99</v>
      </c>
      <c r="H2855" s="41" t="s">
        <v>24</v>
      </c>
      <c r="I2855" s="41" t="s">
        <v>58</v>
      </c>
      <c r="J2855" s="32"/>
    </row>
    <row r="2856" spans="1:10" x14ac:dyDescent="0.2">
      <c r="A2856" s="32"/>
      <c r="B2856" s="42" t="s">
        <v>4442</v>
      </c>
      <c r="C2856" s="43" t="s">
        <v>4433</v>
      </c>
      <c r="D2856" s="44" t="s">
        <v>1007</v>
      </c>
      <c r="E2856" s="45">
        <v>1</v>
      </c>
      <c r="F2856" s="46">
        <v>3.99</v>
      </c>
      <c r="G2856" s="46">
        <f t="shared" si="44"/>
        <v>3.99</v>
      </c>
      <c r="H2856" s="47" t="s">
        <v>24</v>
      </c>
      <c r="I2856" s="47" t="s">
        <v>58</v>
      </c>
      <c r="J2856" s="32"/>
    </row>
    <row r="2857" spans="1:10" x14ac:dyDescent="0.2">
      <c r="A2857" s="32"/>
      <c r="B2857" s="36" t="s">
        <v>4443</v>
      </c>
      <c r="C2857" s="37" t="s">
        <v>4433</v>
      </c>
      <c r="D2857" s="38" t="s">
        <v>3465</v>
      </c>
      <c r="E2857" s="39">
        <v>1</v>
      </c>
      <c r="F2857" s="40">
        <v>5.99</v>
      </c>
      <c r="G2857" s="40">
        <f t="shared" si="44"/>
        <v>5.99</v>
      </c>
      <c r="H2857" s="41" t="s">
        <v>24</v>
      </c>
      <c r="I2857" s="41" t="s">
        <v>58</v>
      </c>
      <c r="J2857" s="32"/>
    </row>
    <row r="2858" spans="1:10" x14ac:dyDescent="0.2">
      <c r="A2858" s="32"/>
      <c r="B2858" s="42" t="s">
        <v>4444</v>
      </c>
      <c r="C2858" s="43" t="s">
        <v>4433</v>
      </c>
      <c r="D2858" s="44" t="s">
        <v>2685</v>
      </c>
      <c r="E2858" s="45">
        <v>1</v>
      </c>
      <c r="F2858" s="46">
        <v>2.4900000000000002</v>
      </c>
      <c r="G2858" s="46">
        <f t="shared" si="44"/>
        <v>2.4900000000000002</v>
      </c>
      <c r="H2858" s="47" t="s">
        <v>24</v>
      </c>
      <c r="I2858" s="47" t="s">
        <v>58</v>
      </c>
      <c r="J2858" s="32"/>
    </row>
    <row r="2859" spans="1:10" x14ac:dyDescent="0.2">
      <c r="A2859" s="32"/>
      <c r="B2859" s="36" t="s">
        <v>4445</v>
      </c>
      <c r="C2859" s="37" t="s">
        <v>4433</v>
      </c>
      <c r="D2859" s="38" t="s">
        <v>3158</v>
      </c>
      <c r="E2859" s="39">
        <v>1</v>
      </c>
      <c r="F2859" s="40">
        <v>2.59</v>
      </c>
      <c r="G2859" s="40">
        <f t="shared" si="44"/>
        <v>2.59</v>
      </c>
      <c r="H2859" s="41" t="s">
        <v>24</v>
      </c>
      <c r="I2859" s="41" t="s">
        <v>58</v>
      </c>
      <c r="J2859" s="32"/>
    </row>
    <row r="2860" spans="1:10" x14ac:dyDescent="0.2">
      <c r="A2860" s="32"/>
      <c r="B2860" s="42" t="s">
        <v>4446</v>
      </c>
      <c r="C2860" s="43" t="s">
        <v>4433</v>
      </c>
      <c r="D2860" s="44" t="s">
        <v>3472</v>
      </c>
      <c r="E2860" s="45">
        <v>1</v>
      </c>
      <c r="F2860" s="46">
        <v>8.99</v>
      </c>
      <c r="G2860" s="46">
        <f t="shared" si="44"/>
        <v>8.99</v>
      </c>
      <c r="H2860" s="47" t="s">
        <v>24</v>
      </c>
      <c r="I2860" s="47" t="s">
        <v>58</v>
      </c>
      <c r="J2860" s="32"/>
    </row>
    <row r="2861" spans="1:10" x14ac:dyDescent="0.2">
      <c r="A2861" s="32"/>
      <c r="B2861" s="36" t="s">
        <v>4447</v>
      </c>
      <c r="C2861" s="37" t="s">
        <v>4433</v>
      </c>
      <c r="D2861" s="38" t="s">
        <v>95</v>
      </c>
      <c r="E2861" s="39">
        <v>1</v>
      </c>
      <c r="F2861" s="40">
        <v>3.49</v>
      </c>
      <c r="G2861" s="40">
        <f t="shared" si="44"/>
        <v>3.49</v>
      </c>
      <c r="H2861" s="41" t="s">
        <v>24</v>
      </c>
      <c r="I2861" s="41" t="s">
        <v>58</v>
      </c>
      <c r="J2861" s="32"/>
    </row>
    <row r="2862" spans="1:10" x14ac:dyDescent="0.2">
      <c r="A2862" s="32"/>
      <c r="B2862" s="42" t="s">
        <v>4448</v>
      </c>
      <c r="C2862" s="43" t="s">
        <v>4433</v>
      </c>
      <c r="D2862" s="44" t="s">
        <v>365</v>
      </c>
      <c r="E2862" s="45">
        <v>1</v>
      </c>
      <c r="F2862" s="46">
        <v>5.99</v>
      </c>
      <c r="G2862" s="46">
        <f t="shared" si="44"/>
        <v>5.99</v>
      </c>
      <c r="H2862" s="47" t="s">
        <v>24</v>
      </c>
      <c r="I2862" s="47" t="s">
        <v>58</v>
      </c>
      <c r="J2862" s="32"/>
    </row>
    <row r="2863" spans="1:10" x14ac:dyDescent="0.2">
      <c r="A2863" s="32"/>
      <c r="B2863" s="36" t="s">
        <v>4449</v>
      </c>
      <c r="C2863" s="37" t="s">
        <v>4433</v>
      </c>
      <c r="D2863" s="38" t="s">
        <v>1012</v>
      </c>
      <c r="E2863" s="39">
        <v>1</v>
      </c>
      <c r="F2863" s="40">
        <v>5.99</v>
      </c>
      <c r="G2863" s="40">
        <f t="shared" si="44"/>
        <v>5.99</v>
      </c>
      <c r="H2863" s="41" t="s">
        <v>24</v>
      </c>
      <c r="I2863" s="41" t="s">
        <v>58</v>
      </c>
      <c r="J2863" s="32"/>
    </row>
    <row r="2864" spans="1:10" x14ac:dyDescent="0.2">
      <c r="A2864" s="32"/>
      <c r="B2864" s="42" t="s">
        <v>4450</v>
      </c>
      <c r="C2864" s="43" t="s">
        <v>4433</v>
      </c>
      <c r="D2864" s="44" t="s">
        <v>42</v>
      </c>
      <c r="E2864" s="45">
        <v>1</v>
      </c>
      <c r="F2864" s="46">
        <v>9.99</v>
      </c>
      <c r="G2864" s="46">
        <f t="shared" si="44"/>
        <v>9.99</v>
      </c>
      <c r="H2864" s="47" t="s">
        <v>24</v>
      </c>
      <c r="I2864" s="47" t="s">
        <v>58</v>
      </c>
      <c r="J2864" s="32"/>
    </row>
    <row r="2865" spans="1:10" x14ac:dyDescent="0.2">
      <c r="A2865" s="32"/>
      <c r="B2865" s="36" t="s">
        <v>4451</v>
      </c>
      <c r="C2865" s="37" t="s">
        <v>4433</v>
      </c>
      <c r="D2865" s="38" t="s">
        <v>2954</v>
      </c>
      <c r="E2865" s="39">
        <v>1</v>
      </c>
      <c r="F2865" s="40">
        <v>3.39</v>
      </c>
      <c r="G2865" s="40">
        <f t="shared" si="44"/>
        <v>3.39</v>
      </c>
      <c r="H2865" s="41" t="s">
        <v>24</v>
      </c>
      <c r="I2865" s="41" t="s">
        <v>58</v>
      </c>
      <c r="J2865" s="32"/>
    </row>
    <row r="2866" spans="1:10" x14ac:dyDescent="0.2">
      <c r="A2866" s="32"/>
      <c r="B2866" s="42" t="s">
        <v>4452</v>
      </c>
      <c r="C2866" s="43" t="s">
        <v>4433</v>
      </c>
      <c r="D2866" s="44" t="s">
        <v>2954</v>
      </c>
      <c r="E2866" s="45">
        <v>1</v>
      </c>
      <c r="F2866" s="46">
        <v>3.39</v>
      </c>
      <c r="G2866" s="46">
        <f t="shared" si="44"/>
        <v>3.39</v>
      </c>
      <c r="H2866" s="47" t="s">
        <v>24</v>
      </c>
      <c r="I2866" s="47" t="s">
        <v>58</v>
      </c>
      <c r="J2866" s="32"/>
    </row>
    <row r="2867" spans="1:10" x14ac:dyDescent="0.2">
      <c r="A2867" s="32"/>
      <c r="B2867" s="36" t="s">
        <v>4453</v>
      </c>
      <c r="C2867" s="37" t="s">
        <v>4433</v>
      </c>
      <c r="D2867" s="38" t="s">
        <v>2954</v>
      </c>
      <c r="E2867" s="39">
        <v>1</v>
      </c>
      <c r="F2867" s="40">
        <v>3.39</v>
      </c>
      <c r="G2867" s="40">
        <f t="shared" si="44"/>
        <v>3.39</v>
      </c>
      <c r="H2867" s="41" t="s">
        <v>24</v>
      </c>
      <c r="I2867" s="41" t="s">
        <v>58</v>
      </c>
      <c r="J2867" s="32"/>
    </row>
    <row r="2868" spans="1:10" x14ac:dyDescent="0.2">
      <c r="A2868" s="32"/>
      <c r="B2868" s="42" t="s">
        <v>4454</v>
      </c>
      <c r="C2868" s="43" t="s">
        <v>4433</v>
      </c>
      <c r="D2868" s="44" t="s">
        <v>2317</v>
      </c>
      <c r="E2868" s="45">
        <v>1</v>
      </c>
      <c r="F2868" s="46">
        <v>6.99</v>
      </c>
      <c r="G2868" s="46">
        <f t="shared" si="44"/>
        <v>6.99</v>
      </c>
      <c r="H2868" s="47" t="s">
        <v>24</v>
      </c>
      <c r="I2868" s="47" t="s">
        <v>58</v>
      </c>
      <c r="J2868" s="32"/>
    </row>
    <row r="2869" spans="1:10" x14ac:dyDescent="0.2">
      <c r="A2869" s="32"/>
      <c r="B2869" s="36" t="s">
        <v>4455</v>
      </c>
      <c r="C2869" s="37" t="s">
        <v>4433</v>
      </c>
      <c r="D2869" s="38" t="s">
        <v>3535</v>
      </c>
      <c r="E2869" s="39">
        <v>1</v>
      </c>
      <c r="F2869" s="40">
        <v>7.29</v>
      </c>
      <c r="G2869" s="40">
        <f t="shared" si="44"/>
        <v>7.29</v>
      </c>
      <c r="H2869" s="41" t="s">
        <v>24</v>
      </c>
      <c r="I2869" s="41" t="s">
        <v>58</v>
      </c>
      <c r="J2869" s="32"/>
    </row>
    <row r="2870" spans="1:10" x14ac:dyDescent="0.2">
      <c r="A2870" s="32"/>
      <c r="B2870" s="42" t="s">
        <v>4456</v>
      </c>
      <c r="C2870" s="43" t="s">
        <v>4433</v>
      </c>
      <c r="D2870" s="44" t="s">
        <v>2591</v>
      </c>
      <c r="E2870" s="45">
        <v>1</v>
      </c>
      <c r="F2870" s="46">
        <v>6.99</v>
      </c>
      <c r="G2870" s="46">
        <f t="shared" si="44"/>
        <v>6.99</v>
      </c>
      <c r="H2870" s="47" t="s">
        <v>24</v>
      </c>
      <c r="I2870" s="47" t="s">
        <v>58</v>
      </c>
      <c r="J2870" s="32"/>
    </row>
    <row r="2871" spans="1:10" x14ac:dyDescent="0.2">
      <c r="A2871" s="32"/>
      <c r="B2871" s="36" t="s">
        <v>4457</v>
      </c>
      <c r="C2871" s="37" t="s">
        <v>4433</v>
      </c>
      <c r="D2871" s="38" t="s">
        <v>2589</v>
      </c>
      <c r="E2871" s="39">
        <v>1</v>
      </c>
      <c r="F2871" s="40">
        <v>8.2899999999999991</v>
      </c>
      <c r="G2871" s="40">
        <f t="shared" si="44"/>
        <v>8.2899999999999991</v>
      </c>
      <c r="H2871" s="41" t="s">
        <v>24</v>
      </c>
      <c r="I2871" s="41" t="s">
        <v>58</v>
      </c>
      <c r="J2871" s="32"/>
    </row>
    <row r="2872" spans="1:10" x14ac:dyDescent="0.2">
      <c r="A2872" s="32"/>
      <c r="B2872" s="42" t="s">
        <v>4458</v>
      </c>
      <c r="C2872" s="43" t="s">
        <v>4433</v>
      </c>
      <c r="D2872" s="44" t="s">
        <v>1896</v>
      </c>
      <c r="E2872" s="45">
        <v>1</v>
      </c>
      <c r="F2872" s="46">
        <v>4.99</v>
      </c>
      <c r="G2872" s="46">
        <f t="shared" si="44"/>
        <v>4.99</v>
      </c>
      <c r="H2872" s="47" t="s">
        <v>24</v>
      </c>
      <c r="I2872" s="47" t="s">
        <v>58</v>
      </c>
      <c r="J2872" s="32"/>
    </row>
    <row r="2873" spans="1:10" x14ac:dyDescent="0.2">
      <c r="A2873" s="32"/>
      <c r="B2873" s="36" t="s">
        <v>4459</v>
      </c>
      <c r="C2873" s="37" t="s">
        <v>4433</v>
      </c>
      <c r="D2873" s="38" t="s">
        <v>1923</v>
      </c>
      <c r="E2873" s="39">
        <v>1</v>
      </c>
      <c r="F2873" s="40">
        <v>5.19</v>
      </c>
      <c r="G2873" s="40">
        <f t="shared" si="44"/>
        <v>5.19</v>
      </c>
      <c r="H2873" s="41" t="s">
        <v>24</v>
      </c>
      <c r="I2873" s="41" t="s">
        <v>58</v>
      </c>
      <c r="J2873" s="32"/>
    </row>
    <row r="2874" spans="1:10" x14ac:dyDescent="0.2">
      <c r="A2874" s="32"/>
      <c r="B2874" s="42" t="s">
        <v>4460</v>
      </c>
      <c r="C2874" s="43" t="s">
        <v>4433</v>
      </c>
      <c r="D2874" s="44" t="s">
        <v>1368</v>
      </c>
      <c r="E2874" s="45">
        <v>1</v>
      </c>
      <c r="F2874" s="46">
        <v>1.55</v>
      </c>
      <c r="G2874" s="46">
        <f t="shared" si="44"/>
        <v>1.55</v>
      </c>
      <c r="H2874" s="47" t="s">
        <v>24</v>
      </c>
      <c r="I2874" s="47" t="s">
        <v>58</v>
      </c>
      <c r="J2874" s="32"/>
    </row>
    <row r="2875" spans="1:10" x14ac:dyDescent="0.2">
      <c r="A2875" s="32"/>
      <c r="B2875" s="36" t="s">
        <v>4461</v>
      </c>
      <c r="C2875" s="37" t="s">
        <v>4433</v>
      </c>
      <c r="D2875" s="38" t="s">
        <v>2852</v>
      </c>
      <c r="E2875" s="39">
        <v>1</v>
      </c>
      <c r="F2875" s="40">
        <v>14.89</v>
      </c>
      <c r="G2875" s="40">
        <f t="shared" si="44"/>
        <v>14.89</v>
      </c>
      <c r="H2875" s="41" t="s">
        <v>24</v>
      </c>
      <c r="I2875" s="41" t="s">
        <v>58</v>
      </c>
      <c r="J2875" s="32"/>
    </row>
    <row r="2876" spans="1:10" x14ac:dyDescent="0.2">
      <c r="A2876" s="32"/>
      <c r="B2876" s="42" t="s">
        <v>4462</v>
      </c>
      <c r="C2876" s="43" t="s">
        <v>4433</v>
      </c>
      <c r="D2876" s="44" t="s">
        <v>2803</v>
      </c>
      <c r="E2876" s="45">
        <v>1</v>
      </c>
      <c r="F2876" s="46">
        <v>6.29</v>
      </c>
      <c r="G2876" s="46">
        <f t="shared" si="44"/>
        <v>6.29</v>
      </c>
      <c r="H2876" s="47" t="s">
        <v>24</v>
      </c>
      <c r="I2876" s="47" t="s">
        <v>58</v>
      </c>
      <c r="J2876" s="32"/>
    </row>
    <row r="2877" spans="1:10" x14ac:dyDescent="0.2">
      <c r="A2877" s="32"/>
      <c r="B2877" s="36" t="s">
        <v>4463</v>
      </c>
      <c r="C2877" s="37" t="s">
        <v>4433</v>
      </c>
      <c r="D2877" s="38" t="s">
        <v>4464</v>
      </c>
      <c r="E2877" s="39">
        <v>1</v>
      </c>
      <c r="F2877" s="40">
        <v>105.99</v>
      </c>
      <c r="G2877" s="40">
        <f t="shared" si="44"/>
        <v>105.99</v>
      </c>
      <c r="H2877" s="41" t="s">
        <v>24</v>
      </c>
      <c r="I2877" s="41" t="s">
        <v>58</v>
      </c>
      <c r="J2877" s="32"/>
    </row>
    <row r="2878" spans="1:10" x14ac:dyDescent="0.2">
      <c r="A2878" s="32"/>
      <c r="B2878" s="42" t="s">
        <v>4465</v>
      </c>
      <c r="C2878" s="43" t="s">
        <v>4433</v>
      </c>
      <c r="D2878" s="44" t="s">
        <v>2932</v>
      </c>
      <c r="E2878" s="45">
        <v>1</v>
      </c>
      <c r="F2878" s="46">
        <v>6.29</v>
      </c>
      <c r="G2878" s="46">
        <f t="shared" si="44"/>
        <v>6.29</v>
      </c>
      <c r="H2878" s="47" t="s">
        <v>24</v>
      </c>
      <c r="I2878" s="47" t="s">
        <v>58</v>
      </c>
      <c r="J2878" s="32"/>
    </row>
    <row r="2879" spans="1:10" x14ac:dyDescent="0.2">
      <c r="A2879" s="32"/>
      <c r="B2879" s="36" t="s">
        <v>4466</v>
      </c>
      <c r="C2879" s="37" t="s">
        <v>4433</v>
      </c>
      <c r="D2879" s="38" t="s">
        <v>103</v>
      </c>
      <c r="E2879" s="39">
        <v>1</v>
      </c>
      <c r="F2879" s="40">
        <v>32.69</v>
      </c>
      <c r="G2879" s="40">
        <f t="shared" si="44"/>
        <v>32.69</v>
      </c>
      <c r="H2879" s="41" t="s">
        <v>24</v>
      </c>
      <c r="I2879" s="41" t="s">
        <v>58</v>
      </c>
      <c r="J2879" s="32"/>
    </row>
    <row r="2880" spans="1:10" x14ac:dyDescent="0.2">
      <c r="A2880" s="32"/>
      <c r="B2880" s="42" t="s">
        <v>4467</v>
      </c>
      <c r="C2880" s="43" t="s">
        <v>4433</v>
      </c>
      <c r="D2880" s="44" t="s">
        <v>4468</v>
      </c>
      <c r="E2880" s="45">
        <v>1</v>
      </c>
      <c r="F2880" s="46">
        <v>38.99</v>
      </c>
      <c r="G2880" s="46">
        <f t="shared" si="44"/>
        <v>38.99</v>
      </c>
      <c r="H2880" s="47" t="s">
        <v>24</v>
      </c>
      <c r="I2880" s="47" t="s">
        <v>58</v>
      </c>
      <c r="J2880" s="32"/>
    </row>
    <row r="2881" spans="1:10" x14ac:dyDescent="0.2">
      <c r="A2881" s="32"/>
      <c r="B2881" s="36" t="s">
        <v>4469</v>
      </c>
      <c r="C2881" s="37" t="s">
        <v>4433</v>
      </c>
      <c r="D2881" s="38" t="s">
        <v>1680</v>
      </c>
      <c r="E2881" s="39">
        <v>1</v>
      </c>
      <c r="F2881" s="40">
        <v>15.99</v>
      </c>
      <c r="G2881" s="40">
        <f t="shared" si="44"/>
        <v>15.99</v>
      </c>
      <c r="H2881" s="41" t="s">
        <v>24</v>
      </c>
      <c r="I2881" s="41" t="s">
        <v>58</v>
      </c>
      <c r="J2881" s="32"/>
    </row>
    <row r="2882" spans="1:10" x14ac:dyDescent="0.2">
      <c r="A2882" s="32"/>
      <c r="B2882" s="42" t="s">
        <v>4470</v>
      </c>
      <c r="C2882" s="43" t="s">
        <v>4433</v>
      </c>
      <c r="D2882" s="44" t="s">
        <v>4223</v>
      </c>
      <c r="E2882" s="45">
        <v>1</v>
      </c>
      <c r="F2882" s="46">
        <v>6.29</v>
      </c>
      <c r="G2882" s="46">
        <f t="shared" si="44"/>
        <v>6.29</v>
      </c>
      <c r="H2882" s="47" t="s">
        <v>24</v>
      </c>
      <c r="I2882" s="47" t="s">
        <v>58</v>
      </c>
      <c r="J2882" s="32"/>
    </row>
    <row r="2883" spans="1:10" x14ac:dyDescent="0.2">
      <c r="A2883" s="32"/>
      <c r="B2883" s="36" t="s">
        <v>4471</v>
      </c>
      <c r="C2883" s="37" t="s">
        <v>4433</v>
      </c>
      <c r="D2883" s="38" t="s">
        <v>4472</v>
      </c>
      <c r="E2883" s="39">
        <v>1</v>
      </c>
      <c r="F2883" s="40">
        <v>17.79</v>
      </c>
      <c r="G2883" s="40">
        <f t="shared" si="44"/>
        <v>17.79</v>
      </c>
      <c r="H2883" s="41" t="s">
        <v>24</v>
      </c>
      <c r="I2883" s="41" t="s">
        <v>58</v>
      </c>
      <c r="J2883" s="32"/>
    </row>
    <row r="2884" spans="1:10" x14ac:dyDescent="0.2">
      <c r="A2884" s="32"/>
      <c r="B2884" s="42" t="s">
        <v>4473</v>
      </c>
      <c r="C2884" s="43" t="s">
        <v>4433</v>
      </c>
      <c r="D2884" s="44" t="s">
        <v>1831</v>
      </c>
      <c r="E2884" s="45">
        <v>1</v>
      </c>
      <c r="F2884" s="46">
        <v>9.2899999999999991</v>
      </c>
      <c r="G2884" s="46">
        <f t="shared" si="44"/>
        <v>9.2899999999999991</v>
      </c>
      <c r="H2884" s="47" t="s">
        <v>24</v>
      </c>
      <c r="I2884" s="47" t="s">
        <v>58</v>
      </c>
      <c r="J2884" s="32"/>
    </row>
    <row r="2885" spans="1:10" x14ac:dyDescent="0.2">
      <c r="A2885" s="32"/>
      <c r="B2885" s="36" t="s">
        <v>4474</v>
      </c>
      <c r="C2885" s="37" t="s">
        <v>4433</v>
      </c>
      <c r="D2885" s="38" t="s">
        <v>4317</v>
      </c>
      <c r="E2885" s="39">
        <v>1</v>
      </c>
      <c r="F2885" s="40">
        <v>21.99</v>
      </c>
      <c r="G2885" s="40">
        <f t="shared" ref="G2885:G2948" si="45">E2885*F2885</f>
        <v>21.99</v>
      </c>
      <c r="H2885" s="41" t="s">
        <v>24</v>
      </c>
      <c r="I2885" s="41" t="s">
        <v>58</v>
      </c>
      <c r="J2885" s="32"/>
    </row>
    <row r="2886" spans="1:10" x14ac:dyDescent="0.2">
      <c r="A2886" s="32"/>
      <c r="B2886" s="42" t="s">
        <v>4475</v>
      </c>
      <c r="C2886" s="43" t="s">
        <v>4433</v>
      </c>
      <c r="D2886" s="44" t="s">
        <v>4476</v>
      </c>
      <c r="E2886" s="45">
        <v>1</v>
      </c>
      <c r="F2886" s="46">
        <v>17.989999999999998</v>
      </c>
      <c r="G2886" s="46">
        <f t="shared" si="45"/>
        <v>17.989999999999998</v>
      </c>
      <c r="H2886" s="47" t="s">
        <v>24</v>
      </c>
      <c r="I2886" s="47" t="s">
        <v>58</v>
      </c>
      <c r="J2886" s="32"/>
    </row>
    <row r="2887" spans="1:10" x14ac:dyDescent="0.2">
      <c r="A2887" s="32"/>
      <c r="B2887" s="36" t="s">
        <v>4477</v>
      </c>
      <c r="C2887" s="37" t="s">
        <v>4433</v>
      </c>
      <c r="D2887" s="38" t="s">
        <v>4476</v>
      </c>
      <c r="E2887" s="39">
        <v>1</v>
      </c>
      <c r="F2887" s="40">
        <v>17.989999999999998</v>
      </c>
      <c r="G2887" s="40">
        <f t="shared" si="45"/>
        <v>17.989999999999998</v>
      </c>
      <c r="H2887" s="41" t="s">
        <v>24</v>
      </c>
      <c r="I2887" s="41" t="s">
        <v>58</v>
      </c>
      <c r="J2887" s="32"/>
    </row>
    <row r="2888" spans="1:10" x14ac:dyDescent="0.2">
      <c r="A2888" s="32"/>
      <c r="B2888" s="42" t="s">
        <v>4478</v>
      </c>
      <c r="C2888" s="43" t="s">
        <v>4433</v>
      </c>
      <c r="D2888" s="44" t="s">
        <v>4317</v>
      </c>
      <c r="E2888" s="45">
        <v>1</v>
      </c>
      <c r="F2888" s="46">
        <v>21.99</v>
      </c>
      <c r="G2888" s="46">
        <f t="shared" si="45"/>
        <v>21.99</v>
      </c>
      <c r="H2888" s="47" t="s">
        <v>24</v>
      </c>
      <c r="I2888" s="47" t="s">
        <v>58</v>
      </c>
      <c r="J2888" s="32"/>
    </row>
    <row r="2889" spans="1:10" x14ac:dyDescent="0.2">
      <c r="A2889" s="32"/>
      <c r="B2889" s="36" t="s">
        <v>4479</v>
      </c>
      <c r="C2889" s="37" t="s">
        <v>4433</v>
      </c>
      <c r="D2889" s="38" t="s">
        <v>3788</v>
      </c>
      <c r="E2889" s="39">
        <v>1</v>
      </c>
      <c r="F2889" s="40">
        <v>15.99</v>
      </c>
      <c r="G2889" s="40">
        <f t="shared" si="45"/>
        <v>15.99</v>
      </c>
      <c r="H2889" s="41" t="s">
        <v>24</v>
      </c>
      <c r="I2889" s="41" t="s">
        <v>58</v>
      </c>
      <c r="J2889" s="32"/>
    </row>
    <row r="2890" spans="1:10" x14ac:dyDescent="0.2">
      <c r="A2890" s="32"/>
      <c r="B2890" s="42" t="s">
        <v>4480</v>
      </c>
      <c r="C2890" s="43" t="s">
        <v>4433</v>
      </c>
      <c r="D2890" s="44" t="s">
        <v>3786</v>
      </c>
      <c r="E2890" s="45">
        <v>1</v>
      </c>
      <c r="F2890" s="46">
        <v>15.99</v>
      </c>
      <c r="G2890" s="46">
        <f t="shared" si="45"/>
        <v>15.99</v>
      </c>
      <c r="H2890" s="47" t="s">
        <v>24</v>
      </c>
      <c r="I2890" s="47" t="s">
        <v>58</v>
      </c>
      <c r="J2890" s="32"/>
    </row>
    <row r="2891" spans="1:10" x14ac:dyDescent="0.2">
      <c r="A2891" s="32"/>
      <c r="B2891" s="36" t="s">
        <v>4481</v>
      </c>
      <c r="C2891" s="37" t="s">
        <v>4433</v>
      </c>
      <c r="D2891" s="38" t="s">
        <v>3788</v>
      </c>
      <c r="E2891" s="39">
        <v>1</v>
      </c>
      <c r="F2891" s="40">
        <v>15.99</v>
      </c>
      <c r="G2891" s="40">
        <f t="shared" si="45"/>
        <v>15.99</v>
      </c>
      <c r="H2891" s="41" t="s">
        <v>24</v>
      </c>
      <c r="I2891" s="41" t="s">
        <v>58</v>
      </c>
      <c r="J2891" s="32"/>
    </row>
    <row r="2892" spans="1:10" x14ac:dyDescent="0.2">
      <c r="A2892" s="32"/>
      <c r="B2892" s="42" t="s">
        <v>4482</v>
      </c>
      <c r="C2892" s="43" t="s">
        <v>4433</v>
      </c>
      <c r="D2892" s="44" t="s">
        <v>4252</v>
      </c>
      <c r="E2892" s="45">
        <v>1</v>
      </c>
      <c r="F2892" s="46">
        <v>15.99</v>
      </c>
      <c r="G2892" s="46">
        <f t="shared" si="45"/>
        <v>15.99</v>
      </c>
      <c r="H2892" s="47" t="s">
        <v>24</v>
      </c>
      <c r="I2892" s="47" t="s">
        <v>58</v>
      </c>
      <c r="J2892" s="32"/>
    </row>
    <row r="2893" spans="1:10" x14ac:dyDescent="0.2">
      <c r="A2893" s="32"/>
      <c r="B2893" s="36" t="s">
        <v>4483</v>
      </c>
      <c r="C2893" s="37" t="s">
        <v>4433</v>
      </c>
      <c r="D2893" s="38" t="s">
        <v>4484</v>
      </c>
      <c r="E2893" s="39">
        <v>1</v>
      </c>
      <c r="F2893" s="40">
        <v>27.99</v>
      </c>
      <c r="G2893" s="40">
        <f t="shared" si="45"/>
        <v>27.99</v>
      </c>
      <c r="H2893" s="41" t="s">
        <v>24</v>
      </c>
      <c r="I2893" s="41" t="s">
        <v>58</v>
      </c>
      <c r="J2893" s="32"/>
    </row>
    <row r="2894" spans="1:10" x14ac:dyDescent="0.2">
      <c r="A2894" s="32"/>
      <c r="B2894" s="42" t="s">
        <v>4485</v>
      </c>
      <c r="C2894" s="43" t="s">
        <v>4433</v>
      </c>
      <c r="D2894" s="44" t="s">
        <v>4005</v>
      </c>
      <c r="E2894" s="45">
        <v>1</v>
      </c>
      <c r="F2894" s="46">
        <v>4.99</v>
      </c>
      <c r="G2894" s="46">
        <f t="shared" si="45"/>
        <v>4.99</v>
      </c>
      <c r="H2894" s="47" t="s">
        <v>24</v>
      </c>
      <c r="I2894" s="47" t="s">
        <v>58</v>
      </c>
      <c r="J2894" s="32"/>
    </row>
    <row r="2895" spans="1:10" x14ac:dyDescent="0.2">
      <c r="A2895" s="32"/>
      <c r="B2895" s="36" t="s">
        <v>4486</v>
      </c>
      <c r="C2895" s="37" t="s">
        <v>4433</v>
      </c>
      <c r="D2895" s="38" t="s">
        <v>3882</v>
      </c>
      <c r="E2895" s="39">
        <v>1</v>
      </c>
      <c r="F2895" s="40">
        <v>4.29</v>
      </c>
      <c r="G2895" s="40">
        <f t="shared" si="45"/>
        <v>4.29</v>
      </c>
      <c r="H2895" s="41" t="s">
        <v>24</v>
      </c>
      <c r="I2895" s="41" t="s">
        <v>58</v>
      </c>
      <c r="J2895" s="32"/>
    </row>
    <row r="2896" spans="1:10" x14ac:dyDescent="0.2">
      <c r="A2896" s="32"/>
      <c r="B2896" s="42" t="s">
        <v>4487</v>
      </c>
      <c r="C2896" s="43" t="s">
        <v>4433</v>
      </c>
      <c r="D2896" s="44" t="s">
        <v>4299</v>
      </c>
      <c r="E2896" s="45">
        <v>1</v>
      </c>
      <c r="F2896" s="46">
        <v>4.3899999999999997</v>
      </c>
      <c r="G2896" s="46">
        <f t="shared" si="45"/>
        <v>4.3899999999999997</v>
      </c>
      <c r="H2896" s="47" t="s">
        <v>24</v>
      </c>
      <c r="I2896" s="47" t="s">
        <v>58</v>
      </c>
      <c r="J2896" s="32"/>
    </row>
    <row r="2897" spans="1:10" x14ac:dyDescent="0.2">
      <c r="A2897" s="32"/>
      <c r="B2897" s="36" t="s">
        <v>4488</v>
      </c>
      <c r="C2897" s="37" t="s">
        <v>4433</v>
      </c>
      <c r="D2897" s="38" t="s">
        <v>3586</v>
      </c>
      <c r="E2897" s="39">
        <v>1</v>
      </c>
      <c r="F2897" s="40">
        <v>10.39</v>
      </c>
      <c r="G2897" s="40">
        <f t="shared" si="45"/>
        <v>10.39</v>
      </c>
      <c r="H2897" s="41" t="s">
        <v>24</v>
      </c>
      <c r="I2897" s="41" t="s">
        <v>58</v>
      </c>
      <c r="J2897" s="32"/>
    </row>
    <row r="2898" spans="1:10" x14ac:dyDescent="0.2">
      <c r="A2898" s="32"/>
      <c r="B2898" s="42" t="s">
        <v>4489</v>
      </c>
      <c r="C2898" s="43" t="s">
        <v>4433</v>
      </c>
      <c r="D2898" s="44" t="s">
        <v>1712</v>
      </c>
      <c r="E2898" s="45">
        <v>1</v>
      </c>
      <c r="F2898" s="46">
        <v>14.99</v>
      </c>
      <c r="G2898" s="46">
        <f t="shared" si="45"/>
        <v>14.99</v>
      </c>
      <c r="H2898" s="47" t="s">
        <v>25</v>
      </c>
      <c r="I2898" s="47" t="s">
        <v>58</v>
      </c>
      <c r="J2898" s="32"/>
    </row>
    <row r="2899" spans="1:10" x14ac:dyDescent="0.2">
      <c r="A2899" s="32"/>
      <c r="B2899" s="36" t="s">
        <v>4490</v>
      </c>
      <c r="C2899" s="37" t="s">
        <v>4433</v>
      </c>
      <c r="D2899" s="38" t="s">
        <v>4114</v>
      </c>
      <c r="E2899" s="39">
        <v>1</v>
      </c>
      <c r="F2899" s="40">
        <v>11.99</v>
      </c>
      <c r="G2899" s="40">
        <f t="shared" si="45"/>
        <v>11.99</v>
      </c>
      <c r="H2899" s="41" t="s">
        <v>24</v>
      </c>
      <c r="I2899" s="41" t="s">
        <v>58</v>
      </c>
      <c r="J2899" s="32"/>
    </row>
    <row r="2900" spans="1:10" x14ac:dyDescent="0.2">
      <c r="A2900" s="32"/>
      <c r="B2900" s="42" t="s">
        <v>4491</v>
      </c>
      <c r="C2900" s="43" t="s">
        <v>4433</v>
      </c>
      <c r="D2900" s="44" t="s">
        <v>4114</v>
      </c>
      <c r="E2900" s="45">
        <v>1</v>
      </c>
      <c r="F2900" s="46">
        <v>11.99</v>
      </c>
      <c r="G2900" s="46">
        <f t="shared" si="45"/>
        <v>11.99</v>
      </c>
      <c r="H2900" s="47" t="s">
        <v>24</v>
      </c>
      <c r="I2900" s="47" t="s">
        <v>58</v>
      </c>
      <c r="J2900" s="32"/>
    </row>
    <row r="2901" spans="1:10" x14ac:dyDescent="0.2">
      <c r="A2901" s="32"/>
      <c r="B2901" s="36" t="s">
        <v>4492</v>
      </c>
      <c r="C2901" s="37" t="s">
        <v>4433</v>
      </c>
      <c r="D2901" s="38" t="s">
        <v>834</v>
      </c>
      <c r="E2901" s="39">
        <v>1</v>
      </c>
      <c r="F2901" s="40">
        <v>4.9800000000000004</v>
      </c>
      <c r="G2901" s="40">
        <f t="shared" si="45"/>
        <v>4.9800000000000004</v>
      </c>
      <c r="H2901" s="41" t="s">
        <v>25</v>
      </c>
      <c r="I2901" s="41" t="s">
        <v>58</v>
      </c>
      <c r="J2901" s="32"/>
    </row>
    <row r="2902" spans="1:10" x14ac:dyDescent="0.2">
      <c r="A2902" s="32"/>
      <c r="B2902" s="42" t="s">
        <v>4493</v>
      </c>
      <c r="C2902" s="43" t="s">
        <v>4433</v>
      </c>
      <c r="D2902" s="44" t="s">
        <v>172</v>
      </c>
      <c r="E2902" s="45">
        <v>1</v>
      </c>
      <c r="F2902" s="46">
        <v>7.29</v>
      </c>
      <c r="G2902" s="46">
        <f t="shared" si="45"/>
        <v>7.29</v>
      </c>
      <c r="H2902" s="47" t="s">
        <v>24</v>
      </c>
      <c r="I2902" s="47" t="s">
        <v>58</v>
      </c>
      <c r="J2902" s="32"/>
    </row>
    <row r="2903" spans="1:10" x14ac:dyDescent="0.2">
      <c r="A2903" s="32"/>
      <c r="B2903" s="36" t="s">
        <v>4494</v>
      </c>
      <c r="C2903" s="37" t="s">
        <v>4433</v>
      </c>
      <c r="D2903" s="38" t="s">
        <v>4495</v>
      </c>
      <c r="E2903" s="39">
        <v>1</v>
      </c>
      <c r="F2903" s="40">
        <v>10.99</v>
      </c>
      <c r="G2903" s="40">
        <f t="shared" si="45"/>
        <v>10.99</v>
      </c>
      <c r="H2903" s="41" t="s">
        <v>25</v>
      </c>
      <c r="I2903" s="41" t="s">
        <v>58</v>
      </c>
      <c r="J2903" s="32"/>
    </row>
    <row r="2904" spans="1:10" x14ac:dyDescent="0.2">
      <c r="A2904" s="32"/>
      <c r="B2904" s="42" t="s">
        <v>4496</v>
      </c>
      <c r="C2904" s="43" t="s">
        <v>4433</v>
      </c>
      <c r="D2904" s="44" t="s">
        <v>3586</v>
      </c>
      <c r="E2904" s="45">
        <v>1</v>
      </c>
      <c r="F2904" s="46">
        <v>10.39</v>
      </c>
      <c r="G2904" s="46">
        <f t="shared" si="45"/>
        <v>10.39</v>
      </c>
      <c r="H2904" s="47" t="s">
        <v>24</v>
      </c>
      <c r="I2904" s="47" t="s">
        <v>58</v>
      </c>
      <c r="J2904" s="32"/>
    </row>
    <row r="2905" spans="1:10" x14ac:dyDescent="0.2">
      <c r="A2905" s="32"/>
      <c r="B2905" s="36" t="s">
        <v>4497</v>
      </c>
      <c r="C2905" s="37" t="s">
        <v>4433</v>
      </c>
      <c r="D2905" s="38" t="s">
        <v>40</v>
      </c>
      <c r="E2905" s="39">
        <v>1</v>
      </c>
      <c r="F2905" s="40">
        <v>14.99</v>
      </c>
      <c r="G2905" s="40">
        <f t="shared" si="45"/>
        <v>14.99</v>
      </c>
      <c r="H2905" s="41" t="s">
        <v>25</v>
      </c>
      <c r="I2905" s="41" t="s">
        <v>58</v>
      </c>
      <c r="J2905" s="32"/>
    </row>
    <row r="2906" spans="1:10" x14ac:dyDescent="0.2">
      <c r="A2906" s="32"/>
      <c r="B2906" s="42" t="s">
        <v>4498</v>
      </c>
      <c r="C2906" s="43" t="s">
        <v>4433</v>
      </c>
      <c r="D2906" s="44" t="s">
        <v>834</v>
      </c>
      <c r="E2906" s="45">
        <v>1</v>
      </c>
      <c r="F2906" s="46">
        <v>4.9800000000000004</v>
      </c>
      <c r="G2906" s="46">
        <f t="shared" si="45"/>
        <v>4.9800000000000004</v>
      </c>
      <c r="H2906" s="47" t="s">
        <v>25</v>
      </c>
      <c r="I2906" s="47" t="s">
        <v>58</v>
      </c>
      <c r="J2906" s="32"/>
    </row>
    <row r="2907" spans="1:10" x14ac:dyDescent="0.2">
      <c r="A2907" s="32"/>
      <c r="B2907" s="36" t="s">
        <v>4499</v>
      </c>
      <c r="C2907" s="37" t="s">
        <v>4433</v>
      </c>
      <c r="D2907" s="38" t="s">
        <v>834</v>
      </c>
      <c r="E2907" s="39">
        <v>1</v>
      </c>
      <c r="F2907" s="40">
        <v>4.9800000000000004</v>
      </c>
      <c r="G2907" s="40">
        <f t="shared" si="45"/>
        <v>4.9800000000000004</v>
      </c>
      <c r="H2907" s="41" t="s">
        <v>25</v>
      </c>
      <c r="I2907" s="41" t="s">
        <v>58</v>
      </c>
      <c r="J2907" s="32"/>
    </row>
    <row r="2908" spans="1:10" x14ac:dyDescent="0.2">
      <c r="A2908" s="32"/>
      <c r="B2908" s="42" t="s">
        <v>4500</v>
      </c>
      <c r="C2908" s="43" t="s">
        <v>4433</v>
      </c>
      <c r="D2908" s="44" t="s">
        <v>4501</v>
      </c>
      <c r="E2908" s="45">
        <v>1</v>
      </c>
      <c r="F2908" s="46">
        <v>5.59</v>
      </c>
      <c r="G2908" s="46">
        <f t="shared" si="45"/>
        <v>5.59</v>
      </c>
      <c r="H2908" s="47" t="s">
        <v>28</v>
      </c>
      <c r="I2908" s="47" t="s">
        <v>58</v>
      </c>
      <c r="J2908" s="32"/>
    </row>
    <row r="2909" spans="1:10" x14ac:dyDescent="0.2">
      <c r="A2909" s="32"/>
      <c r="B2909" s="36" t="s">
        <v>4502</v>
      </c>
      <c r="C2909" s="37" t="s">
        <v>4433</v>
      </c>
      <c r="D2909" s="38" t="s">
        <v>4501</v>
      </c>
      <c r="E2909" s="39">
        <v>1</v>
      </c>
      <c r="F2909" s="40">
        <v>5.59</v>
      </c>
      <c r="G2909" s="40">
        <f t="shared" si="45"/>
        <v>5.59</v>
      </c>
      <c r="H2909" s="41" t="s">
        <v>28</v>
      </c>
      <c r="I2909" s="41" t="s">
        <v>58</v>
      </c>
      <c r="J2909" s="32"/>
    </row>
    <row r="2910" spans="1:10" x14ac:dyDescent="0.2">
      <c r="A2910" s="32"/>
      <c r="B2910" s="42" t="s">
        <v>4503</v>
      </c>
      <c r="C2910" s="43" t="s">
        <v>4433</v>
      </c>
      <c r="D2910" s="44" t="s">
        <v>1387</v>
      </c>
      <c r="E2910" s="45">
        <v>1</v>
      </c>
      <c r="F2910" s="46">
        <v>33.99</v>
      </c>
      <c r="G2910" s="46">
        <f t="shared" si="45"/>
        <v>33.99</v>
      </c>
      <c r="H2910" s="47" t="s">
        <v>24</v>
      </c>
      <c r="I2910" s="47" t="s">
        <v>58</v>
      </c>
      <c r="J2910" s="32"/>
    </row>
    <row r="2911" spans="1:10" x14ac:dyDescent="0.2">
      <c r="A2911" s="32"/>
      <c r="B2911" s="36" t="s">
        <v>4504</v>
      </c>
      <c r="C2911" s="37" t="s">
        <v>4433</v>
      </c>
      <c r="D2911" s="38" t="s">
        <v>1862</v>
      </c>
      <c r="E2911" s="39">
        <v>1</v>
      </c>
      <c r="F2911" s="40">
        <v>12.99</v>
      </c>
      <c r="G2911" s="40">
        <f t="shared" si="45"/>
        <v>12.99</v>
      </c>
      <c r="H2911" s="41" t="s">
        <v>24</v>
      </c>
      <c r="I2911" s="41" t="s">
        <v>58</v>
      </c>
      <c r="J2911" s="32"/>
    </row>
    <row r="2912" spans="1:10" x14ac:dyDescent="0.2">
      <c r="A2912" s="32"/>
      <c r="B2912" s="42" t="s">
        <v>4505</v>
      </c>
      <c r="C2912" s="43" t="s">
        <v>4433</v>
      </c>
      <c r="D2912" s="44" t="s">
        <v>3513</v>
      </c>
      <c r="E2912" s="45">
        <v>1</v>
      </c>
      <c r="F2912" s="46">
        <v>22.99</v>
      </c>
      <c r="G2912" s="46">
        <f t="shared" si="45"/>
        <v>22.99</v>
      </c>
      <c r="H2912" s="47" t="s">
        <v>24</v>
      </c>
      <c r="I2912" s="47" t="s">
        <v>58</v>
      </c>
      <c r="J2912" s="32"/>
    </row>
    <row r="2913" spans="1:10" x14ac:dyDescent="0.2">
      <c r="A2913" s="32"/>
      <c r="B2913" s="36" t="s">
        <v>4506</v>
      </c>
      <c r="C2913" s="37" t="s">
        <v>4507</v>
      </c>
      <c r="D2913" s="38" t="s">
        <v>3887</v>
      </c>
      <c r="E2913" s="39">
        <v>1</v>
      </c>
      <c r="F2913" s="40">
        <v>4.29</v>
      </c>
      <c r="G2913" s="40">
        <f t="shared" si="45"/>
        <v>4.29</v>
      </c>
      <c r="H2913" s="41" t="s">
        <v>24</v>
      </c>
      <c r="I2913" s="41" t="s">
        <v>58</v>
      </c>
      <c r="J2913" s="32"/>
    </row>
    <row r="2914" spans="1:10" x14ac:dyDescent="0.2">
      <c r="A2914" s="32"/>
      <c r="B2914" s="42" t="s">
        <v>4508</v>
      </c>
      <c r="C2914" s="43" t="s">
        <v>4507</v>
      </c>
      <c r="D2914" s="44" t="s">
        <v>4299</v>
      </c>
      <c r="E2914" s="45">
        <v>1</v>
      </c>
      <c r="F2914" s="46">
        <v>4.3899999999999997</v>
      </c>
      <c r="G2914" s="46">
        <f t="shared" si="45"/>
        <v>4.3899999999999997</v>
      </c>
      <c r="H2914" s="47" t="s">
        <v>24</v>
      </c>
      <c r="I2914" s="47" t="s">
        <v>58</v>
      </c>
      <c r="J2914" s="32"/>
    </row>
    <row r="2915" spans="1:10" x14ac:dyDescent="0.2">
      <c r="A2915" s="32"/>
      <c r="B2915" s="36" t="s">
        <v>4509</v>
      </c>
      <c r="C2915" s="37" t="s">
        <v>4507</v>
      </c>
      <c r="D2915" s="38" t="s">
        <v>3887</v>
      </c>
      <c r="E2915" s="39">
        <v>1</v>
      </c>
      <c r="F2915" s="40">
        <v>4.29</v>
      </c>
      <c r="G2915" s="40">
        <f t="shared" si="45"/>
        <v>4.29</v>
      </c>
      <c r="H2915" s="41" t="s">
        <v>24</v>
      </c>
      <c r="I2915" s="41" t="s">
        <v>58</v>
      </c>
      <c r="J2915" s="32"/>
    </row>
    <row r="2916" spans="1:10" x14ac:dyDescent="0.2">
      <c r="A2916" s="32"/>
      <c r="B2916" s="42" t="s">
        <v>4510</v>
      </c>
      <c r="C2916" s="43" t="s">
        <v>4507</v>
      </c>
      <c r="D2916" s="44" t="s">
        <v>3887</v>
      </c>
      <c r="E2916" s="45">
        <v>1</v>
      </c>
      <c r="F2916" s="46">
        <v>4.29</v>
      </c>
      <c r="G2916" s="46">
        <f t="shared" si="45"/>
        <v>4.29</v>
      </c>
      <c r="H2916" s="47" t="s">
        <v>24</v>
      </c>
      <c r="I2916" s="47" t="s">
        <v>58</v>
      </c>
      <c r="J2916" s="32"/>
    </row>
    <row r="2917" spans="1:10" x14ac:dyDescent="0.2">
      <c r="A2917" s="32"/>
      <c r="B2917" s="36" t="s">
        <v>4511</v>
      </c>
      <c r="C2917" s="37" t="s">
        <v>4507</v>
      </c>
      <c r="D2917" s="38" t="s">
        <v>4299</v>
      </c>
      <c r="E2917" s="39">
        <v>1</v>
      </c>
      <c r="F2917" s="40">
        <v>4.3899999999999997</v>
      </c>
      <c r="G2917" s="40">
        <f t="shared" si="45"/>
        <v>4.3899999999999997</v>
      </c>
      <c r="H2917" s="41" t="s">
        <v>24</v>
      </c>
      <c r="I2917" s="41" t="s">
        <v>58</v>
      </c>
      <c r="J2917" s="32"/>
    </row>
    <row r="2918" spans="1:10" x14ac:dyDescent="0.2">
      <c r="A2918" s="32"/>
      <c r="B2918" s="42" t="s">
        <v>4512</v>
      </c>
      <c r="C2918" s="43" t="s">
        <v>4507</v>
      </c>
      <c r="D2918" s="44" t="s">
        <v>4299</v>
      </c>
      <c r="E2918" s="45">
        <v>1</v>
      </c>
      <c r="F2918" s="46">
        <v>4.3899999999999997</v>
      </c>
      <c r="G2918" s="46">
        <f t="shared" si="45"/>
        <v>4.3899999999999997</v>
      </c>
      <c r="H2918" s="47" t="s">
        <v>24</v>
      </c>
      <c r="I2918" s="47" t="s">
        <v>58</v>
      </c>
      <c r="J2918" s="32"/>
    </row>
    <row r="2919" spans="1:10" x14ac:dyDescent="0.2">
      <c r="A2919" s="32"/>
      <c r="B2919" s="36" t="s">
        <v>4513</v>
      </c>
      <c r="C2919" s="37" t="s">
        <v>4507</v>
      </c>
      <c r="D2919" s="38" t="s">
        <v>4514</v>
      </c>
      <c r="E2919" s="39">
        <v>1</v>
      </c>
      <c r="F2919" s="40">
        <v>5.99</v>
      </c>
      <c r="G2919" s="40">
        <f t="shared" si="45"/>
        <v>5.99</v>
      </c>
      <c r="H2919" s="41" t="s">
        <v>24</v>
      </c>
      <c r="I2919" s="41" t="s">
        <v>58</v>
      </c>
      <c r="J2919" s="32"/>
    </row>
    <row r="2920" spans="1:10" x14ac:dyDescent="0.2">
      <c r="A2920" s="32"/>
      <c r="B2920" s="42" t="s">
        <v>4515</v>
      </c>
      <c r="C2920" s="43" t="s">
        <v>4507</v>
      </c>
      <c r="D2920" s="44" t="s">
        <v>2589</v>
      </c>
      <c r="E2920" s="45">
        <v>1</v>
      </c>
      <c r="F2920" s="46">
        <v>8.2899999999999991</v>
      </c>
      <c r="G2920" s="46">
        <f t="shared" si="45"/>
        <v>8.2899999999999991</v>
      </c>
      <c r="H2920" s="47" t="s">
        <v>24</v>
      </c>
      <c r="I2920" s="47" t="s">
        <v>58</v>
      </c>
      <c r="J2920" s="32"/>
    </row>
    <row r="2921" spans="1:10" x14ac:dyDescent="0.2">
      <c r="A2921" s="32"/>
      <c r="B2921" s="36" t="s">
        <v>4516</v>
      </c>
      <c r="C2921" s="37" t="s">
        <v>4507</v>
      </c>
      <c r="D2921" s="38" t="s">
        <v>2589</v>
      </c>
      <c r="E2921" s="39">
        <v>1</v>
      </c>
      <c r="F2921" s="40">
        <v>8.2899999999999991</v>
      </c>
      <c r="G2921" s="40">
        <f t="shared" si="45"/>
        <v>8.2899999999999991</v>
      </c>
      <c r="H2921" s="41" t="s">
        <v>24</v>
      </c>
      <c r="I2921" s="41" t="s">
        <v>58</v>
      </c>
      <c r="J2921" s="32"/>
    </row>
    <row r="2922" spans="1:10" x14ac:dyDescent="0.2">
      <c r="A2922" s="32"/>
      <c r="B2922" s="42" t="s">
        <v>4517</v>
      </c>
      <c r="C2922" s="43" t="s">
        <v>4507</v>
      </c>
      <c r="D2922" s="44" t="s">
        <v>2499</v>
      </c>
      <c r="E2922" s="45">
        <v>1</v>
      </c>
      <c r="F2922" s="46">
        <v>29.9</v>
      </c>
      <c r="G2922" s="46">
        <f t="shared" si="45"/>
        <v>29.9</v>
      </c>
      <c r="H2922" s="47" t="s">
        <v>24</v>
      </c>
      <c r="I2922" s="47" t="s">
        <v>58</v>
      </c>
      <c r="J2922" s="32"/>
    </row>
    <row r="2923" spans="1:10" x14ac:dyDescent="0.2">
      <c r="A2923" s="32"/>
      <c r="B2923" s="36" t="s">
        <v>4518</v>
      </c>
      <c r="C2923" s="37" t="s">
        <v>4507</v>
      </c>
      <c r="D2923" s="38" t="s">
        <v>4519</v>
      </c>
      <c r="E2923" s="39">
        <v>1</v>
      </c>
      <c r="F2923" s="40">
        <v>1.69</v>
      </c>
      <c r="G2923" s="40">
        <f t="shared" si="45"/>
        <v>1.69</v>
      </c>
      <c r="H2923" s="41" t="s">
        <v>24</v>
      </c>
      <c r="I2923" s="41" t="s">
        <v>58</v>
      </c>
      <c r="J2923" s="32"/>
    </row>
    <row r="2924" spans="1:10" x14ac:dyDescent="0.2">
      <c r="A2924" s="32"/>
      <c r="B2924" s="42" t="s">
        <v>4520</v>
      </c>
      <c r="C2924" s="43" t="s">
        <v>4507</v>
      </c>
      <c r="D2924" s="44" t="s">
        <v>1368</v>
      </c>
      <c r="E2924" s="45">
        <v>1</v>
      </c>
      <c r="F2924" s="46">
        <v>1.55</v>
      </c>
      <c r="G2924" s="46">
        <f t="shared" si="45"/>
        <v>1.55</v>
      </c>
      <c r="H2924" s="47" t="s">
        <v>24</v>
      </c>
      <c r="I2924" s="47" t="s">
        <v>58</v>
      </c>
      <c r="J2924" s="32"/>
    </row>
    <row r="2925" spans="1:10" x14ac:dyDescent="0.2">
      <c r="A2925" s="32"/>
      <c r="B2925" s="36" t="s">
        <v>4521</v>
      </c>
      <c r="C2925" s="37" t="s">
        <v>4507</v>
      </c>
      <c r="D2925" s="38" t="s">
        <v>4164</v>
      </c>
      <c r="E2925" s="39">
        <v>1</v>
      </c>
      <c r="F2925" s="40">
        <v>35.9</v>
      </c>
      <c r="G2925" s="40">
        <f t="shared" si="45"/>
        <v>35.9</v>
      </c>
      <c r="H2925" s="41" t="s">
        <v>24</v>
      </c>
      <c r="I2925" s="41" t="s">
        <v>58</v>
      </c>
      <c r="J2925" s="32"/>
    </row>
    <row r="2926" spans="1:10" x14ac:dyDescent="0.2">
      <c r="A2926" s="32"/>
      <c r="B2926" s="42" t="s">
        <v>4522</v>
      </c>
      <c r="C2926" s="43" t="s">
        <v>4507</v>
      </c>
      <c r="D2926" s="44" t="s">
        <v>2871</v>
      </c>
      <c r="E2926" s="45">
        <v>1</v>
      </c>
      <c r="F2926" s="46">
        <v>9.59</v>
      </c>
      <c r="G2926" s="46">
        <f t="shared" si="45"/>
        <v>9.59</v>
      </c>
      <c r="H2926" s="47" t="s">
        <v>24</v>
      </c>
      <c r="I2926" s="47" t="s">
        <v>58</v>
      </c>
      <c r="J2926" s="32"/>
    </row>
    <row r="2927" spans="1:10" x14ac:dyDescent="0.2">
      <c r="A2927" s="32"/>
      <c r="B2927" s="36" t="s">
        <v>4523</v>
      </c>
      <c r="C2927" s="37" t="s">
        <v>4507</v>
      </c>
      <c r="D2927" s="38" t="s">
        <v>1370</v>
      </c>
      <c r="E2927" s="39">
        <v>1</v>
      </c>
      <c r="F2927" s="40">
        <v>2.39</v>
      </c>
      <c r="G2927" s="40">
        <f t="shared" si="45"/>
        <v>2.39</v>
      </c>
      <c r="H2927" s="41" t="s">
        <v>24</v>
      </c>
      <c r="I2927" s="41" t="s">
        <v>58</v>
      </c>
      <c r="J2927" s="32"/>
    </row>
    <row r="2928" spans="1:10" x14ac:dyDescent="0.2">
      <c r="A2928" s="32"/>
      <c r="B2928" s="42" t="s">
        <v>4524</v>
      </c>
      <c r="C2928" s="43" t="s">
        <v>4507</v>
      </c>
      <c r="D2928" s="44" t="s">
        <v>2688</v>
      </c>
      <c r="E2928" s="45">
        <v>1</v>
      </c>
      <c r="F2928" s="46">
        <v>9.49</v>
      </c>
      <c r="G2928" s="46">
        <f t="shared" si="45"/>
        <v>9.49</v>
      </c>
      <c r="H2928" s="47" t="s">
        <v>24</v>
      </c>
      <c r="I2928" s="47" t="s">
        <v>58</v>
      </c>
      <c r="J2928" s="32"/>
    </row>
    <row r="2929" spans="1:10" x14ac:dyDescent="0.2">
      <c r="A2929" s="32"/>
      <c r="B2929" s="36" t="s">
        <v>4525</v>
      </c>
      <c r="C2929" s="37" t="s">
        <v>4507</v>
      </c>
      <c r="D2929" s="38" t="s">
        <v>4178</v>
      </c>
      <c r="E2929" s="39">
        <v>1</v>
      </c>
      <c r="F2929" s="40">
        <v>4.6900000000000004</v>
      </c>
      <c r="G2929" s="40">
        <f t="shared" si="45"/>
        <v>4.6900000000000004</v>
      </c>
      <c r="H2929" s="41" t="s">
        <v>24</v>
      </c>
      <c r="I2929" s="41" t="s">
        <v>58</v>
      </c>
      <c r="J2929" s="32"/>
    </row>
    <row r="2930" spans="1:10" x14ac:dyDescent="0.2">
      <c r="A2930" s="32"/>
      <c r="B2930" s="42" t="s">
        <v>4526</v>
      </c>
      <c r="C2930" s="43" t="s">
        <v>4507</v>
      </c>
      <c r="D2930" s="44" t="s">
        <v>4178</v>
      </c>
      <c r="E2930" s="45">
        <v>1</v>
      </c>
      <c r="F2930" s="46">
        <v>4.6900000000000004</v>
      </c>
      <c r="G2930" s="46">
        <f t="shared" si="45"/>
        <v>4.6900000000000004</v>
      </c>
      <c r="H2930" s="47" t="s">
        <v>24</v>
      </c>
      <c r="I2930" s="47" t="s">
        <v>58</v>
      </c>
      <c r="J2930" s="32"/>
    </row>
    <row r="2931" spans="1:10" x14ac:dyDescent="0.2">
      <c r="A2931" s="32"/>
      <c r="B2931" s="36" t="s">
        <v>4527</v>
      </c>
      <c r="C2931" s="37" t="s">
        <v>4507</v>
      </c>
      <c r="D2931" s="38" t="s">
        <v>1896</v>
      </c>
      <c r="E2931" s="39">
        <v>1</v>
      </c>
      <c r="F2931" s="40">
        <v>4.99</v>
      </c>
      <c r="G2931" s="40">
        <f t="shared" si="45"/>
        <v>4.99</v>
      </c>
      <c r="H2931" s="41" t="s">
        <v>24</v>
      </c>
      <c r="I2931" s="41" t="s">
        <v>58</v>
      </c>
      <c r="J2931" s="32"/>
    </row>
    <row r="2932" spans="1:10" x14ac:dyDescent="0.2">
      <c r="A2932" s="32"/>
      <c r="B2932" s="42" t="s">
        <v>4528</v>
      </c>
      <c r="C2932" s="43" t="s">
        <v>4507</v>
      </c>
      <c r="D2932" s="44" t="s">
        <v>1871</v>
      </c>
      <c r="E2932" s="45">
        <v>1</v>
      </c>
      <c r="F2932" s="46">
        <v>6.49</v>
      </c>
      <c r="G2932" s="46">
        <f t="shared" si="45"/>
        <v>6.49</v>
      </c>
      <c r="H2932" s="47" t="s">
        <v>24</v>
      </c>
      <c r="I2932" s="47" t="s">
        <v>58</v>
      </c>
      <c r="J2932" s="32"/>
    </row>
    <row r="2933" spans="1:10" x14ac:dyDescent="0.2">
      <c r="A2933" s="32"/>
      <c r="B2933" s="36" t="s">
        <v>4529</v>
      </c>
      <c r="C2933" s="37" t="s">
        <v>4507</v>
      </c>
      <c r="D2933" s="38" t="s">
        <v>1357</v>
      </c>
      <c r="E2933" s="39">
        <v>1</v>
      </c>
      <c r="F2933" s="40">
        <v>41.99</v>
      </c>
      <c r="G2933" s="40">
        <f t="shared" si="45"/>
        <v>41.99</v>
      </c>
      <c r="H2933" s="41" t="s">
        <v>24</v>
      </c>
      <c r="I2933" s="41" t="s">
        <v>58</v>
      </c>
      <c r="J2933" s="32"/>
    </row>
    <row r="2934" spans="1:10" x14ac:dyDescent="0.2">
      <c r="A2934" s="32"/>
      <c r="B2934" s="42" t="s">
        <v>4530</v>
      </c>
      <c r="C2934" s="43" t="s">
        <v>4507</v>
      </c>
      <c r="D2934" s="44" t="s">
        <v>2596</v>
      </c>
      <c r="E2934" s="45">
        <v>1</v>
      </c>
      <c r="F2934" s="46">
        <v>8.2899999999999991</v>
      </c>
      <c r="G2934" s="46">
        <f t="shared" si="45"/>
        <v>8.2899999999999991</v>
      </c>
      <c r="H2934" s="47" t="s">
        <v>24</v>
      </c>
      <c r="I2934" s="47" t="s">
        <v>58</v>
      </c>
      <c r="J2934" s="32"/>
    </row>
    <row r="2935" spans="1:10" x14ac:dyDescent="0.2">
      <c r="A2935" s="32"/>
      <c r="B2935" s="36" t="s">
        <v>4531</v>
      </c>
      <c r="C2935" s="37" t="s">
        <v>4507</v>
      </c>
      <c r="D2935" s="38" t="s">
        <v>2697</v>
      </c>
      <c r="E2935" s="39">
        <v>1</v>
      </c>
      <c r="F2935" s="40">
        <v>6.69</v>
      </c>
      <c r="G2935" s="40">
        <f t="shared" si="45"/>
        <v>6.69</v>
      </c>
      <c r="H2935" s="41" t="s">
        <v>24</v>
      </c>
      <c r="I2935" s="41" t="s">
        <v>58</v>
      </c>
      <c r="J2935" s="32"/>
    </row>
    <row r="2936" spans="1:10" x14ac:dyDescent="0.2">
      <c r="A2936" s="32"/>
      <c r="B2936" s="42" t="s">
        <v>4532</v>
      </c>
      <c r="C2936" s="43" t="s">
        <v>4507</v>
      </c>
      <c r="D2936" s="44" t="s">
        <v>2688</v>
      </c>
      <c r="E2936" s="45">
        <v>1</v>
      </c>
      <c r="F2936" s="46">
        <v>9.49</v>
      </c>
      <c r="G2936" s="46">
        <f t="shared" si="45"/>
        <v>9.49</v>
      </c>
      <c r="H2936" s="47" t="s">
        <v>24</v>
      </c>
      <c r="I2936" s="47" t="s">
        <v>58</v>
      </c>
      <c r="J2936" s="32"/>
    </row>
    <row r="2937" spans="1:10" x14ac:dyDescent="0.2">
      <c r="A2937" s="32"/>
      <c r="B2937" s="36" t="s">
        <v>4533</v>
      </c>
      <c r="C2937" s="37" t="s">
        <v>4507</v>
      </c>
      <c r="D2937" s="38" t="s">
        <v>1676</v>
      </c>
      <c r="E2937" s="39">
        <v>1</v>
      </c>
      <c r="F2937" s="40">
        <v>22.99</v>
      </c>
      <c r="G2937" s="40">
        <f t="shared" si="45"/>
        <v>22.99</v>
      </c>
      <c r="H2937" s="41" t="s">
        <v>24</v>
      </c>
      <c r="I2937" s="41" t="s">
        <v>58</v>
      </c>
      <c r="J2937" s="32"/>
    </row>
    <row r="2938" spans="1:10" x14ac:dyDescent="0.2">
      <c r="A2938" s="32"/>
      <c r="B2938" s="42" t="s">
        <v>4534</v>
      </c>
      <c r="C2938" s="43" t="s">
        <v>4507</v>
      </c>
      <c r="D2938" s="44" t="s">
        <v>3870</v>
      </c>
      <c r="E2938" s="45">
        <v>1</v>
      </c>
      <c r="F2938" s="46">
        <v>21.99</v>
      </c>
      <c r="G2938" s="46">
        <f t="shared" si="45"/>
        <v>21.99</v>
      </c>
      <c r="H2938" s="47" t="s">
        <v>24</v>
      </c>
      <c r="I2938" s="47" t="s">
        <v>58</v>
      </c>
      <c r="J2938" s="32"/>
    </row>
    <row r="2939" spans="1:10" x14ac:dyDescent="0.2">
      <c r="A2939" s="32"/>
      <c r="B2939" s="36" t="s">
        <v>4535</v>
      </c>
      <c r="C2939" s="37" t="s">
        <v>4507</v>
      </c>
      <c r="D2939" s="38" t="s">
        <v>4536</v>
      </c>
      <c r="E2939" s="39">
        <v>1</v>
      </c>
      <c r="F2939" s="40">
        <v>2.4900000000000002</v>
      </c>
      <c r="G2939" s="40">
        <f t="shared" si="45"/>
        <v>2.4900000000000002</v>
      </c>
      <c r="H2939" s="41" t="s">
        <v>24</v>
      </c>
      <c r="I2939" s="41" t="s">
        <v>58</v>
      </c>
      <c r="J2939" s="32"/>
    </row>
    <row r="2940" spans="1:10" x14ac:dyDescent="0.2">
      <c r="A2940" s="32"/>
      <c r="B2940" s="42" t="s">
        <v>4537</v>
      </c>
      <c r="C2940" s="43" t="s">
        <v>4507</v>
      </c>
      <c r="D2940" s="44" t="s">
        <v>2925</v>
      </c>
      <c r="E2940" s="45">
        <v>1</v>
      </c>
      <c r="F2940" s="46">
        <v>5.59</v>
      </c>
      <c r="G2940" s="46">
        <f t="shared" si="45"/>
        <v>5.59</v>
      </c>
      <c r="H2940" s="47" t="s">
        <v>24</v>
      </c>
      <c r="I2940" s="47" t="s">
        <v>58</v>
      </c>
      <c r="J2940" s="32"/>
    </row>
    <row r="2941" spans="1:10" x14ac:dyDescent="0.2">
      <c r="A2941" s="32"/>
      <c r="B2941" s="36" t="s">
        <v>4538</v>
      </c>
      <c r="C2941" s="37" t="s">
        <v>4507</v>
      </c>
      <c r="D2941" s="38" t="s">
        <v>4539</v>
      </c>
      <c r="E2941" s="39">
        <v>1</v>
      </c>
      <c r="F2941" s="40">
        <v>2.99</v>
      </c>
      <c r="G2941" s="40">
        <f t="shared" si="45"/>
        <v>2.99</v>
      </c>
      <c r="H2941" s="41" t="s">
        <v>24</v>
      </c>
      <c r="I2941" s="41" t="s">
        <v>58</v>
      </c>
      <c r="J2941" s="32"/>
    </row>
    <row r="2942" spans="1:10" x14ac:dyDescent="0.2">
      <c r="A2942" s="32"/>
      <c r="B2942" s="42" t="s">
        <v>4540</v>
      </c>
      <c r="C2942" s="43" t="s">
        <v>4507</v>
      </c>
      <c r="D2942" s="44" t="s">
        <v>38</v>
      </c>
      <c r="E2942" s="45">
        <v>1</v>
      </c>
      <c r="F2942" s="46">
        <v>6.99</v>
      </c>
      <c r="G2942" s="46">
        <f t="shared" si="45"/>
        <v>6.99</v>
      </c>
      <c r="H2942" s="47" t="s">
        <v>24</v>
      </c>
      <c r="I2942" s="47" t="s">
        <v>58</v>
      </c>
      <c r="J2942" s="32"/>
    </row>
    <row r="2943" spans="1:10" x14ac:dyDescent="0.2">
      <c r="A2943" s="32"/>
      <c r="B2943" s="36" t="s">
        <v>4541</v>
      </c>
      <c r="C2943" s="37" t="s">
        <v>4507</v>
      </c>
      <c r="D2943" s="38" t="s">
        <v>4542</v>
      </c>
      <c r="E2943" s="39">
        <v>1</v>
      </c>
      <c r="F2943" s="40">
        <v>20.49</v>
      </c>
      <c r="G2943" s="40">
        <f t="shared" si="45"/>
        <v>20.49</v>
      </c>
      <c r="H2943" s="41" t="s">
        <v>24</v>
      </c>
      <c r="I2943" s="41" t="s">
        <v>58</v>
      </c>
      <c r="J2943" s="32"/>
    </row>
    <row r="2944" spans="1:10" x14ac:dyDescent="0.2">
      <c r="A2944" s="32"/>
      <c r="B2944" s="42" t="s">
        <v>4543</v>
      </c>
      <c r="C2944" s="43" t="s">
        <v>4507</v>
      </c>
      <c r="D2944" s="44" t="s">
        <v>1340</v>
      </c>
      <c r="E2944" s="45">
        <v>1</v>
      </c>
      <c r="F2944" s="46">
        <v>35.99</v>
      </c>
      <c r="G2944" s="46">
        <f t="shared" si="45"/>
        <v>35.99</v>
      </c>
      <c r="H2944" s="47" t="s">
        <v>24</v>
      </c>
      <c r="I2944" s="47" t="s">
        <v>58</v>
      </c>
      <c r="J2944" s="32"/>
    </row>
    <row r="2945" spans="1:10" x14ac:dyDescent="0.2">
      <c r="A2945" s="32"/>
      <c r="B2945" s="36" t="s">
        <v>4544</v>
      </c>
      <c r="C2945" s="37" t="s">
        <v>4507</v>
      </c>
      <c r="D2945" s="38" t="s">
        <v>4545</v>
      </c>
      <c r="E2945" s="39">
        <v>1</v>
      </c>
      <c r="F2945" s="40">
        <v>3.49</v>
      </c>
      <c r="G2945" s="40">
        <f t="shared" si="45"/>
        <v>3.49</v>
      </c>
      <c r="H2945" s="41" t="s">
        <v>24</v>
      </c>
      <c r="I2945" s="41" t="s">
        <v>58</v>
      </c>
      <c r="J2945" s="32"/>
    </row>
    <row r="2946" spans="1:10" x14ac:dyDescent="0.2">
      <c r="A2946" s="32"/>
      <c r="B2946" s="42" t="s">
        <v>4546</v>
      </c>
      <c r="C2946" s="43" t="s">
        <v>4507</v>
      </c>
      <c r="D2946" s="44" t="s">
        <v>2759</v>
      </c>
      <c r="E2946" s="45">
        <v>1</v>
      </c>
      <c r="F2946" s="46">
        <v>6.79</v>
      </c>
      <c r="G2946" s="46">
        <f t="shared" si="45"/>
        <v>6.79</v>
      </c>
      <c r="H2946" s="47" t="s">
        <v>24</v>
      </c>
      <c r="I2946" s="47" t="s">
        <v>58</v>
      </c>
      <c r="J2946" s="32"/>
    </row>
    <row r="2947" spans="1:10" x14ac:dyDescent="0.2">
      <c r="A2947" s="32"/>
      <c r="B2947" s="36" t="s">
        <v>4547</v>
      </c>
      <c r="C2947" s="37" t="s">
        <v>4507</v>
      </c>
      <c r="D2947" s="38" t="s">
        <v>1012</v>
      </c>
      <c r="E2947" s="39">
        <v>1</v>
      </c>
      <c r="F2947" s="40">
        <v>7.49</v>
      </c>
      <c r="G2947" s="40">
        <f t="shared" si="45"/>
        <v>7.49</v>
      </c>
      <c r="H2947" s="41" t="s">
        <v>24</v>
      </c>
      <c r="I2947" s="41" t="s">
        <v>58</v>
      </c>
      <c r="J2947" s="32"/>
    </row>
    <row r="2948" spans="1:10" x14ac:dyDescent="0.2">
      <c r="A2948" s="32"/>
      <c r="B2948" s="42" t="s">
        <v>4548</v>
      </c>
      <c r="C2948" s="43" t="s">
        <v>4507</v>
      </c>
      <c r="D2948" s="44" t="s">
        <v>4549</v>
      </c>
      <c r="E2948" s="45">
        <v>1</v>
      </c>
      <c r="F2948" s="46">
        <v>2.19</v>
      </c>
      <c r="G2948" s="46">
        <f t="shared" si="45"/>
        <v>2.19</v>
      </c>
      <c r="H2948" s="47" t="s">
        <v>24</v>
      </c>
      <c r="I2948" s="47" t="s">
        <v>58</v>
      </c>
      <c r="J2948" s="32"/>
    </row>
    <row r="2949" spans="1:10" x14ac:dyDescent="0.2">
      <c r="A2949" s="32"/>
      <c r="B2949" s="36" t="s">
        <v>4550</v>
      </c>
      <c r="C2949" s="37" t="s">
        <v>4507</v>
      </c>
      <c r="D2949" s="38" t="s">
        <v>4549</v>
      </c>
      <c r="E2949" s="39">
        <v>1</v>
      </c>
      <c r="F2949" s="40">
        <v>2.19</v>
      </c>
      <c r="G2949" s="40">
        <f t="shared" ref="G2949:G3012" si="46">E2949*F2949</f>
        <v>2.19</v>
      </c>
      <c r="H2949" s="41" t="s">
        <v>24</v>
      </c>
      <c r="I2949" s="41" t="s">
        <v>58</v>
      </c>
      <c r="J2949" s="32"/>
    </row>
    <row r="2950" spans="1:10" x14ac:dyDescent="0.2">
      <c r="A2950" s="32"/>
      <c r="B2950" s="42" t="s">
        <v>4551</v>
      </c>
      <c r="C2950" s="43" t="s">
        <v>4507</v>
      </c>
      <c r="D2950" s="44" t="s">
        <v>4552</v>
      </c>
      <c r="E2950" s="45">
        <v>1</v>
      </c>
      <c r="F2950" s="46">
        <v>3.29</v>
      </c>
      <c r="G2950" s="46">
        <f t="shared" si="46"/>
        <v>3.29</v>
      </c>
      <c r="H2950" s="47" t="s">
        <v>24</v>
      </c>
      <c r="I2950" s="47" t="s">
        <v>58</v>
      </c>
      <c r="J2950" s="32"/>
    </row>
    <row r="2951" spans="1:10" x14ac:dyDescent="0.2">
      <c r="A2951" s="32"/>
      <c r="B2951" s="36" t="s">
        <v>4553</v>
      </c>
      <c r="C2951" s="37" t="s">
        <v>4507</v>
      </c>
      <c r="D2951" s="38" t="s">
        <v>4554</v>
      </c>
      <c r="E2951" s="39">
        <v>1</v>
      </c>
      <c r="F2951" s="40">
        <v>4.3899999999999997</v>
      </c>
      <c r="G2951" s="40">
        <f t="shared" si="46"/>
        <v>4.3899999999999997</v>
      </c>
      <c r="H2951" s="41" t="s">
        <v>24</v>
      </c>
      <c r="I2951" s="41" t="s">
        <v>58</v>
      </c>
      <c r="J2951" s="32"/>
    </row>
    <row r="2952" spans="1:10" x14ac:dyDescent="0.2">
      <c r="A2952" s="32"/>
      <c r="B2952" s="42" t="s">
        <v>4555</v>
      </c>
      <c r="C2952" s="43" t="s">
        <v>4507</v>
      </c>
      <c r="D2952" s="44" t="s">
        <v>4556</v>
      </c>
      <c r="E2952" s="45">
        <v>1</v>
      </c>
      <c r="F2952" s="46">
        <v>1.89</v>
      </c>
      <c r="G2952" s="46">
        <f t="shared" si="46"/>
        <v>1.89</v>
      </c>
      <c r="H2952" s="47" t="s">
        <v>24</v>
      </c>
      <c r="I2952" s="47" t="s">
        <v>58</v>
      </c>
      <c r="J2952" s="32"/>
    </row>
    <row r="2953" spans="1:10" x14ac:dyDescent="0.2">
      <c r="A2953" s="32"/>
      <c r="B2953" s="36" t="s">
        <v>4557</v>
      </c>
      <c r="C2953" s="37" t="s">
        <v>4507</v>
      </c>
      <c r="D2953" s="38" t="s">
        <v>4549</v>
      </c>
      <c r="E2953" s="39">
        <v>1</v>
      </c>
      <c r="F2953" s="40">
        <v>2.19</v>
      </c>
      <c r="G2953" s="40">
        <f t="shared" si="46"/>
        <v>2.19</v>
      </c>
      <c r="H2953" s="41" t="s">
        <v>24</v>
      </c>
      <c r="I2953" s="41" t="s">
        <v>58</v>
      </c>
      <c r="J2953" s="32"/>
    </row>
    <row r="2954" spans="1:10" x14ac:dyDescent="0.2">
      <c r="A2954" s="32"/>
      <c r="B2954" s="42" t="s">
        <v>4558</v>
      </c>
      <c r="C2954" s="43" t="s">
        <v>4507</v>
      </c>
      <c r="D2954" s="44" t="s">
        <v>2801</v>
      </c>
      <c r="E2954" s="45">
        <v>1</v>
      </c>
      <c r="F2954" s="46">
        <v>6.29</v>
      </c>
      <c r="G2954" s="46">
        <f t="shared" si="46"/>
        <v>6.29</v>
      </c>
      <c r="H2954" s="47" t="s">
        <v>24</v>
      </c>
      <c r="I2954" s="47" t="s">
        <v>58</v>
      </c>
      <c r="J2954" s="32"/>
    </row>
    <row r="2955" spans="1:10" x14ac:dyDescent="0.2">
      <c r="A2955" s="32"/>
      <c r="B2955" s="36" t="s">
        <v>4559</v>
      </c>
      <c r="C2955" s="37" t="s">
        <v>4507</v>
      </c>
      <c r="D2955" s="38" t="s">
        <v>1680</v>
      </c>
      <c r="E2955" s="39">
        <v>1</v>
      </c>
      <c r="F2955" s="40">
        <v>16.989999999999998</v>
      </c>
      <c r="G2955" s="40">
        <f t="shared" si="46"/>
        <v>16.989999999999998</v>
      </c>
      <c r="H2955" s="41" t="s">
        <v>24</v>
      </c>
      <c r="I2955" s="41" t="s">
        <v>58</v>
      </c>
      <c r="J2955" s="32"/>
    </row>
    <row r="2956" spans="1:10" x14ac:dyDescent="0.2">
      <c r="A2956" s="32"/>
      <c r="B2956" s="42" t="s">
        <v>4560</v>
      </c>
      <c r="C2956" s="43" t="s">
        <v>4507</v>
      </c>
      <c r="D2956" s="44" t="s">
        <v>4561</v>
      </c>
      <c r="E2956" s="45">
        <v>1</v>
      </c>
      <c r="F2956" s="46">
        <v>2.4900000000000002</v>
      </c>
      <c r="G2956" s="46">
        <f t="shared" si="46"/>
        <v>2.4900000000000002</v>
      </c>
      <c r="H2956" s="47" t="s">
        <v>24</v>
      </c>
      <c r="I2956" s="47" t="s">
        <v>58</v>
      </c>
      <c r="J2956" s="32"/>
    </row>
    <row r="2957" spans="1:10" x14ac:dyDescent="0.2">
      <c r="A2957" s="32"/>
      <c r="B2957" s="36" t="s">
        <v>4562</v>
      </c>
      <c r="C2957" s="37" t="s">
        <v>4507</v>
      </c>
      <c r="D2957" s="38" t="s">
        <v>4563</v>
      </c>
      <c r="E2957" s="39">
        <v>1</v>
      </c>
      <c r="F2957" s="40">
        <v>2.4900000000000002</v>
      </c>
      <c r="G2957" s="40">
        <f t="shared" si="46"/>
        <v>2.4900000000000002</v>
      </c>
      <c r="H2957" s="41" t="s">
        <v>24</v>
      </c>
      <c r="I2957" s="41" t="s">
        <v>58</v>
      </c>
      <c r="J2957" s="32"/>
    </row>
    <row r="2958" spans="1:10" x14ac:dyDescent="0.2">
      <c r="A2958" s="32"/>
      <c r="B2958" s="42" t="s">
        <v>4564</v>
      </c>
      <c r="C2958" s="43" t="s">
        <v>4507</v>
      </c>
      <c r="D2958" s="44" t="s">
        <v>2493</v>
      </c>
      <c r="E2958" s="45">
        <v>1</v>
      </c>
      <c r="F2958" s="46">
        <v>49.99</v>
      </c>
      <c r="G2958" s="46">
        <f t="shared" si="46"/>
        <v>49.99</v>
      </c>
      <c r="H2958" s="47" t="s">
        <v>24</v>
      </c>
      <c r="I2958" s="47" t="s">
        <v>58</v>
      </c>
      <c r="J2958" s="32"/>
    </row>
    <row r="2959" spans="1:10" x14ac:dyDescent="0.2">
      <c r="A2959" s="32"/>
      <c r="B2959" s="36" t="s">
        <v>4565</v>
      </c>
      <c r="C2959" s="37" t="s">
        <v>4507</v>
      </c>
      <c r="D2959" s="38" t="s">
        <v>3470</v>
      </c>
      <c r="E2959" s="39">
        <v>1</v>
      </c>
      <c r="F2959" s="40">
        <v>22.69</v>
      </c>
      <c r="G2959" s="40">
        <f t="shared" si="46"/>
        <v>22.69</v>
      </c>
      <c r="H2959" s="41" t="s">
        <v>24</v>
      </c>
      <c r="I2959" s="41" t="s">
        <v>58</v>
      </c>
      <c r="J2959" s="32"/>
    </row>
    <row r="2960" spans="1:10" x14ac:dyDescent="0.2">
      <c r="A2960" s="32"/>
      <c r="B2960" s="42" t="s">
        <v>4566</v>
      </c>
      <c r="C2960" s="43" t="s">
        <v>4507</v>
      </c>
      <c r="D2960" s="44" t="s">
        <v>2803</v>
      </c>
      <c r="E2960" s="45">
        <v>1</v>
      </c>
      <c r="F2960" s="46">
        <v>6.29</v>
      </c>
      <c r="G2960" s="46">
        <f t="shared" si="46"/>
        <v>6.29</v>
      </c>
      <c r="H2960" s="47" t="s">
        <v>24</v>
      </c>
      <c r="I2960" s="47" t="s">
        <v>58</v>
      </c>
      <c r="J2960" s="32"/>
    </row>
    <row r="2961" spans="1:10" x14ac:dyDescent="0.2">
      <c r="A2961" s="32"/>
      <c r="B2961" s="36" t="s">
        <v>4567</v>
      </c>
      <c r="C2961" s="37" t="s">
        <v>4507</v>
      </c>
      <c r="D2961" s="38" t="s">
        <v>3125</v>
      </c>
      <c r="E2961" s="39">
        <v>1</v>
      </c>
      <c r="F2961" s="40">
        <v>11.99</v>
      </c>
      <c r="G2961" s="40">
        <f t="shared" si="46"/>
        <v>11.99</v>
      </c>
      <c r="H2961" s="41" t="s">
        <v>24</v>
      </c>
      <c r="I2961" s="41" t="s">
        <v>58</v>
      </c>
      <c r="J2961" s="32"/>
    </row>
    <row r="2962" spans="1:10" x14ac:dyDescent="0.2">
      <c r="A2962" s="32"/>
      <c r="B2962" s="42" t="s">
        <v>4568</v>
      </c>
      <c r="C2962" s="43" t="s">
        <v>4507</v>
      </c>
      <c r="D2962" s="44" t="s">
        <v>2999</v>
      </c>
      <c r="E2962" s="45">
        <v>1</v>
      </c>
      <c r="F2962" s="46">
        <v>9.2899999999999991</v>
      </c>
      <c r="G2962" s="46">
        <f t="shared" si="46"/>
        <v>9.2899999999999991</v>
      </c>
      <c r="H2962" s="47" t="s">
        <v>24</v>
      </c>
      <c r="I2962" s="47" t="s">
        <v>58</v>
      </c>
      <c r="J2962" s="32"/>
    </row>
    <row r="2963" spans="1:10" x14ac:dyDescent="0.2">
      <c r="A2963" s="32"/>
      <c r="B2963" s="36" t="s">
        <v>4569</v>
      </c>
      <c r="C2963" s="37" t="s">
        <v>4507</v>
      </c>
      <c r="D2963" s="38" t="s">
        <v>3324</v>
      </c>
      <c r="E2963" s="39">
        <v>1</v>
      </c>
      <c r="F2963" s="40">
        <v>11.99</v>
      </c>
      <c r="G2963" s="40">
        <f t="shared" si="46"/>
        <v>11.99</v>
      </c>
      <c r="H2963" s="41" t="s">
        <v>24</v>
      </c>
      <c r="I2963" s="41" t="s">
        <v>58</v>
      </c>
      <c r="J2963" s="32"/>
    </row>
    <row r="2964" spans="1:10" x14ac:dyDescent="0.2">
      <c r="A2964" s="32"/>
      <c r="B2964" s="42" t="s">
        <v>4570</v>
      </c>
      <c r="C2964" s="43" t="s">
        <v>4507</v>
      </c>
      <c r="D2964" s="44" t="s">
        <v>4571</v>
      </c>
      <c r="E2964" s="45">
        <v>1</v>
      </c>
      <c r="F2964" s="46">
        <v>14.59</v>
      </c>
      <c r="G2964" s="46">
        <f t="shared" si="46"/>
        <v>14.59</v>
      </c>
      <c r="H2964" s="47" t="s">
        <v>24</v>
      </c>
      <c r="I2964" s="47" t="s">
        <v>58</v>
      </c>
      <c r="J2964" s="32"/>
    </row>
    <row r="2965" spans="1:10" x14ac:dyDescent="0.2">
      <c r="A2965" s="32"/>
      <c r="B2965" s="36" t="s">
        <v>4572</v>
      </c>
      <c r="C2965" s="37" t="s">
        <v>4507</v>
      </c>
      <c r="D2965" s="38" t="s">
        <v>1387</v>
      </c>
      <c r="E2965" s="39">
        <v>1</v>
      </c>
      <c r="F2965" s="40">
        <v>34.49</v>
      </c>
      <c r="G2965" s="40">
        <f t="shared" si="46"/>
        <v>34.49</v>
      </c>
      <c r="H2965" s="41" t="s">
        <v>24</v>
      </c>
      <c r="I2965" s="41" t="s">
        <v>58</v>
      </c>
      <c r="J2965" s="32"/>
    </row>
    <row r="2966" spans="1:10" x14ac:dyDescent="0.2">
      <c r="A2966" s="32"/>
      <c r="B2966" s="42" t="s">
        <v>4573</v>
      </c>
      <c r="C2966" s="43" t="s">
        <v>4507</v>
      </c>
      <c r="D2966" s="44" t="s">
        <v>4037</v>
      </c>
      <c r="E2966" s="45">
        <v>1</v>
      </c>
      <c r="F2966" s="46">
        <v>9.49</v>
      </c>
      <c r="G2966" s="46">
        <f t="shared" si="46"/>
        <v>9.49</v>
      </c>
      <c r="H2966" s="47" t="s">
        <v>25</v>
      </c>
      <c r="I2966" s="47" t="s">
        <v>58</v>
      </c>
      <c r="J2966" s="32"/>
    </row>
    <row r="2967" spans="1:10" x14ac:dyDescent="0.2">
      <c r="A2967" s="32"/>
      <c r="B2967" s="36" t="s">
        <v>4574</v>
      </c>
      <c r="C2967" s="37" t="s">
        <v>4507</v>
      </c>
      <c r="D2967" s="38" t="s">
        <v>2906</v>
      </c>
      <c r="E2967" s="39">
        <v>1</v>
      </c>
      <c r="F2967" s="40">
        <v>15.59</v>
      </c>
      <c r="G2967" s="40">
        <f t="shared" si="46"/>
        <v>15.59</v>
      </c>
      <c r="H2967" s="41" t="s">
        <v>25</v>
      </c>
      <c r="I2967" s="41" t="s">
        <v>58</v>
      </c>
      <c r="J2967" s="32"/>
    </row>
    <row r="2968" spans="1:10" x14ac:dyDescent="0.2">
      <c r="A2968" s="32"/>
      <c r="B2968" s="42" t="s">
        <v>4575</v>
      </c>
      <c r="C2968" s="43" t="s">
        <v>4507</v>
      </c>
      <c r="D2968" s="44" t="s">
        <v>4576</v>
      </c>
      <c r="E2968" s="45">
        <v>1</v>
      </c>
      <c r="F2968" s="46">
        <v>11.99</v>
      </c>
      <c r="G2968" s="46">
        <f t="shared" si="46"/>
        <v>11.99</v>
      </c>
      <c r="H2968" s="47" t="s">
        <v>24</v>
      </c>
      <c r="I2968" s="47" t="s">
        <v>58</v>
      </c>
      <c r="J2968" s="32"/>
    </row>
    <row r="2969" spans="1:10" x14ac:dyDescent="0.2">
      <c r="A2969" s="32"/>
      <c r="B2969" s="36" t="s">
        <v>4577</v>
      </c>
      <c r="C2969" s="37" t="s">
        <v>4507</v>
      </c>
      <c r="D2969" s="38" t="s">
        <v>4576</v>
      </c>
      <c r="E2969" s="39">
        <v>1</v>
      </c>
      <c r="F2969" s="40">
        <v>11.99</v>
      </c>
      <c r="G2969" s="40">
        <f t="shared" si="46"/>
        <v>11.99</v>
      </c>
      <c r="H2969" s="41" t="s">
        <v>24</v>
      </c>
      <c r="I2969" s="41" t="s">
        <v>58</v>
      </c>
      <c r="J2969" s="32"/>
    </row>
    <row r="2970" spans="1:10" x14ac:dyDescent="0.2">
      <c r="A2970" s="32"/>
      <c r="B2970" s="42" t="s">
        <v>4578</v>
      </c>
      <c r="C2970" s="43" t="s">
        <v>4507</v>
      </c>
      <c r="D2970" s="44" t="s">
        <v>2620</v>
      </c>
      <c r="E2970" s="45">
        <v>1</v>
      </c>
      <c r="F2970" s="46">
        <v>22.49</v>
      </c>
      <c r="G2970" s="46">
        <f t="shared" si="46"/>
        <v>22.49</v>
      </c>
      <c r="H2970" s="47" t="s">
        <v>24</v>
      </c>
      <c r="I2970" s="47" t="s">
        <v>58</v>
      </c>
      <c r="J2970" s="32"/>
    </row>
    <row r="2971" spans="1:10" x14ac:dyDescent="0.2">
      <c r="A2971" s="32"/>
      <c r="B2971" s="36" t="s">
        <v>4579</v>
      </c>
      <c r="C2971" s="37" t="s">
        <v>4507</v>
      </c>
      <c r="D2971" s="38" t="s">
        <v>633</v>
      </c>
      <c r="E2971" s="39">
        <v>1</v>
      </c>
      <c r="F2971" s="40">
        <v>6.49</v>
      </c>
      <c r="G2971" s="40">
        <f t="shared" si="46"/>
        <v>6.49</v>
      </c>
      <c r="H2971" s="41" t="s">
        <v>28</v>
      </c>
      <c r="I2971" s="41" t="s">
        <v>58</v>
      </c>
      <c r="J2971" s="32"/>
    </row>
    <row r="2972" spans="1:10" x14ac:dyDescent="0.2">
      <c r="A2972" s="32"/>
      <c r="B2972" s="42" t="s">
        <v>4580</v>
      </c>
      <c r="C2972" s="43" t="s">
        <v>4507</v>
      </c>
      <c r="D2972" s="44" t="s">
        <v>4581</v>
      </c>
      <c r="E2972" s="45">
        <v>1</v>
      </c>
      <c r="F2972" s="46">
        <v>33.99</v>
      </c>
      <c r="G2972" s="46">
        <f t="shared" si="46"/>
        <v>33.99</v>
      </c>
      <c r="H2972" s="47" t="s">
        <v>24</v>
      </c>
      <c r="I2972" s="47" t="s">
        <v>58</v>
      </c>
      <c r="J2972" s="32"/>
    </row>
    <row r="2973" spans="1:10" x14ac:dyDescent="0.2">
      <c r="A2973" s="32"/>
      <c r="B2973" s="36" t="s">
        <v>4582</v>
      </c>
      <c r="C2973" s="37" t="s">
        <v>4507</v>
      </c>
      <c r="D2973" s="38" t="s">
        <v>4583</v>
      </c>
      <c r="E2973" s="39">
        <v>1</v>
      </c>
      <c r="F2973" s="40">
        <v>23.59</v>
      </c>
      <c r="G2973" s="40">
        <f t="shared" si="46"/>
        <v>23.59</v>
      </c>
      <c r="H2973" s="41" t="s">
        <v>24</v>
      </c>
      <c r="I2973" s="41" t="s">
        <v>58</v>
      </c>
      <c r="J2973" s="32"/>
    </row>
    <row r="2974" spans="1:10" x14ac:dyDescent="0.2">
      <c r="A2974" s="32"/>
      <c r="B2974" s="42" t="s">
        <v>4584</v>
      </c>
      <c r="C2974" s="43" t="s">
        <v>4507</v>
      </c>
      <c r="D2974" s="44" t="s">
        <v>1694</v>
      </c>
      <c r="E2974" s="45">
        <v>1</v>
      </c>
      <c r="F2974" s="46">
        <v>15.99</v>
      </c>
      <c r="G2974" s="46">
        <f t="shared" si="46"/>
        <v>15.99</v>
      </c>
      <c r="H2974" s="47" t="s">
        <v>24</v>
      </c>
      <c r="I2974" s="47" t="s">
        <v>58</v>
      </c>
      <c r="J2974" s="32"/>
    </row>
    <row r="2975" spans="1:10" x14ac:dyDescent="0.2">
      <c r="A2975" s="32"/>
      <c r="B2975" s="36" t="s">
        <v>4585</v>
      </c>
      <c r="C2975" s="37" t="s">
        <v>4507</v>
      </c>
      <c r="D2975" s="38" t="s">
        <v>2333</v>
      </c>
      <c r="E2975" s="39">
        <v>1</v>
      </c>
      <c r="F2975" s="40">
        <v>14.49</v>
      </c>
      <c r="G2975" s="40">
        <f t="shared" si="46"/>
        <v>14.49</v>
      </c>
      <c r="H2975" s="41" t="s">
        <v>25</v>
      </c>
      <c r="I2975" s="41" t="s">
        <v>58</v>
      </c>
      <c r="J2975" s="32"/>
    </row>
    <row r="2976" spans="1:10" x14ac:dyDescent="0.2">
      <c r="A2976" s="32"/>
      <c r="B2976" s="42" t="s">
        <v>4586</v>
      </c>
      <c r="C2976" s="43" t="s">
        <v>4507</v>
      </c>
      <c r="D2976" s="44" t="s">
        <v>2333</v>
      </c>
      <c r="E2976" s="45">
        <v>1</v>
      </c>
      <c r="F2976" s="46">
        <v>14.49</v>
      </c>
      <c r="G2976" s="46">
        <f t="shared" si="46"/>
        <v>14.49</v>
      </c>
      <c r="H2976" s="47" t="s">
        <v>25</v>
      </c>
      <c r="I2976" s="47" t="s">
        <v>58</v>
      </c>
      <c r="J2976" s="32"/>
    </row>
    <row r="2977" spans="1:10" x14ac:dyDescent="0.2">
      <c r="A2977" s="32"/>
      <c r="B2977" s="36" t="s">
        <v>4587</v>
      </c>
      <c r="C2977" s="37" t="s">
        <v>4507</v>
      </c>
      <c r="D2977" s="38" t="s">
        <v>4588</v>
      </c>
      <c r="E2977" s="39">
        <v>1</v>
      </c>
      <c r="F2977" s="40">
        <v>35.99</v>
      </c>
      <c r="G2977" s="40">
        <f t="shared" si="46"/>
        <v>35.99</v>
      </c>
      <c r="H2977" s="41" t="s">
        <v>25</v>
      </c>
      <c r="I2977" s="41" t="s">
        <v>58</v>
      </c>
      <c r="J2977" s="32"/>
    </row>
    <row r="2978" spans="1:10" x14ac:dyDescent="0.2">
      <c r="A2978" s="32"/>
      <c r="B2978" s="42" t="s">
        <v>4589</v>
      </c>
      <c r="C2978" s="43" t="s">
        <v>4507</v>
      </c>
      <c r="D2978" s="44" t="s">
        <v>1710</v>
      </c>
      <c r="E2978" s="45">
        <v>1</v>
      </c>
      <c r="F2978" s="46">
        <v>15.59</v>
      </c>
      <c r="G2978" s="46">
        <f t="shared" si="46"/>
        <v>15.59</v>
      </c>
      <c r="H2978" s="47" t="s">
        <v>25</v>
      </c>
      <c r="I2978" s="47" t="s">
        <v>58</v>
      </c>
      <c r="J2978" s="32"/>
    </row>
    <row r="2979" spans="1:10" x14ac:dyDescent="0.2">
      <c r="A2979" s="32"/>
      <c r="B2979" s="36" t="s">
        <v>4590</v>
      </c>
      <c r="C2979" s="37" t="s">
        <v>4507</v>
      </c>
      <c r="D2979" s="38" t="s">
        <v>3513</v>
      </c>
      <c r="E2979" s="39">
        <v>1</v>
      </c>
      <c r="F2979" s="40">
        <v>22.99</v>
      </c>
      <c r="G2979" s="40">
        <f t="shared" si="46"/>
        <v>22.99</v>
      </c>
      <c r="H2979" s="41" t="s">
        <v>24</v>
      </c>
      <c r="I2979" s="41" t="s">
        <v>58</v>
      </c>
      <c r="J2979" s="32"/>
    </row>
    <row r="2980" spans="1:10" x14ac:dyDescent="0.2">
      <c r="A2980" s="32"/>
      <c r="B2980" s="42" t="s">
        <v>4591</v>
      </c>
      <c r="C2980" s="43" t="s">
        <v>4507</v>
      </c>
      <c r="D2980" s="44" t="s">
        <v>1862</v>
      </c>
      <c r="E2980" s="45">
        <v>1</v>
      </c>
      <c r="F2980" s="46">
        <v>12.99</v>
      </c>
      <c r="G2980" s="46">
        <f t="shared" si="46"/>
        <v>12.99</v>
      </c>
      <c r="H2980" s="47" t="s">
        <v>24</v>
      </c>
      <c r="I2980" s="47" t="s">
        <v>58</v>
      </c>
      <c r="J2980" s="32"/>
    </row>
    <row r="2981" spans="1:10" x14ac:dyDescent="0.2">
      <c r="A2981" s="32"/>
      <c r="B2981" s="36" t="s">
        <v>4592</v>
      </c>
      <c r="C2981" s="37" t="s">
        <v>4507</v>
      </c>
      <c r="D2981" s="38" t="s">
        <v>1862</v>
      </c>
      <c r="E2981" s="39">
        <v>1</v>
      </c>
      <c r="F2981" s="40">
        <v>12.99</v>
      </c>
      <c r="G2981" s="40">
        <f t="shared" si="46"/>
        <v>12.99</v>
      </c>
      <c r="H2981" s="41" t="s">
        <v>24</v>
      </c>
      <c r="I2981" s="41" t="s">
        <v>58</v>
      </c>
      <c r="J2981" s="32"/>
    </row>
    <row r="2982" spans="1:10" x14ac:dyDescent="0.2">
      <c r="A2982" s="32"/>
      <c r="B2982" s="42" t="s">
        <v>4593</v>
      </c>
      <c r="C2982" s="43" t="s">
        <v>4594</v>
      </c>
      <c r="D2982" s="44" t="s">
        <v>4595</v>
      </c>
      <c r="E2982" s="45">
        <v>1</v>
      </c>
      <c r="F2982" s="46">
        <v>19.989999999999998</v>
      </c>
      <c r="G2982" s="46">
        <f t="shared" si="46"/>
        <v>19.989999999999998</v>
      </c>
      <c r="H2982" s="47" t="s">
        <v>24</v>
      </c>
      <c r="I2982" s="47" t="s">
        <v>58</v>
      </c>
      <c r="J2982" s="32"/>
    </row>
    <row r="2983" spans="1:10" x14ac:dyDescent="0.2">
      <c r="A2983" s="32"/>
      <c r="B2983" s="36" t="s">
        <v>4596</v>
      </c>
      <c r="C2983" s="37" t="s">
        <v>4507</v>
      </c>
      <c r="D2983" s="38" t="s">
        <v>4595</v>
      </c>
      <c r="E2983" s="39">
        <v>1</v>
      </c>
      <c r="F2983" s="40">
        <v>19.989999999999998</v>
      </c>
      <c r="G2983" s="40">
        <f t="shared" si="46"/>
        <v>19.989999999999998</v>
      </c>
      <c r="H2983" s="41" t="s">
        <v>24</v>
      </c>
      <c r="I2983" s="41" t="s">
        <v>58</v>
      </c>
      <c r="J2983" s="32"/>
    </row>
    <row r="2984" spans="1:10" x14ac:dyDescent="0.2">
      <c r="A2984" s="32"/>
      <c r="B2984" s="42" t="s">
        <v>4597</v>
      </c>
      <c r="C2984" s="43" t="s">
        <v>4507</v>
      </c>
      <c r="D2984" s="44" t="s">
        <v>1605</v>
      </c>
      <c r="E2984" s="45">
        <v>1</v>
      </c>
      <c r="F2984" s="46">
        <v>3.49</v>
      </c>
      <c r="G2984" s="46">
        <f t="shared" si="46"/>
        <v>3.49</v>
      </c>
      <c r="H2984" s="47" t="s">
        <v>24</v>
      </c>
      <c r="I2984" s="47" t="s">
        <v>58</v>
      </c>
      <c r="J2984" s="32"/>
    </row>
    <row r="2985" spans="1:10" x14ac:dyDescent="0.2">
      <c r="A2985" s="32"/>
      <c r="B2985" s="36" t="s">
        <v>4598</v>
      </c>
      <c r="C2985" s="37" t="s">
        <v>4599</v>
      </c>
      <c r="D2985" s="38" t="s">
        <v>4600</v>
      </c>
      <c r="E2985" s="39">
        <v>1</v>
      </c>
      <c r="F2985" s="40">
        <v>16.989999999999998</v>
      </c>
      <c r="G2985" s="40">
        <f t="shared" si="46"/>
        <v>16.989999999999998</v>
      </c>
      <c r="H2985" s="41" t="s">
        <v>24</v>
      </c>
      <c r="I2985" s="41" t="s">
        <v>58</v>
      </c>
      <c r="J2985" s="32"/>
    </row>
    <row r="2986" spans="1:10" x14ac:dyDescent="0.2">
      <c r="A2986" s="32"/>
      <c r="B2986" s="42" t="s">
        <v>4601</v>
      </c>
      <c r="C2986" s="43" t="s">
        <v>4602</v>
      </c>
      <c r="D2986" s="44" t="s">
        <v>4595</v>
      </c>
      <c r="E2986" s="45">
        <v>1</v>
      </c>
      <c r="F2986" s="46">
        <v>19.989999999999998</v>
      </c>
      <c r="G2986" s="46">
        <f t="shared" si="46"/>
        <v>19.989999999999998</v>
      </c>
      <c r="H2986" s="47" t="s">
        <v>24</v>
      </c>
      <c r="I2986" s="47" t="s">
        <v>58</v>
      </c>
      <c r="J2986" s="32"/>
    </row>
    <row r="2987" spans="1:10" x14ac:dyDescent="0.2">
      <c r="A2987" s="32"/>
      <c r="B2987" s="36" t="s">
        <v>4603</v>
      </c>
      <c r="C2987" s="37" t="s">
        <v>4604</v>
      </c>
      <c r="D2987" s="38" t="s">
        <v>4595</v>
      </c>
      <c r="E2987" s="39">
        <v>1</v>
      </c>
      <c r="F2987" s="40">
        <v>19.989999999999998</v>
      </c>
      <c r="G2987" s="40">
        <f t="shared" si="46"/>
        <v>19.989999999999998</v>
      </c>
      <c r="H2987" s="41" t="s">
        <v>24</v>
      </c>
      <c r="I2987" s="41" t="s">
        <v>58</v>
      </c>
      <c r="J2987" s="32"/>
    </row>
    <row r="2988" spans="1:10" x14ac:dyDescent="0.2">
      <c r="A2988" s="32"/>
      <c r="B2988" s="42" t="s">
        <v>4605</v>
      </c>
      <c r="C2988" s="43" t="s">
        <v>4606</v>
      </c>
      <c r="D2988" s="44" t="s">
        <v>4607</v>
      </c>
      <c r="E2988" s="45">
        <v>1</v>
      </c>
      <c r="F2988" s="46">
        <v>42.99</v>
      </c>
      <c r="G2988" s="46">
        <f t="shared" si="46"/>
        <v>42.99</v>
      </c>
      <c r="H2988" s="47" t="s">
        <v>24</v>
      </c>
      <c r="I2988" s="47" t="s">
        <v>58</v>
      </c>
      <c r="J2988" s="32"/>
    </row>
    <row r="2989" spans="1:10" x14ac:dyDescent="0.2">
      <c r="A2989" s="32"/>
      <c r="B2989" s="36" t="s">
        <v>4608</v>
      </c>
      <c r="C2989" s="37" t="s">
        <v>4606</v>
      </c>
      <c r="D2989" s="38" t="s">
        <v>3929</v>
      </c>
      <c r="E2989" s="39">
        <v>1</v>
      </c>
      <c r="F2989" s="40">
        <v>10.79</v>
      </c>
      <c r="G2989" s="40">
        <f t="shared" si="46"/>
        <v>10.79</v>
      </c>
      <c r="H2989" s="41" t="s">
        <v>24</v>
      </c>
      <c r="I2989" s="41" t="s">
        <v>58</v>
      </c>
      <c r="J2989" s="32"/>
    </row>
    <row r="2990" spans="1:10" x14ac:dyDescent="0.2">
      <c r="A2990" s="32"/>
      <c r="B2990" s="42" t="s">
        <v>4609</v>
      </c>
      <c r="C2990" s="43" t="s">
        <v>4606</v>
      </c>
      <c r="D2990" s="44" t="s">
        <v>4610</v>
      </c>
      <c r="E2990" s="45">
        <v>1</v>
      </c>
      <c r="F2990" s="46">
        <v>74.989999999999995</v>
      </c>
      <c r="G2990" s="46">
        <f t="shared" si="46"/>
        <v>74.989999999999995</v>
      </c>
      <c r="H2990" s="47" t="s">
        <v>25</v>
      </c>
      <c r="I2990" s="47" t="s">
        <v>58</v>
      </c>
      <c r="J2990" s="32"/>
    </row>
    <row r="2991" spans="1:10" x14ac:dyDescent="0.2">
      <c r="A2991" s="32"/>
      <c r="B2991" s="36" t="s">
        <v>4611</v>
      </c>
      <c r="C2991" s="37" t="s">
        <v>4606</v>
      </c>
      <c r="D2991" s="38" t="s">
        <v>4612</v>
      </c>
      <c r="E2991" s="39">
        <v>1</v>
      </c>
      <c r="F2991" s="40">
        <v>18.989999999999998</v>
      </c>
      <c r="G2991" s="40">
        <f t="shared" si="46"/>
        <v>18.989999999999998</v>
      </c>
      <c r="H2991" s="41" t="s">
        <v>25</v>
      </c>
      <c r="I2991" s="41" t="s">
        <v>58</v>
      </c>
      <c r="J2991" s="32"/>
    </row>
    <row r="2992" spans="1:10" x14ac:dyDescent="0.2">
      <c r="A2992" s="32"/>
      <c r="B2992" s="42" t="s">
        <v>4613</v>
      </c>
      <c r="C2992" s="43" t="s">
        <v>4614</v>
      </c>
      <c r="D2992" s="44" t="s">
        <v>4615</v>
      </c>
      <c r="E2992" s="45">
        <v>1</v>
      </c>
      <c r="F2992" s="46">
        <v>221.15</v>
      </c>
      <c r="G2992" s="46">
        <f t="shared" si="46"/>
        <v>221.15</v>
      </c>
      <c r="H2992" s="47" t="s">
        <v>24</v>
      </c>
      <c r="I2992" s="47" t="s">
        <v>58</v>
      </c>
      <c r="J2992" s="32"/>
    </row>
    <row r="2993" spans="1:10" x14ac:dyDescent="0.2">
      <c r="A2993" s="32"/>
      <c r="B2993" s="36" t="s">
        <v>4616</v>
      </c>
      <c r="C2993" s="37" t="s">
        <v>4614</v>
      </c>
      <c r="D2993" s="38" t="s">
        <v>4617</v>
      </c>
      <c r="E2993" s="39">
        <v>1</v>
      </c>
      <c r="F2993" s="40">
        <v>63.43</v>
      </c>
      <c r="G2993" s="40">
        <f t="shared" si="46"/>
        <v>63.43</v>
      </c>
      <c r="H2993" s="41" t="s">
        <v>24</v>
      </c>
      <c r="I2993" s="41" t="s">
        <v>58</v>
      </c>
      <c r="J2993" s="32"/>
    </row>
    <row r="2994" spans="1:10" x14ac:dyDescent="0.2">
      <c r="A2994" s="32"/>
      <c r="B2994" s="42" t="s">
        <v>4618</v>
      </c>
      <c r="C2994" s="43" t="s">
        <v>4614</v>
      </c>
      <c r="D2994" s="44" t="s">
        <v>4619</v>
      </c>
      <c r="E2994" s="45">
        <v>1</v>
      </c>
      <c r="F2994" s="46">
        <v>32.729999999999997</v>
      </c>
      <c r="G2994" s="46">
        <f t="shared" si="46"/>
        <v>32.729999999999997</v>
      </c>
      <c r="H2994" s="47" t="s">
        <v>24</v>
      </c>
      <c r="I2994" s="47" t="s">
        <v>58</v>
      </c>
      <c r="J2994" s="32"/>
    </row>
    <row r="2995" spans="1:10" x14ac:dyDescent="0.2">
      <c r="A2995" s="32"/>
      <c r="B2995" s="36" t="s">
        <v>4620</v>
      </c>
      <c r="C2995" s="37" t="s">
        <v>4614</v>
      </c>
      <c r="D2995" s="38" t="s">
        <v>4621</v>
      </c>
      <c r="E2995" s="39">
        <v>1</v>
      </c>
      <c r="F2995" s="40">
        <v>26.37</v>
      </c>
      <c r="G2995" s="40">
        <f t="shared" si="46"/>
        <v>26.37</v>
      </c>
      <c r="H2995" s="41" t="s">
        <v>24</v>
      </c>
      <c r="I2995" s="41" t="s">
        <v>58</v>
      </c>
      <c r="J2995" s="32"/>
    </row>
    <row r="2996" spans="1:10" x14ac:dyDescent="0.2">
      <c r="A2996" s="32"/>
      <c r="B2996" s="42" t="s">
        <v>4622</v>
      </c>
      <c r="C2996" s="43" t="s">
        <v>4594</v>
      </c>
      <c r="D2996" s="44" t="s">
        <v>4623</v>
      </c>
      <c r="E2996" s="45">
        <v>1</v>
      </c>
      <c r="F2996" s="46">
        <v>67.37</v>
      </c>
      <c r="G2996" s="46">
        <f t="shared" si="46"/>
        <v>67.37</v>
      </c>
      <c r="H2996" s="47" t="s">
        <v>25</v>
      </c>
      <c r="I2996" s="47" t="s">
        <v>58</v>
      </c>
      <c r="J2996" s="32"/>
    </row>
    <row r="2997" spans="1:10" x14ac:dyDescent="0.2">
      <c r="A2997" s="32"/>
      <c r="B2997" s="36" t="s">
        <v>4624</v>
      </c>
      <c r="C2997" s="37" t="s">
        <v>4594</v>
      </c>
      <c r="D2997" s="38" t="s">
        <v>4625</v>
      </c>
      <c r="E2997" s="39">
        <v>1</v>
      </c>
      <c r="F2997" s="40">
        <v>120.87</v>
      </c>
      <c r="G2997" s="40">
        <f t="shared" si="46"/>
        <v>120.87</v>
      </c>
      <c r="H2997" s="41" t="s">
        <v>25</v>
      </c>
      <c r="I2997" s="41" t="s">
        <v>58</v>
      </c>
      <c r="J2997" s="32"/>
    </row>
    <row r="2998" spans="1:10" x14ac:dyDescent="0.2">
      <c r="A2998" s="32"/>
      <c r="B2998" s="42" t="s">
        <v>4626</v>
      </c>
      <c r="C2998" s="43" t="s">
        <v>4594</v>
      </c>
      <c r="D2998" s="44" t="s">
        <v>4627</v>
      </c>
      <c r="E2998" s="45">
        <v>1</v>
      </c>
      <c r="F2998" s="46">
        <v>98.07</v>
      </c>
      <c r="G2998" s="46">
        <f t="shared" si="46"/>
        <v>98.07</v>
      </c>
      <c r="H2998" s="47" t="s">
        <v>25</v>
      </c>
      <c r="I2998" s="47" t="s">
        <v>58</v>
      </c>
      <c r="J2998" s="32"/>
    </row>
    <row r="2999" spans="1:10" x14ac:dyDescent="0.2">
      <c r="A2999" s="32"/>
      <c r="B2999" s="36" t="s">
        <v>4628</v>
      </c>
      <c r="C2999" s="37" t="s">
        <v>4594</v>
      </c>
      <c r="D2999" s="38" t="s">
        <v>4629</v>
      </c>
      <c r="E2999" s="39">
        <v>1</v>
      </c>
      <c r="F2999" s="40">
        <v>156.56</v>
      </c>
      <c r="G2999" s="40">
        <f t="shared" si="46"/>
        <v>156.56</v>
      </c>
      <c r="H2999" s="41" t="s">
        <v>25</v>
      </c>
      <c r="I2999" s="41" t="s">
        <v>58</v>
      </c>
      <c r="J2999" s="32"/>
    </row>
    <row r="3000" spans="1:10" x14ac:dyDescent="0.2">
      <c r="A3000" s="32"/>
      <c r="B3000" s="42" t="s">
        <v>4630</v>
      </c>
      <c r="C3000" s="43" t="s">
        <v>4594</v>
      </c>
      <c r="D3000" s="44" t="s">
        <v>4631</v>
      </c>
      <c r="E3000" s="45">
        <v>1</v>
      </c>
      <c r="F3000" s="46">
        <v>80.989999999999995</v>
      </c>
      <c r="G3000" s="46">
        <f t="shared" si="46"/>
        <v>80.989999999999995</v>
      </c>
      <c r="H3000" s="47" t="s">
        <v>24</v>
      </c>
      <c r="I3000" s="47" t="s">
        <v>58</v>
      </c>
      <c r="J3000" s="32"/>
    </row>
    <row r="3001" spans="1:10" x14ac:dyDescent="0.2">
      <c r="A3001" s="32"/>
      <c r="B3001" s="36" t="s">
        <v>4632</v>
      </c>
      <c r="C3001" s="37" t="s">
        <v>4594</v>
      </c>
      <c r="D3001" s="38" t="s">
        <v>4631</v>
      </c>
      <c r="E3001" s="39">
        <v>1</v>
      </c>
      <c r="F3001" s="40">
        <v>80.989999999999995</v>
      </c>
      <c r="G3001" s="40">
        <f t="shared" si="46"/>
        <v>80.989999999999995</v>
      </c>
      <c r="H3001" s="41" t="s">
        <v>24</v>
      </c>
      <c r="I3001" s="41" t="s">
        <v>58</v>
      </c>
      <c r="J3001" s="32"/>
    </row>
    <row r="3002" spans="1:10" x14ac:dyDescent="0.2">
      <c r="A3002" s="32"/>
      <c r="B3002" s="42" t="s">
        <v>4633</v>
      </c>
      <c r="C3002" s="43" t="s">
        <v>4594</v>
      </c>
      <c r="D3002" s="44" t="s">
        <v>4634</v>
      </c>
      <c r="E3002" s="45">
        <v>1</v>
      </c>
      <c r="F3002" s="46">
        <v>26.9</v>
      </c>
      <c r="G3002" s="46">
        <f t="shared" si="46"/>
        <v>26.9</v>
      </c>
      <c r="H3002" s="47" t="s">
        <v>24</v>
      </c>
      <c r="I3002" s="47" t="s">
        <v>58</v>
      </c>
      <c r="J3002" s="32"/>
    </row>
    <row r="3003" spans="1:10" x14ac:dyDescent="0.2">
      <c r="A3003" s="32"/>
      <c r="B3003" s="36" t="s">
        <v>4635</v>
      </c>
      <c r="C3003" s="37" t="s">
        <v>4594</v>
      </c>
      <c r="D3003" s="38" t="s">
        <v>4623</v>
      </c>
      <c r="E3003" s="39">
        <v>1</v>
      </c>
      <c r="F3003" s="40">
        <v>67.37</v>
      </c>
      <c r="G3003" s="40">
        <f t="shared" si="46"/>
        <v>67.37</v>
      </c>
      <c r="H3003" s="41" t="s">
        <v>25</v>
      </c>
      <c r="I3003" s="41" t="s">
        <v>58</v>
      </c>
      <c r="J3003" s="32"/>
    </row>
    <row r="3004" spans="1:10" x14ac:dyDescent="0.2">
      <c r="A3004" s="32"/>
      <c r="B3004" s="42" t="s">
        <v>4636</v>
      </c>
      <c r="C3004" s="43" t="s">
        <v>4594</v>
      </c>
      <c r="D3004" s="44" t="s">
        <v>4637</v>
      </c>
      <c r="E3004" s="45">
        <v>1</v>
      </c>
      <c r="F3004" s="46">
        <v>39.99</v>
      </c>
      <c r="G3004" s="46">
        <f t="shared" si="46"/>
        <v>39.99</v>
      </c>
      <c r="H3004" s="47" t="s">
        <v>28</v>
      </c>
      <c r="I3004" s="47" t="s">
        <v>58</v>
      </c>
      <c r="J3004" s="32"/>
    </row>
    <row r="3005" spans="1:10" x14ac:dyDescent="0.2">
      <c r="A3005" s="32"/>
      <c r="B3005" s="36" t="s">
        <v>4638</v>
      </c>
      <c r="C3005" s="37" t="s">
        <v>4639</v>
      </c>
      <c r="D3005" s="38" t="s">
        <v>4640</v>
      </c>
      <c r="E3005" s="39">
        <v>1</v>
      </c>
      <c r="F3005" s="40">
        <v>32.99</v>
      </c>
      <c r="G3005" s="40">
        <f t="shared" si="46"/>
        <v>32.99</v>
      </c>
      <c r="H3005" s="41" t="s">
        <v>25</v>
      </c>
      <c r="I3005" s="41" t="s">
        <v>3006</v>
      </c>
      <c r="J3005" s="32"/>
    </row>
    <row r="3006" spans="1:10" x14ac:dyDescent="0.2">
      <c r="A3006" s="32"/>
      <c r="B3006" s="42" t="s">
        <v>4641</v>
      </c>
      <c r="C3006" s="43" t="s">
        <v>4639</v>
      </c>
      <c r="D3006" s="44" t="s">
        <v>1804</v>
      </c>
      <c r="E3006" s="45">
        <v>1</v>
      </c>
      <c r="F3006" s="46">
        <v>61.99</v>
      </c>
      <c r="G3006" s="46">
        <f t="shared" si="46"/>
        <v>61.99</v>
      </c>
      <c r="H3006" s="47" t="s">
        <v>24</v>
      </c>
      <c r="I3006" s="47" t="s">
        <v>58</v>
      </c>
      <c r="J3006" s="32"/>
    </row>
    <row r="3007" spans="1:10" x14ac:dyDescent="0.2">
      <c r="A3007" s="32"/>
      <c r="B3007" s="36" t="s">
        <v>4642</v>
      </c>
      <c r="C3007" s="37" t="s">
        <v>4639</v>
      </c>
      <c r="D3007" s="38" t="s">
        <v>4643</v>
      </c>
      <c r="E3007" s="39">
        <v>1</v>
      </c>
      <c r="F3007" s="40">
        <v>34.99</v>
      </c>
      <c r="G3007" s="40">
        <f t="shared" si="46"/>
        <v>34.99</v>
      </c>
      <c r="H3007" s="41" t="s">
        <v>24</v>
      </c>
      <c r="I3007" s="41" t="s">
        <v>58</v>
      </c>
      <c r="J3007" s="32"/>
    </row>
    <row r="3008" spans="1:10" x14ac:dyDescent="0.2">
      <c r="A3008" s="32"/>
      <c r="B3008" s="42" t="s">
        <v>4644</v>
      </c>
      <c r="C3008" s="43" t="s">
        <v>4639</v>
      </c>
      <c r="D3008" s="44" t="s">
        <v>4645</v>
      </c>
      <c r="E3008" s="45">
        <v>1</v>
      </c>
      <c r="F3008" s="46">
        <v>14.49</v>
      </c>
      <c r="G3008" s="46">
        <f t="shared" si="46"/>
        <v>14.49</v>
      </c>
      <c r="H3008" s="47" t="s">
        <v>24</v>
      </c>
      <c r="I3008" s="47" t="s">
        <v>58</v>
      </c>
      <c r="J3008" s="32"/>
    </row>
    <row r="3009" spans="1:10" x14ac:dyDescent="0.2">
      <c r="A3009" s="32"/>
      <c r="B3009" s="36" t="s">
        <v>4646</v>
      </c>
      <c r="C3009" s="37" t="s">
        <v>4639</v>
      </c>
      <c r="D3009" s="38" t="s">
        <v>4647</v>
      </c>
      <c r="E3009" s="39">
        <v>1</v>
      </c>
      <c r="F3009" s="40">
        <v>13.99</v>
      </c>
      <c r="G3009" s="40">
        <f t="shared" si="46"/>
        <v>13.99</v>
      </c>
      <c r="H3009" s="41" t="s">
        <v>24</v>
      </c>
      <c r="I3009" s="41" t="s">
        <v>58</v>
      </c>
      <c r="J3009" s="32"/>
    </row>
    <row r="3010" spans="1:10" x14ac:dyDescent="0.2">
      <c r="A3010" s="32"/>
      <c r="B3010" s="42" t="s">
        <v>4648</v>
      </c>
      <c r="C3010" s="43" t="s">
        <v>4639</v>
      </c>
      <c r="D3010" s="44" t="s">
        <v>4649</v>
      </c>
      <c r="E3010" s="45">
        <v>1</v>
      </c>
      <c r="F3010" s="46">
        <v>5.49</v>
      </c>
      <c r="G3010" s="46">
        <f t="shared" si="46"/>
        <v>5.49</v>
      </c>
      <c r="H3010" s="47" t="s">
        <v>24</v>
      </c>
      <c r="I3010" s="47" t="s">
        <v>58</v>
      </c>
      <c r="J3010" s="32"/>
    </row>
    <row r="3011" spans="1:10" x14ac:dyDescent="0.2">
      <c r="A3011" s="32"/>
      <c r="B3011" s="36" t="s">
        <v>4650</v>
      </c>
      <c r="C3011" s="37" t="s">
        <v>4651</v>
      </c>
      <c r="D3011" s="38" t="s">
        <v>2858</v>
      </c>
      <c r="E3011" s="39">
        <v>1</v>
      </c>
      <c r="F3011" s="40">
        <v>134.99</v>
      </c>
      <c r="G3011" s="40">
        <f t="shared" si="46"/>
        <v>134.99</v>
      </c>
      <c r="H3011" s="41" t="s">
        <v>24</v>
      </c>
      <c r="I3011" s="41" t="s">
        <v>58</v>
      </c>
      <c r="J3011" s="32"/>
    </row>
    <row r="3012" spans="1:10" x14ac:dyDescent="0.2">
      <c r="A3012" s="32"/>
      <c r="B3012" s="42" t="s">
        <v>4652</v>
      </c>
      <c r="C3012" s="43" t="s">
        <v>4651</v>
      </c>
      <c r="D3012" s="44" t="s">
        <v>38</v>
      </c>
      <c r="E3012" s="45">
        <v>1</v>
      </c>
      <c r="F3012" s="46">
        <v>6.99</v>
      </c>
      <c r="G3012" s="46">
        <f t="shared" si="46"/>
        <v>6.99</v>
      </c>
      <c r="H3012" s="47" t="s">
        <v>24</v>
      </c>
      <c r="I3012" s="47" t="s">
        <v>58</v>
      </c>
      <c r="J3012" s="32"/>
    </row>
    <row r="3013" spans="1:10" x14ac:dyDescent="0.2">
      <c r="A3013" s="32"/>
      <c r="B3013" s="36" t="s">
        <v>4653</v>
      </c>
      <c r="C3013" s="37" t="s">
        <v>4651</v>
      </c>
      <c r="D3013" s="38" t="s">
        <v>4654</v>
      </c>
      <c r="E3013" s="39">
        <v>1</v>
      </c>
      <c r="F3013" s="40">
        <v>18.989999999999998</v>
      </c>
      <c r="G3013" s="40">
        <f t="shared" ref="G3013:G3076" si="47">E3013*F3013</f>
        <v>18.989999999999998</v>
      </c>
      <c r="H3013" s="41" t="s">
        <v>24</v>
      </c>
      <c r="I3013" s="41" t="s">
        <v>58</v>
      </c>
      <c r="J3013" s="32"/>
    </row>
    <row r="3014" spans="1:10" x14ac:dyDescent="0.2">
      <c r="A3014" s="32"/>
      <c r="B3014" s="42" t="s">
        <v>4655</v>
      </c>
      <c r="C3014" s="43" t="s">
        <v>4651</v>
      </c>
      <c r="D3014" s="44" t="s">
        <v>4656</v>
      </c>
      <c r="E3014" s="45">
        <v>1</v>
      </c>
      <c r="F3014" s="46">
        <v>5.59</v>
      </c>
      <c r="G3014" s="46">
        <f t="shared" si="47"/>
        <v>5.59</v>
      </c>
      <c r="H3014" s="47" t="s">
        <v>24</v>
      </c>
      <c r="I3014" s="47" t="s">
        <v>58</v>
      </c>
      <c r="J3014" s="32"/>
    </row>
    <row r="3015" spans="1:10" x14ac:dyDescent="0.2">
      <c r="A3015" s="32"/>
      <c r="B3015" s="36" t="s">
        <v>4657</v>
      </c>
      <c r="C3015" s="37" t="s">
        <v>4651</v>
      </c>
      <c r="D3015" s="38" t="s">
        <v>4658</v>
      </c>
      <c r="E3015" s="39">
        <v>1</v>
      </c>
      <c r="F3015" s="40">
        <v>21.99</v>
      </c>
      <c r="G3015" s="40">
        <f t="shared" si="47"/>
        <v>21.99</v>
      </c>
      <c r="H3015" s="41" t="s">
        <v>24</v>
      </c>
      <c r="I3015" s="41" t="s">
        <v>58</v>
      </c>
      <c r="J3015" s="32"/>
    </row>
    <row r="3016" spans="1:10" x14ac:dyDescent="0.2">
      <c r="A3016" s="32"/>
      <c r="B3016" s="42" t="s">
        <v>4659</v>
      </c>
      <c r="C3016" s="43" t="s">
        <v>4651</v>
      </c>
      <c r="D3016" s="44" t="s">
        <v>3672</v>
      </c>
      <c r="E3016" s="45">
        <v>1</v>
      </c>
      <c r="F3016" s="46">
        <v>21.99</v>
      </c>
      <c r="G3016" s="46">
        <f t="shared" si="47"/>
        <v>21.99</v>
      </c>
      <c r="H3016" s="47" t="s">
        <v>24</v>
      </c>
      <c r="I3016" s="47" t="s">
        <v>58</v>
      </c>
      <c r="J3016" s="32"/>
    </row>
    <row r="3017" spans="1:10" x14ac:dyDescent="0.2">
      <c r="A3017" s="32"/>
      <c r="B3017" s="36" t="s">
        <v>4660</v>
      </c>
      <c r="C3017" s="37" t="s">
        <v>4651</v>
      </c>
      <c r="D3017" s="38" t="s">
        <v>3870</v>
      </c>
      <c r="E3017" s="39">
        <v>1</v>
      </c>
      <c r="F3017" s="40">
        <v>24.99</v>
      </c>
      <c r="G3017" s="40">
        <f t="shared" si="47"/>
        <v>24.99</v>
      </c>
      <c r="H3017" s="41" t="s">
        <v>24</v>
      </c>
      <c r="I3017" s="41" t="s">
        <v>58</v>
      </c>
      <c r="J3017" s="32"/>
    </row>
    <row r="3018" spans="1:10" x14ac:dyDescent="0.2">
      <c r="A3018" s="32"/>
      <c r="B3018" s="42" t="s">
        <v>4661</v>
      </c>
      <c r="C3018" s="43" t="s">
        <v>4651</v>
      </c>
      <c r="D3018" s="44" t="s">
        <v>4662</v>
      </c>
      <c r="E3018" s="45">
        <v>1</v>
      </c>
      <c r="F3018" s="46">
        <v>21.99</v>
      </c>
      <c r="G3018" s="46">
        <f t="shared" si="47"/>
        <v>21.99</v>
      </c>
      <c r="H3018" s="47" t="s">
        <v>24</v>
      </c>
      <c r="I3018" s="47" t="s">
        <v>58</v>
      </c>
      <c r="J3018" s="32"/>
    </row>
    <row r="3019" spans="1:10" x14ac:dyDescent="0.2">
      <c r="A3019" s="32"/>
      <c r="B3019" s="36" t="s">
        <v>4663</v>
      </c>
      <c r="C3019" s="37" t="s">
        <v>4651</v>
      </c>
      <c r="D3019" s="38" t="s">
        <v>3524</v>
      </c>
      <c r="E3019" s="39">
        <v>1</v>
      </c>
      <c r="F3019" s="40">
        <v>6.99</v>
      </c>
      <c r="G3019" s="40">
        <f t="shared" si="47"/>
        <v>6.99</v>
      </c>
      <c r="H3019" s="41" t="s">
        <v>24</v>
      </c>
      <c r="I3019" s="41" t="s">
        <v>58</v>
      </c>
      <c r="J3019" s="32"/>
    </row>
    <row r="3020" spans="1:10" x14ac:dyDescent="0.2">
      <c r="A3020" s="32"/>
      <c r="B3020" s="42" t="s">
        <v>4664</v>
      </c>
      <c r="C3020" s="43" t="s">
        <v>4651</v>
      </c>
      <c r="D3020" s="44" t="s">
        <v>2672</v>
      </c>
      <c r="E3020" s="45">
        <v>1</v>
      </c>
      <c r="F3020" s="46">
        <v>3.99</v>
      </c>
      <c r="G3020" s="46">
        <f t="shared" si="47"/>
        <v>3.99</v>
      </c>
      <c r="H3020" s="47" t="s">
        <v>24</v>
      </c>
      <c r="I3020" s="47" t="s">
        <v>58</v>
      </c>
      <c r="J3020" s="32"/>
    </row>
    <row r="3021" spans="1:10" x14ac:dyDescent="0.2">
      <c r="A3021" s="32"/>
      <c r="B3021" s="36" t="s">
        <v>4665</v>
      </c>
      <c r="C3021" s="37" t="s">
        <v>4651</v>
      </c>
      <c r="D3021" s="38" t="s">
        <v>3465</v>
      </c>
      <c r="E3021" s="39">
        <v>1</v>
      </c>
      <c r="F3021" s="40">
        <v>5.99</v>
      </c>
      <c r="G3021" s="40">
        <f t="shared" si="47"/>
        <v>5.99</v>
      </c>
      <c r="H3021" s="41" t="s">
        <v>24</v>
      </c>
      <c r="I3021" s="41" t="s">
        <v>58</v>
      </c>
      <c r="J3021" s="32"/>
    </row>
    <row r="3022" spans="1:10" x14ac:dyDescent="0.2">
      <c r="A3022" s="32"/>
      <c r="B3022" s="42" t="s">
        <v>4666</v>
      </c>
      <c r="C3022" s="43" t="s">
        <v>4651</v>
      </c>
      <c r="D3022" s="44" t="s">
        <v>1007</v>
      </c>
      <c r="E3022" s="45">
        <v>1</v>
      </c>
      <c r="F3022" s="46">
        <v>3.99</v>
      </c>
      <c r="G3022" s="46">
        <f t="shared" si="47"/>
        <v>3.99</v>
      </c>
      <c r="H3022" s="47" t="s">
        <v>24</v>
      </c>
      <c r="I3022" s="47" t="s">
        <v>58</v>
      </c>
      <c r="J3022" s="32"/>
    </row>
    <row r="3023" spans="1:10" x14ac:dyDescent="0.2">
      <c r="A3023" s="32"/>
      <c r="B3023" s="36" t="s">
        <v>4667</v>
      </c>
      <c r="C3023" s="37" t="s">
        <v>4651</v>
      </c>
      <c r="D3023" s="38" t="s">
        <v>4668</v>
      </c>
      <c r="E3023" s="39">
        <v>1</v>
      </c>
      <c r="F3023" s="40">
        <v>15.99</v>
      </c>
      <c r="G3023" s="40">
        <f t="shared" si="47"/>
        <v>15.99</v>
      </c>
      <c r="H3023" s="41" t="s">
        <v>24</v>
      </c>
      <c r="I3023" s="41" t="s">
        <v>58</v>
      </c>
      <c r="J3023" s="32"/>
    </row>
    <row r="3024" spans="1:10" x14ac:dyDescent="0.2">
      <c r="A3024" s="32"/>
      <c r="B3024" s="42" t="s">
        <v>4669</v>
      </c>
      <c r="C3024" s="43" t="s">
        <v>4651</v>
      </c>
      <c r="D3024" s="44" t="s">
        <v>2591</v>
      </c>
      <c r="E3024" s="45">
        <v>1</v>
      </c>
      <c r="F3024" s="46">
        <v>6.99</v>
      </c>
      <c r="G3024" s="46">
        <f t="shared" si="47"/>
        <v>6.99</v>
      </c>
      <c r="H3024" s="47" t="s">
        <v>24</v>
      </c>
      <c r="I3024" s="47" t="s">
        <v>58</v>
      </c>
      <c r="J3024" s="32"/>
    </row>
    <row r="3025" spans="1:10" x14ac:dyDescent="0.2">
      <c r="A3025" s="32"/>
      <c r="B3025" s="36" t="s">
        <v>4670</v>
      </c>
      <c r="C3025" s="37" t="s">
        <v>4651</v>
      </c>
      <c r="D3025" s="38" t="s">
        <v>42</v>
      </c>
      <c r="E3025" s="39">
        <v>1</v>
      </c>
      <c r="F3025" s="40">
        <v>9.99</v>
      </c>
      <c r="G3025" s="40">
        <f t="shared" si="47"/>
        <v>9.99</v>
      </c>
      <c r="H3025" s="41" t="s">
        <v>24</v>
      </c>
      <c r="I3025" s="41" t="s">
        <v>58</v>
      </c>
      <c r="J3025" s="32"/>
    </row>
    <row r="3026" spans="1:10" x14ac:dyDescent="0.2">
      <c r="A3026" s="32"/>
      <c r="B3026" s="42" t="s">
        <v>4671</v>
      </c>
      <c r="C3026" s="43" t="s">
        <v>4651</v>
      </c>
      <c r="D3026" s="44" t="s">
        <v>3472</v>
      </c>
      <c r="E3026" s="45">
        <v>1</v>
      </c>
      <c r="F3026" s="46">
        <v>8.99</v>
      </c>
      <c r="G3026" s="46">
        <f t="shared" si="47"/>
        <v>8.99</v>
      </c>
      <c r="H3026" s="47" t="s">
        <v>24</v>
      </c>
      <c r="I3026" s="47" t="s">
        <v>58</v>
      </c>
      <c r="J3026" s="32"/>
    </row>
    <row r="3027" spans="1:10" x14ac:dyDescent="0.2">
      <c r="A3027" s="32"/>
      <c r="B3027" s="36" t="s">
        <v>4672</v>
      </c>
      <c r="C3027" s="37" t="s">
        <v>4651</v>
      </c>
      <c r="D3027" s="38" t="s">
        <v>81</v>
      </c>
      <c r="E3027" s="39">
        <v>1</v>
      </c>
      <c r="F3027" s="40">
        <v>4.99</v>
      </c>
      <c r="G3027" s="40">
        <f t="shared" si="47"/>
        <v>4.99</v>
      </c>
      <c r="H3027" s="41" t="s">
        <v>24</v>
      </c>
      <c r="I3027" s="41" t="s">
        <v>58</v>
      </c>
      <c r="J3027" s="32"/>
    </row>
    <row r="3028" spans="1:10" x14ac:dyDescent="0.2">
      <c r="A3028" s="32"/>
      <c r="B3028" s="42" t="s">
        <v>4673</v>
      </c>
      <c r="C3028" s="43" t="s">
        <v>4651</v>
      </c>
      <c r="D3028" s="44" t="s">
        <v>1678</v>
      </c>
      <c r="E3028" s="45">
        <v>1</v>
      </c>
      <c r="F3028" s="46">
        <v>12.99</v>
      </c>
      <c r="G3028" s="46">
        <f t="shared" si="47"/>
        <v>12.99</v>
      </c>
      <c r="H3028" s="47" t="s">
        <v>24</v>
      </c>
      <c r="I3028" s="47" t="s">
        <v>58</v>
      </c>
      <c r="J3028" s="32"/>
    </row>
    <row r="3029" spans="1:10" x14ac:dyDescent="0.2">
      <c r="A3029" s="32"/>
      <c r="B3029" s="36" t="s">
        <v>4674</v>
      </c>
      <c r="C3029" s="37" t="s">
        <v>4651</v>
      </c>
      <c r="D3029" s="38" t="s">
        <v>4675</v>
      </c>
      <c r="E3029" s="39">
        <v>1</v>
      </c>
      <c r="F3029" s="40">
        <v>4.99</v>
      </c>
      <c r="G3029" s="40">
        <f t="shared" si="47"/>
        <v>4.99</v>
      </c>
      <c r="H3029" s="41" t="s">
        <v>24</v>
      </c>
      <c r="I3029" s="41" t="s">
        <v>58</v>
      </c>
      <c r="J3029" s="32"/>
    </row>
    <row r="3030" spans="1:10" x14ac:dyDescent="0.2">
      <c r="A3030" s="32"/>
      <c r="B3030" s="42" t="s">
        <v>4676</v>
      </c>
      <c r="C3030" s="43" t="s">
        <v>4651</v>
      </c>
      <c r="D3030" s="44" t="s">
        <v>1852</v>
      </c>
      <c r="E3030" s="45">
        <v>1</v>
      </c>
      <c r="F3030" s="46">
        <v>21.99</v>
      </c>
      <c r="G3030" s="46">
        <f t="shared" si="47"/>
        <v>21.99</v>
      </c>
      <c r="H3030" s="47" t="s">
        <v>24</v>
      </c>
      <c r="I3030" s="47" t="s">
        <v>58</v>
      </c>
      <c r="J3030" s="32"/>
    </row>
    <row r="3031" spans="1:10" x14ac:dyDescent="0.2">
      <c r="A3031" s="32"/>
      <c r="B3031" s="36" t="s">
        <v>4677</v>
      </c>
      <c r="C3031" s="37" t="s">
        <v>4651</v>
      </c>
      <c r="D3031" s="38" t="s">
        <v>3711</v>
      </c>
      <c r="E3031" s="39">
        <v>1</v>
      </c>
      <c r="F3031" s="40">
        <v>21.49</v>
      </c>
      <c r="G3031" s="40">
        <f t="shared" si="47"/>
        <v>21.49</v>
      </c>
      <c r="H3031" s="41" t="s">
        <v>24</v>
      </c>
      <c r="I3031" s="41" t="s">
        <v>58</v>
      </c>
      <c r="J3031" s="32"/>
    </row>
    <row r="3032" spans="1:10" x14ac:dyDescent="0.2">
      <c r="A3032" s="32"/>
      <c r="B3032" s="42" t="s">
        <v>4678</v>
      </c>
      <c r="C3032" s="43" t="s">
        <v>4651</v>
      </c>
      <c r="D3032" s="44" t="s">
        <v>4472</v>
      </c>
      <c r="E3032" s="45">
        <v>1</v>
      </c>
      <c r="F3032" s="46">
        <v>17.79</v>
      </c>
      <c r="G3032" s="46">
        <f t="shared" si="47"/>
        <v>17.79</v>
      </c>
      <c r="H3032" s="47" t="s">
        <v>24</v>
      </c>
      <c r="I3032" s="47" t="s">
        <v>58</v>
      </c>
      <c r="J3032" s="32"/>
    </row>
    <row r="3033" spans="1:10" x14ac:dyDescent="0.2">
      <c r="A3033" s="32"/>
      <c r="B3033" s="36" t="s">
        <v>4679</v>
      </c>
      <c r="C3033" s="37" t="s">
        <v>4651</v>
      </c>
      <c r="D3033" s="38" t="s">
        <v>2493</v>
      </c>
      <c r="E3033" s="39">
        <v>1</v>
      </c>
      <c r="F3033" s="40">
        <v>49.99</v>
      </c>
      <c r="G3033" s="40">
        <f t="shared" si="47"/>
        <v>49.99</v>
      </c>
      <c r="H3033" s="41" t="s">
        <v>24</v>
      </c>
      <c r="I3033" s="41" t="s">
        <v>58</v>
      </c>
      <c r="J3033" s="32"/>
    </row>
    <row r="3034" spans="1:10" x14ac:dyDescent="0.2">
      <c r="A3034" s="32"/>
      <c r="B3034" s="42" t="s">
        <v>4680</v>
      </c>
      <c r="C3034" s="43" t="s">
        <v>4651</v>
      </c>
      <c r="D3034" s="44" t="s">
        <v>4435</v>
      </c>
      <c r="E3034" s="45">
        <v>1</v>
      </c>
      <c r="F3034" s="46">
        <v>18.989999999999998</v>
      </c>
      <c r="G3034" s="46">
        <f t="shared" si="47"/>
        <v>18.989999999999998</v>
      </c>
      <c r="H3034" s="47" t="s">
        <v>24</v>
      </c>
      <c r="I3034" s="47" t="s">
        <v>58</v>
      </c>
      <c r="J3034" s="32"/>
    </row>
    <row r="3035" spans="1:10" x14ac:dyDescent="0.2">
      <c r="A3035" s="32"/>
      <c r="B3035" s="36" t="s">
        <v>4681</v>
      </c>
      <c r="C3035" s="37" t="s">
        <v>4651</v>
      </c>
      <c r="D3035" s="38" t="s">
        <v>4435</v>
      </c>
      <c r="E3035" s="39">
        <v>1</v>
      </c>
      <c r="F3035" s="40">
        <v>18.989999999999998</v>
      </c>
      <c r="G3035" s="40">
        <f t="shared" si="47"/>
        <v>18.989999999999998</v>
      </c>
      <c r="H3035" s="41" t="s">
        <v>24</v>
      </c>
      <c r="I3035" s="41" t="s">
        <v>58</v>
      </c>
      <c r="J3035" s="32"/>
    </row>
    <row r="3036" spans="1:10" x14ac:dyDescent="0.2">
      <c r="A3036" s="32"/>
      <c r="B3036" s="42" t="s">
        <v>4682</v>
      </c>
      <c r="C3036" s="43" t="s">
        <v>4651</v>
      </c>
      <c r="D3036" s="44" t="s">
        <v>2856</v>
      </c>
      <c r="E3036" s="45">
        <v>1</v>
      </c>
      <c r="F3036" s="46">
        <v>14.99</v>
      </c>
      <c r="G3036" s="46">
        <f t="shared" si="47"/>
        <v>14.99</v>
      </c>
      <c r="H3036" s="47" t="s">
        <v>24</v>
      </c>
      <c r="I3036" s="47" t="s">
        <v>58</v>
      </c>
      <c r="J3036" s="32"/>
    </row>
    <row r="3037" spans="1:10" x14ac:dyDescent="0.2">
      <c r="A3037" s="32"/>
      <c r="B3037" s="36" t="s">
        <v>4683</v>
      </c>
      <c r="C3037" s="37" t="s">
        <v>4651</v>
      </c>
      <c r="D3037" s="38" t="s">
        <v>4684</v>
      </c>
      <c r="E3037" s="39">
        <v>1</v>
      </c>
      <c r="F3037" s="40">
        <v>21.99</v>
      </c>
      <c r="G3037" s="40">
        <f t="shared" si="47"/>
        <v>21.99</v>
      </c>
      <c r="H3037" s="41" t="s">
        <v>24</v>
      </c>
      <c r="I3037" s="41" t="s">
        <v>58</v>
      </c>
      <c r="J3037" s="32"/>
    </row>
    <row r="3038" spans="1:10" x14ac:dyDescent="0.2">
      <c r="A3038" s="32"/>
      <c r="B3038" s="42" t="s">
        <v>4685</v>
      </c>
      <c r="C3038" s="43" t="s">
        <v>4651</v>
      </c>
      <c r="D3038" s="44" t="s">
        <v>4686</v>
      </c>
      <c r="E3038" s="45">
        <v>1</v>
      </c>
      <c r="F3038" s="46">
        <v>18.989999999999998</v>
      </c>
      <c r="G3038" s="46">
        <f t="shared" si="47"/>
        <v>18.989999999999998</v>
      </c>
      <c r="H3038" s="47" t="s">
        <v>24</v>
      </c>
      <c r="I3038" s="47" t="s">
        <v>58</v>
      </c>
      <c r="J3038" s="32"/>
    </row>
    <row r="3039" spans="1:10" x14ac:dyDescent="0.2">
      <c r="A3039" s="32"/>
      <c r="B3039" s="36" t="s">
        <v>4687</v>
      </c>
      <c r="C3039" s="37" t="s">
        <v>4651</v>
      </c>
      <c r="D3039" s="38" t="s">
        <v>1366</v>
      </c>
      <c r="E3039" s="39">
        <v>1</v>
      </c>
      <c r="F3039" s="40">
        <v>15.69</v>
      </c>
      <c r="G3039" s="40">
        <f t="shared" si="47"/>
        <v>15.69</v>
      </c>
      <c r="H3039" s="41" t="s">
        <v>24</v>
      </c>
      <c r="I3039" s="41" t="s">
        <v>58</v>
      </c>
      <c r="J3039" s="32"/>
    </row>
    <row r="3040" spans="1:10" x14ac:dyDescent="0.2">
      <c r="A3040" s="32"/>
      <c r="B3040" s="42" t="s">
        <v>4688</v>
      </c>
      <c r="C3040" s="43" t="s">
        <v>4651</v>
      </c>
      <c r="D3040" s="44" t="s">
        <v>3097</v>
      </c>
      <c r="E3040" s="45">
        <v>1</v>
      </c>
      <c r="F3040" s="46">
        <v>22.99</v>
      </c>
      <c r="G3040" s="46">
        <f t="shared" si="47"/>
        <v>22.99</v>
      </c>
      <c r="H3040" s="47" t="s">
        <v>24</v>
      </c>
      <c r="I3040" s="47" t="s">
        <v>58</v>
      </c>
      <c r="J3040" s="32"/>
    </row>
    <row r="3041" spans="1:10" x14ac:dyDescent="0.2">
      <c r="A3041" s="32"/>
      <c r="B3041" s="36" t="s">
        <v>4689</v>
      </c>
      <c r="C3041" s="37" t="s">
        <v>4651</v>
      </c>
      <c r="D3041" s="38" t="s">
        <v>4690</v>
      </c>
      <c r="E3041" s="39">
        <v>1</v>
      </c>
      <c r="F3041" s="40">
        <v>17.989999999999998</v>
      </c>
      <c r="G3041" s="40">
        <f t="shared" si="47"/>
        <v>17.989999999999998</v>
      </c>
      <c r="H3041" s="41" t="s">
        <v>24</v>
      </c>
      <c r="I3041" s="41" t="s">
        <v>58</v>
      </c>
      <c r="J3041" s="32"/>
    </row>
    <row r="3042" spans="1:10" x14ac:dyDescent="0.2">
      <c r="A3042" s="32"/>
      <c r="B3042" s="42" t="s">
        <v>4691</v>
      </c>
      <c r="C3042" s="43" t="s">
        <v>4651</v>
      </c>
      <c r="D3042" s="44" t="s">
        <v>3097</v>
      </c>
      <c r="E3042" s="45">
        <v>1</v>
      </c>
      <c r="F3042" s="46">
        <v>22.99</v>
      </c>
      <c r="G3042" s="46">
        <f t="shared" si="47"/>
        <v>22.99</v>
      </c>
      <c r="H3042" s="47" t="s">
        <v>24</v>
      </c>
      <c r="I3042" s="47" t="s">
        <v>58</v>
      </c>
      <c r="J3042" s="32"/>
    </row>
    <row r="3043" spans="1:10" x14ac:dyDescent="0.2">
      <c r="A3043" s="32"/>
      <c r="B3043" s="36" t="s">
        <v>4692</v>
      </c>
      <c r="C3043" s="37" t="s">
        <v>4651</v>
      </c>
      <c r="D3043" s="38" t="s">
        <v>4164</v>
      </c>
      <c r="E3043" s="39">
        <v>1</v>
      </c>
      <c r="F3043" s="40">
        <v>35.9</v>
      </c>
      <c r="G3043" s="40">
        <f t="shared" si="47"/>
        <v>35.9</v>
      </c>
      <c r="H3043" s="41" t="s">
        <v>24</v>
      </c>
      <c r="I3043" s="41" t="s">
        <v>58</v>
      </c>
      <c r="J3043" s="32"/>
    </row>
    <row r="3044" spans="1:10" x14ac:dyDescent="0.2">
      <c r="A3044" s="32"/>
      <c r="B3044" s="42" t="s">
        <v>4693</v>
      </c>
      <c r="C3044" s="43" t="s">
        <v>4651</v>
      </c>
      <c r="D3044" s="44" t="s">
        <v>3806</v>
      </c>
      <c r="E3044" s="45">
        <v>1</v>
      </c>
      <c r="F3044" s="46">
        <v>2.23</v>
      </c>
      <c r="G3044" s="46">
        <f t="shared" si="47"/>
        <v>2.23</v>
      </c>
      <c r="H3044" s="47" t="s">
        <v>24</v>
      </c>
      <c r="I3044" s="47" t="s">
        <v>58</v>
      </c>
      <c r="J3044" s="32"/>
    </row>
    <row r="3045" spans="1:10" x14ac:dyDescent="0.2">
      <c r="A3045" s="32"/>
      <c r="B3045" s="36" t="s">
        <v>4694</v>
      </c>
      <c r="C3045" s="37" t="s">
        <v>4651</v>
      </c>
      <c r="D3045" s="38" t="s">
        <v>3806</v>
      </c>
      <c r="E3045" s="39">
        <v>1</v>
      </c>
      <c r="F3045" s="40">
        <v>2.23</v>
      </c>
      <c r="G3045" s="40">
        <f t="shared" si="47"/>
        <v>2.23</v>
      </c>
      <c r="H3045" s="41" t="s">
        <v>24</v>
      </c>
      <c r="I3045" s="41" t="s">
        <v>58</v>
      </c>
      <c r="J3045" s="32"/>
    </row>
    <row r="3046" spans="1:10" x14ac:dyDescent="0.2">
      <c r="A3046" s="32"/>
      <c r="B3046" s="42" t="s">
        <v>4695</v>
      </c>
      <c r="C3046" s="43" t="s">
        <v>4651</v>
      </c>
      <c r="D3046" s="44" t="s">
        <v>2659</v>
      </c>
      <c r="E3046" s="45">
        <v>1</v>
      </c>
      <c r="F3046" s="46">
        <v>11.69</v>
      </c>
      <c r="G3046" s="46">
        <f t="shared" si="47"/>
        <v>11.69</v>
      </c>
      <c r="H3046" s="47" t="s">
        <v>24</v>
      </c>
      <c r="I3046" s="47" t="s">
        <v>58</v>
      </c>
      <c r="J3046" s="32"/>
    </row>
    <row r="3047" spans="1:10" x14ac:dyDescent="0.2">
      <c r="A3047" s="32"/>
      <c r="B3047" s="36" t="s">
        <v>4696</v>
      </c>
      <c r="C3047" s="37" t="s">
        <v>4651</v>
      </c>
      <c r="D3047" s="38" t="s">
        <v>2499</v>
      </c>
      <c r="E3047" s="39">
        <v>1</v>
      </c>
      <c r="F3047" s="40">
        <v>29.9</v>
      </c>
      <c r="G3047" s="40">
        <f t="shared" si="47"/>
        <v>29.9</v>
      </c>
      <c r="H3047" s="41" t="s">
        <v>24</v>
      </c>
      <c r="I3047" s="41" t="s">
        <v>58</v>
      </c>
      <c r="J3047" s="32"/>
    </row>
    <row r="3048" spans="1:10" x14ac:dyDescent="0.2">
      <c r="A3048" s="32"/>
      <c r="B3048" s="42" t="s">
        <v>4697</v>
      </c>
      <c r="C3048" s="43" t="s">
        <v>4651</v>
      </c>
      <c r="D3048" s="44" t="s">
        <v>2697</v>
      </c>
      <c r="E3048" s="45">
        <v>1</v>
      </c>
      <c r="F3048" s="46">
        <v>6.69</v>
      </c>
      <c r="G3048" s="46">
        <f t="shared" si="47"/>
        <v>6.69</v>
      </c>
      <c r="H3048" s="47" t="s">
        <v>24</v>
      </c>
      <c r="I3048" s="47" t="s">
        <v>58</v>
      </c>
      <c r="J3048" s="32"/>
    </row>
    <row r="3049" spans="1:10" x14ac:dyDescent="0.2">
      <c r="A3049" s="32"/>
      <c r="B3049" s="36" t="s">
        <v>4698</v>
      </c>
      <c r="C3049" s="37" t="s">
        <v>4651</v>
      </c>
      <c r="D3049" s="38" t="s">
        <v>2697</v>
      </c>
      <c r="E3049" s="39">
        <v>1</v>
      </c>
      <c r="F3049" s="40">
        <v>6.69</v>
      </c>
      <c r="G3049" s="40">
        <f t="shared" si="47"/>
        <v>6.69</v>
      </c>
      <c r="H3049" s="41" t="s">
        <v>24</v>
      </c>
      <c r="I3049" s="41" t="s">
        <v>58</v>
      </c>
      <c r="J3049" s="32"/>
    </row>
    <row r="3050" spans="1:10" x14ac:dyDescent="0.2">
      <c r="A3050" s="32"/>
      <c r="B3050" s="42" t="s">
        <v>4699</v>
      </c>
      <c r="C3050" s="43" t="s">
        <v>4651</v>
      </c>
      <c r="D3050" s="44" t="s">
        <v>4081</v>
      </c>
      <c r="E3050" s="45">
        <v>1</v>
      </c>
      <c r="F3050" s="46">
        <v>3.99</v>
      </c>
      <c r="G3050" s="46">
        <f t="shared" si="47"/>
        <v>3.99</v>
      </c>
      <c r="H3050" s="47" t="s">
        <v>24</v>
      </c>
      <c r="I3050" s="47" t="s">
        <v>58</v>
      </c>
      <c r="J3050" s="32"/>
    </row>
    <row r="3051" spans="1:10" x14ac:dyDescent="0.2">
      <c r="A3051" s="32"/>
      <c r="B3051" s="36" t="s">
        <v>4700</v>
      </c>
      <c r="C3051" s="37" t="s">
        <v>4651</v>
      </c>
      <c r="D3051" s="38" t="s">
        <v>1463</v>
      </c>
      <c r="E3051" s="39">
        <v>1</v>
      </c>
      <c r="F3051" s="40">
        <v>6.39</v>
      </c>
      <c r="G3051" s="40">
        <f t="shared" si="47"/>
        <v>6.39</v>
      </c>
      <c r="H3051" s="41" t="s">
        <v>24</v>
      </c>
      <c r="I3051" s="41" t="s">
        <v>58</v>
      </c>
      <c r="J3051" s="32"/>
    </row>
    <row r="3052" spans="1:10" x14ac:dyDescent="0.2">
      <c r="A3052" s="32"/>
      <c r="B3052" s="42" t="s">
        <v>4701</v>
      </c>
      <c r="C3052" s="43" t="s">
        <v>4651</v>
      </c>
      <c r="D3052" s="44" t="s">
        <v>1896</v>
      </c>
      <c r="E3052" s="45">
        <v>1</v>
      </c>
      <c r="F3052" s="46">
        <v>4.99</v>
      </c>
      <c r="G3052" s="46">
        <f t="shared" si="47"/>
        <v>4.99</v>
      </c>
      <c r="H3052" s="47" t="s">
        <v>24</v>
      </c>
      <c r="I3052" s="47" t="s">
        <v>58</v>
      </c>
      <c r="J3052" s="32"/>
    </row>
    <row r="3053" spans="1:10" x14ac:dyDescent="0.2">
      <c r="A3053" s="32"/>
      <c r="B3053" s="36" t="s">
        <v>4702</v>
      </c>
      <c r="C3053" s="37" t="s">
        <v>4651</v>
      </c>
      <c r="D3053" s="38" t="s">
        <v>3184</v>
      </c>
      <c r="E3053" s="39">
        <v>1</v>
      </c>
      <c r="F3053" s="40">
        <v>5.29</v>
      </c>
      <c r="G3053" s="40">
        <f t="shared" si="47"/>
        <v>5.29</v>
      </c>
      <c r="H3053" s="41" t="s">
        <v>24</v>
      </c>
      <c r="I3053" s="41" t="s">
        <v>58</v>
      </c>
      <c r="J3053" s="32"/>
    </row>
    <row r="3054" spans="1:10" x14ac:dyDescent="0.2">
      <c r="A3054" s="32"/>
      <c r="B3054" s="42" t="s">
        <v>4703</v>
      </c>
      <c r="C3054" s="43" t="s">
        <v>4651</v>
      </c>
      <c r="D3054" s="44" t="s">
        <v>1871</v>
      </c>
      <c r="E3054" s="45">
        <v>1</v>
      </c>
      <c r="F3054" s="46">
        <v>6.49</v>
      </c>
      <c r="G3054" s="46">
        <f t="shared" si="47"/>
        <v>6.49</v>
      </c>
      <c r="H3054" s="47" t="s">
        <v>24</v>
      </c>
      <c r="I3054" s="47" t="s">
        <v>58</v>
      </c>
      <c r="J3054" s="32"/>
    </row>
    <row r="3055" spans="1:10" x14ac:dyDescent="0.2">
      <c r="A3055" s="32"/>
      <c r="B3055" s="36" t="s">
        <v>4704</v>
      </c>
      <c r="C3055" s="37" t="s">
        <v>4651</v>
      </c>
      <c r="D3055" s="38" t="s">
        <v>2688</v>
      </c>
      <c r="E3055" s="39">
        <v>1</v>
      </c>
      <c r="F3055" s="40">
        <v>6.99</v>
      </c>
      <c r="G3055" s="40">
        <f t="shared" si="47"/>
        <v>6.99</v>
      </c>
      <c r="H3055" s="41" t="s">
        <v>24</v>
      </c>
      <c r="I3055" s="41" t="s">
        <v>58</v>
      </c>
      <c r="J3055" s="32"/>
    </row>
    <row r="3056" spans="1:10" x14ac:dyDescent="0.2">
      <c r="A3056" s="32"/>
      <c r="B3056" s="42" t="s">
        <v>4705</v>
      </c>
      <c r="C3056" s="43" t="s">
        <v>4651</v>
      </c>
      <c r="D3056" s="44" t="s">
        <v>1368</v>
      </c>
      <c r="E3056" s="45">
        <v>1</v>
      </c>
      <c r="F3056" s="46">
        <v>1.55</v>
      </c>
      <c r="G3056" s="46">
        <f t="shared" si="47"/>
        <v>1.55</v>
      </c>
      <c r="H3056" s="47" t="s">
        <v>24</v>
      </c>
      <c r="I3056" s="47" t="s">
        <v>58</v>
      </c>
      <c r="J3056" s="32"/>
    </row>
    <row r="3057" spans="1:10" x14ac:dyDescent="0.2">
      <c r="A3057" s="32"/>
      <c r="B3057" s="36" t="s">
        <v>4706</v>
      </c>
      <c r="C3057" s="37" t="s">
        <v>4651</v>
      </c>
      <c r="D3057" s="38" t="s">
        <v>2811</v>
      </c>
      <c r="E3057" s="39">
        <v>1</v>
      </c>
      <c r="F3057" s="40">
        <v>10.49</v>
      </c>
      <c r="G3057" s="40">
        <f t="shared" si="47"/>
        <v>10.49</v>
      </c>
      <c r="H3057" s="41" t="s">
        <v>24</v>
      </c>
      <c r="I3057" s="41" t="s">
        <v>58</v>
      </c>
      <c r="J3057" s="32"/>
    </row>
    <row r="3058" spans="1:10" x14ac:dyDescent="0.2">
      <c r="A3058" s="32"/>
      <c r="B3058" s="42" t="s">
        <v>4707</v>
      </c>
      <c r="C3058" s="43" t="s">
        <v>4651</v>
      </c>
      <c r="D3058" s="44" t="s">
        <v>2589</v>
      </c>
      <c r="E3058" s="45">
        <v>1</v>
      </c>
      <c r="F3058" s="46">
        <v>8.2899999999999991</v>
      </c>
      <c r="G3058" s="46">
        <f t="shared" si="47"/>
        <v>8.2899999999999991</v>
      </c>
      <c r="H3058" s="47" t="s">
        <v>24</v>
      </c>
      <c r="I3058" s="47" t="s">
        <v>58</v>
      </c>
      <c r="J3058" s="32"/>
    </row>
    <row r="3059" spans="1:10" x14ac:dyDescent="0.2">
      <c r="A3059" s="32"/>
      <c r="B3059" s="36" t="s">
        <v>4708</v>
      </c>
      <c r="C3059" s="37" t="s">
        <v>4651</v>
      </c>
      <c r="D3059" s="38" t="s">
        <v>2589</v>
      </c>
      <c r="E3059" s="39">
        <v>1</v>
      </c>
      <c r="F3059" s="40">
        <v>8.2899999999999991</v>
      </c>
      <c r="G3059" s="40">
        <f t="shared" si="47"/>
        <v>8.2899999999999991</v>
      </c>
      <c r="H3059" s="41" t="s">
        <v>24</v>
      </c>
      <c r="I3059" s="41" t="s">
        <v>58</v>
      </c>
      <c r="J3059" s="32"/>
    </row>
    <row r="3060" spans="1:10" x14ac:dyDescent="0.2">
      <c r="A3060" s="32"/>
      <c r="B3060" s="42" t="s">
        <v>4709</v>
      </c>
      <c r="C3060" s="43" t="s">
        <v>4651</v>
      </c>
      <c r="D3060" s="44" t="s">
        <v>1963</v>
      </c>
      <c r="E3060" s="45">
        <v>1</v>
      </c>
      <c r="F3060" s="46">
        <v>8.99</v>
      </c>
      <c r="G3060" s="46">
        <f t="shared" si="47"/>
        <v>8.99</v>
      </c>
      <c r="H3060" s="47" t="s">
        <v>24</v>
      </c>
      <c r="I3060" s="47" t="s">
        <v>58</v>
      </c>
      <c r="J3060" s="32"/>
    </row>
    <row r="3061" spans="1:10" x14ac:dyDescent="0.2">
      <c r="A3061" s="32"/>
      <c r="B3061" s="36" t="s">
        <v>4710</v>
      </c>
      <c r="C3061" s="37" t="s">
        <v>4651</v>
      </c>
      <c r="D3061" s="38" t="s">
        <v>1680</v>
      </c>
      <c r="E3061" s="39">
        <v>1</v>
      </c>
      <c r="F3061" s="40">
        <v>16.989999999999998</v>
      </c>
      <c r="G3061" s="40">
        <f t="shared" si="47"/>
        <v>16.989999999999998</v>
      </c>
      <c r="H3061" s="41" t="s">
        <v>24</v>
      </c>
      <c r="I3061" s="41" t="s">
        <v>58</v>
      </c>
      <c r="J3061" s="32"/>
    </row>
    <row r="3062" spans="1:10" x14ac:dyDescent="0.2">
      <c r="A3062" s="32"/>
      <c r="B3062" s="42" t="s">
        <v>4711</v>
      </c>
      <c r="C3062" s="43" t="s">
        <v>4651</v>
      </c>
      <c r="D3062" s="44" t="s">
        <v>4712</v>
      </c>
      <c r="E3062" s="45">
        <v>1</v>
      </c>
      <c r="F3062" s="46">
        <v>20.99</v>
      </c>
      <c r="G3062" s="46">
        <f t="shared" si="47"/>
        <v>20.99</v>
      </c>
      <c r="H3062" s="47" t="s">
        <v>24</v>
      </c>
      <c r="I3062" s="47" t="s">
        <v>58</v>
      </c>
      <c r="J3062" s="32"/>
    </row>
    <row r="3063" spans="1:10" x14ac:dyDescent="0.2">
      <c r="A3063" s="32"/>
      <c r="B3063" s="36" t="s">
        <v>4713</v>
      </c>
      <c r="C3063" s="37" t="s">
        <v>4651</v>
      </c>
      <c r="D3063" s="38" t="s">
        <v>4714</v>
      </c>
      <c r="E3063" s="39">
        <v>1</v>
      </c>
      <c r="F3063" s="40">
        <v>8.99</v>
      </c>
      <c r="G3063" s="40">
        <f t="shared" si="47"/>
        <v>8.99</v>
      </c>
      <c r="H3063" s="41" t="s">
        <v>24</v>
      </c>
      <c r="I3063" s="41" t="s">
        <v>58</v>
      </c>
      <c r="J3063" s="32"/>
    </row>
    <row r="3064" spans="1:10" x14ac:dyDescent="0.2">
      <c r="A3064" s="32"/>
      <c r="B3064" s="42" t="s">
        <v>4715</v>
      </c>
      <c r="C3064" s="43" t="s">
        <v>4651</v>
      </c>
      <c r="D3064" s="44" t="s">
        <v>1708</v>
      </c>
      <c r="E3064" s="45">
        <v>1</v>
      </c>
      <c r="F3064" s="46">
        <v>15.99</v>
      </c>
      <c r="G3064" s="46">
        <f t="shared" si="47"/>
        <v>15.99</v>
      </c>
      <c r="H3064" s="47" t="s">
        <v>24</v>
      </c>
      <c r="I3064" s="47" t="s">
        <v>58</v>
      </c>
      <c r="J3064" s="32"/>
    </row>
    <row r="3065" spans="1:10" x14ac:dyDescent="0.2">
      <c r="A3065" s="32"/>
      <c r="B3065" s="36" t="s">
        <v>4716</v>
      </c>
      <c r="C3065" s="37" t="s">
        <v>4651</v>
      </c>
      <c r="D3065" s="38" t="s">
        <v>4717</v>
      </c>
      <c r="E3065" s="39">
        <v>1</v>
      </c>
      <c r="F3065" s="40">
        <v>17.989999999999998</v>
      </c>
      <c r="G3065" s="40">
        <f t="shared" si="47"/>
        <v>17.989999999999998</v>
      </c>
      <c r="H3065" s="41" t="s">
        <v>25</v>
      </c>
      <c r="I3065" s="41" t="s">
        <v>58</v>
      </c>
      <c r="J3065" s="32"/>
    </row>
    <row r="3066" spans="1:10" x14ac:dyDescent="0.2">
      <c r="A3066" s="32"/>
      <c r="B3066" s="42" t="s">
        <v>4718</v>
      </c>
      <c r="C3066" s="43" t="s">
        <v>4651</v>
      </c>
      <c r="D3066" s="44" t="s">
        <v>1387</v>
      </c>
      <c r="E3066" s="45">
        <v>1</v>
      </c>
      <c r="F3066" s="46">
        <v>34.49</v>
      </c>
      <c r="G3066" s="46">
        <f t="shared" si="47"/>
        <v>34.49</v>
      </c>
      <c r="H3066" s="47" t="s">
        <v>24</v>
      </c>
      <c r="I3066" s="47" t="s">
        <v>58</v>
      </c>
      <c r="J3066" s="32"/>
    </row>
    <row r="3067" spans="1:10" x14ac:dyDescent="0.2">
      <c r="A3067" s="32"/>
      <c r="B3067" s="36" t="s">
        <v>4719</v>
      </c>
      <c r="C3067" s="37" t="s">
        <v>4651</v>
      </c>
      <c r="D3067" s="38" t="s">
        <v>3911</v>
      </c>
      <c r="E3067" s="39">
        <v>1</v>
      </c>
      <c r="F3067" s="40">
        <v>18.989999999999998</v>
      </c>
      <c r="G3067" s="40">
        <f t="shared" si="47"/>
        <v>18.989999999999998</v>
      </c>
      <c r="H3067" s="41" t="s">
        <v>25</v>
      </c>
      <c r="I3067" s="41" t="s">
        <v>58</v>
      </c>
      <c r="J3067" s="32"/>
    </row>
    <row r="3068" spans="1:10" x14ac:dyDescent="0.2">
      <c r="A3068" s="32"/>
      <c r="B3068" s="42" t="s">
        <v>4720</v>
      </c>
      <c r="C3068" s="43" t="s">
        <v>4651</v>
      </c>
      <c r="D3068" s="44" t="s">
        <v>3388</v>
      </c>
      <c r="E3068" s="45">
        <v>1</v>
      </c>
      <c r="F3068" s="46">
        <v>22.99</v>
      </c>
      <c r="G3068" s="46">
        <f t="shared" si="47"/>
        <v>22.99</v>
      </c>
      <c r="H3068" s="47" t="s">
        <v>24</v>
      </c>
      <c r="I3068" s="47" t="s">
        <v>58</v>
      </c>
      <c r="J3068" s="32"/>
    </row>
    <row r="3069" spans="1:10" x14ac:dyDescent="0.2">
      <c r="A3069" s="32"/>
      <c r="B3069" s="36" t="s">
        <v>4721</v>
      </c>
      <c r="C3069" s="37" t="s">
        <v>4651</v>
      </c>
      <c r="D3069" s="38" t="s">
        <v>4722</v>
      </c>
      <c r="E3069" s="39">
        <v>1</v>
      </c>
      <c r="F3069" s="40">
        <v>4.59</v>
      </c>
      <c r="G3069" s="40">
        <f t="shared" si="47"/>
        <v>4.59</v>
      </c>
      <c r="H3069" s="41" t="s">
        <v>24</v>
      </c>
      <c r="I3069" s="41" t="s">
        <v>58</v>
      </c>
      <c r="J3069" s="32"/>
    </row>
    <row r="3070" spans="1:10" x14ac:dyDescent="0.2">
      <c r="A3070" s="32"/>
      <c r="B3070" s="42" t="s">
        <v>4723</v>
      </c>
      <c r="C3070" s="43" t="s">
        <v>4651</v>
      </c>
      <c r="D3070" s="44" t="s">
        <v>2542</v>
      </c>
      <c r="E3070" s="45">
        <v>1</v>
      </c>
      <c r="F3070" s="46">
        <v>7.89</v>
      </c>
      <c r="G3070" s="46">
        <f t="shared" si="47"/>
        <v>7.89</v>
      </c>
      <c r="H3070" s="47" t="s">
        <v>25</v>
      </c>
      <c r="I3070" s="47" t="s">
        <v>58</v>
      </c>
      <c r="J3070" s="32"/>
    </row>
    <row r="3071" spans="1:10" x14ac:dyDescent="0.2">
      <c r="A3071" s="32"/>
      <c r="B3071" s="36" t="s">
        <v>4724</v>
      </c>
      <c r="C3071" s="37" t="s">
        <v>4651</v>
      </c>
      <c r="D3071" s="38" t="s">
        <v>40</v>
      </c>
      <c r="E3071" s="39">
        <v>1</v>
      </c>
      <c r="F3071" s="40">
        <v>15.59</v>
      </c>
      <c r="G3071" s="40">
        <f t="shared" si="47"/>
        <v>15.59</v>
      </c>
      <c r="H3071" s="41" t="s">
        <v>25</v>
      </c>
      <c r="I3071" s="41" t="s">
        <v>58</v>
      </c>
      <c r="J3071" s="32"/>
    </row>
    <row r="3072" spans="1:10" x14ac:dyDescent="0.2">
      <c r="A3072" s="32"/>
      <c r="B3072" s="42" t="s">
        <v>4725</v>
      </c>
      <c r="C3072" s="43" t="s">
        <v>4651</v>
      </c>
      <c r="D3072" s="44" t="s">
        <v>4726</v>
      </c>
      <c r="E3072" s="45">
        <v>1</v>
      </c>
      <c r="F3072" s="46">
        <v>26.59</v>
      </c>
      <c r="G3072" s="46">
        <f t="shared" si="47"/>
        <v>26.59</v>
      </c>
      <c r="H3072" s="47" t="s">
        <v>24</v>
      </c>
      <c r="I3072" s="47" t="s">
        <v>58</v>
      </c>
      <c r="J3072" s="32"/>
    </row>
    <row r="3073" spans="1:10" x14ac:dyDescent="0.2">
      <c r="A3073" s="32"/>
      <c r="B3073" s="36" t="s">
        <v>4727</v>
      </c>
      <c r="C3073" s="37" t="s">
        <v>4651</v>
      </c>
      <c r="D3073" s="38" t="s">
        <v>1912</v>
      </c>
      <c r="E3073" s="39">
        <v>1</v>
      </c>
      <c r="F3073" s="40">
        <v>1.89</v>
      </c>
      <c r="G3073" s="40">
        <f t="shared" si="47"/>
        <v>1.89</v>
      </c>
      <c r="H3073" s="41" t="s">
        <v>24</v>
      </c>
      <c r="I3073" s="41" t="s">
        <v>58</v>
      </c>
      <c r="J3073" s="32"/>
    </row>
    <row r="3074" spans="1:10" x14ac:dyDescent="0.2">
      <c r="A3074" s="32"/>
      <c r="B3074" s="42" t="s">
        <v>4728</v>
      </c>
      <c r="C3074" s="43" t="s">
        <v>4651</v>
      </c>
      <c r="D3074" s="44" t="s">
        <v>2333</v>
      </c>
      <c r="E3074" s="45">
        <v>1</v>
      </c>
      <c r="F3074" s="46">
        <v>15.99</v>
      </c>
      <c r="G3074" s="46">
        <f t="shared" si="47"/>
        <v>15.99</v>
      </c>
      <c r="H3074" s="47" t="s">
        <v>25</v>
      </c>
      <c r="I3074" s="47" t="s">
        <v>58</v>
      </c>
      <c r="J3074" s="32"/>
    </row>
    <row r="3075" spans="1:10" x14ac:dyDescent="0.2">
      <c r="A3075" s="32"/>
      <c r="B3075" s="36" t="s">
        <v>4729</v>
      </c>
      <c r="C3075" s="37" t="s">
        <v>4651</v>
      </c>
      <c r="D3075" s="38" t="s">
        <v>3125</v>
      </c>
      <c r="E3075" s="39">
        <v>1</v>
      </c>
      <c r="F3075" s="40">
        <v>11.99</v>
      </c>
      <c r="G3075" s="40">
        <f t="shared" si="47"/>
        <v>11.99</v>
      </c>
      <c r="H3075" s="41" t="s">
        <v>24</v>
      </c>
      <c r="I3075" s="41" t="s">
        <v>58</v>
      </c>
      <c r="J3075" s="32"/>
    </row>
    <row r="3076" spans="1:10" x14ac:dyDescent="0.2">
      <c r="A3076" s="32"/>
      <c r="B3076" s="42" t="s">
        <v>4730</v>
      </c>
      <c r="C3076" s="43" t="s">
        <v>4651</v>
      </c>
      <c r="D3076" s="44" t="s">
        <v>4731</v>
      </c>
      <c r="E3076" s="45">
        <v>1</v>
      </c>
      <c r="F3076" s="46">
        <v>14.99</v>
      </c>
      <c r="G3076" s="46">
        <f t="shared" si="47"/>
        <v>14.99</v>
      </c>
      <c r="H3076" s="47" t="s">
        <v>24</v>
      </c>
      <c r="I3076" s="47" t="s">
        <v>58</v>
      </c>
      <c r="J3076" s="32"/>
    </row>
    <row r="3077" spans="1:10" x14ac:dyDescent="0.2">
      <c r="A3077" s="32"/>
      <c r="B3077" s="36" t="s">
        <v>4732</v>
      </c>
      <c r="C3077" s="37" t="s">
        <v>4651</v>
      </c>
      <c r="D3077" s="38" t="s">
        <v>4733</v>
      </c>
      <c r="E3077" s="39">
        <v>1</v>
      </c>
      <c r="F3077" s="40">
        <v>11.99</v>
      </c>
      <c r="G3077" s="40">
        <f t="shared" ref="G3077:G3140" si="48">E3077*F3077</f>
        <v>11.99</v>
      </c>
      <c r="H3077" s="41" t="s">
        <v>24</v>
      </c>
      <c r="I3077" s="41" t="s">
        <v>58</v>
      </c>
      <c r="J3077" s="32"/>
    </row>
    <row r="3078" spans="1:10" x14ac:dyDescent="0.2">
      <c r="A3078" s="32"/>
      <c r="B3078" s="42" t="s">
        <v>4734</v>
      </c>
      <c r="C3078" s="43" t="s">
        <v>4651</v>
      </c>
      <c r="D3078" s="44" t="s">
        <v>4735</v>
      </c>
      <c r="E3078" s="45">
        <v>1</v>
      </c>
      <c r="F3078" s="46">
        <v>31.99</v>
      </c>
      <c r="G3078" s="46">
        <f t="shared" si="48"/>
        <v>31.99</v>
      </c>
      <c r="H3078" s="47" t="s">
        <v>24</v>
      </c>
      <c r="I3078" s="47" t="s">
        <v>58</v>
      </c>
      <c r="J3078" s="32"/>
    </row>
    <row r="3079" spans="1:10" x14ac:dyDescent="0.2">
      <c r="A3079" s="32"/>
      <c r="B3079" s="36" t="s">
        <v>4736</v>
      </c>
      <c r="C3079" s="37" t="s">
        <v>4651</v>
      </c>
      <c r="D3079" s="38" t="s">
        <v>4737</v>
      </c>
      <c r="E3079" s="39">
        <v>1</v>
      </c>
      <c r="F3079" s="40">
        <v>3.99</v>
      </c>
      <c r="G3079" s="40">
        <f t="shared" si="48"/>
        <v>3.99</v>
      </c>
      <c r="H3079" s="41" t="s">
        <v>24</v>
      </c>
      <c r="I3079" s="41" t="s">
        <v>58</v>
      </c>
      <c r="J3079" s="32"/>
    </row>
    <row r="3080" spans="1:10" x14ac:dyDescent="0.2">
      <c r="A3080" s="32"/>
      <c r="B3080" s="42" t="s">
        <v>4738</v>
      </c>
      <c r="C3080" s="43" t="s">
        <v>4651</v>
      </c>
      <c r="D3080" s="44" t="s">
        <v>3800</v>
      </c>
      <c r="E3080" s="45">
        <v>1</v>
      </c>
      <c r="F3080" s="46">
        <v>14.99</v>
      </c>
      <c r="G3080" s="46">
        <f t="shared" si="48"/>
        <v>14.99</v>
      </c>
      <c r="H3080" s="47" t="s">
        <v>24</v>
      </c>
      <c r="I3080" s="47" t="s">
        <v>58</v>
      </c>
      <c r="J3080" s="32"/>
    </row>
    <row r="3081" spans="1:10" x14ac:dyDescent="0.2">
      <c r="A3081" s="32"/>
      <c r="B3081" s="36" t="s">
        <v>4739</v>
      </c>
      <c r="C3081" s="37" t="s">
        <v>4651</v>
      </c>
      <c r="D3081" s="38" t="s">
        <v>43</v>
      </c>
      <c r="E3081" s="39">
        <v>1</v>
      </c>
      <c r="F3081" s="40">
        <v>2.59</v>
      </c>
      <c r="G3081" s="40">
        <f t="shared" si="48"/>
        <v>2.59</v>
      </c>
      <c r="H3081" s="41" t="s">
        <v>24</v>
      </c>
      <c r="I3081" s="41" t="s">
        <v>58</v>
      </c>
      <c r="J3081" s="32"/>
    </row>
    <row r="3082" spans="1:10" x14ac:dyDescent="0.2">
      <c r="A3082" s="32"/>
      <c r="B3082" s="42" t="s">
        <v>4740</v>
      </c>
      <c r="C3082" s="43" t="s">
        <v>4651</v>
      </c>
      <c r="D3082" s="44" t="s">
        <v>2767</v>
      </c>
      <c r="E3082" s="45">
        <v>1</v>
      </c>
      <c r="F3082" s="46">
        <v>13.49</v>
      </c>
      <c r="G3082" s="46">
        <f t="shared" si="48"/>
        <v>13.49</v>
      </c>
      <c r="H3082" s="47" t="s">
        <v>24</v>
      </c>
      <c r="I3082" s="47" t="s">
        <v>58</v>
      </c>
      <c r="J3082" s="32"/>
    </row>
    <row r="3083" spans="1:10" x14ac:dyDescent="0.2">
      <c r="A3083" s="32"/>
      <c r="B3083" s="36" t="s">
        <v>4741</v>
      </c>
      <c r="C3083" s="37" t="s">
        <v>4742</v>
      </c>
      <c r="D3083" s="38" t="s">
        <v>4595</v>
      </c>
      <c r="E3083" s="39">
        <v>1</v>
      </c>
      <c r="F3083" s="40">
        <v>19.989999999999998</v>
      </c>
      <c r="G3083" s="40">
        <f t="shared" si="48"/>
        <v>19.989999999999998</v>
      </c>
      <c r="H3083" s="41" t="s">
        <v>24</v>
      </c>
      <c r="I3083" s="41" t="s">
        <v>58</v>
      </c>
      <c r="J3083" s="32"/>
    </row>
    <row r="3084" spans="1:10" x14ac:dyDescent="0.2">
      <c r="A3084" s="32"/>
      <c r="B3084" s="42" t="s">
        <v>4743</v>
      </c>
      <c r="C3084" s="43" t="s">
        <v>4744</v>
      </c>
      <c r="D3084" s="44" t="s">
        <v>4595</v>
      </c>
      <c r="E3084" s="45">
        <v>1</v>
      </c>
      <c r="F3084" s="46">
        <v>19.989999999999998</v>
      </c>
      <c r="G3084" s="46">
        <f t="shared" si="48"/>
        <v>19.989999999999998</v>
      </c>
      <c r="H3084" s="47" t="s">
        <v>24</v>
      </c>
      <c r="I3084" s="47" t="s">
        <v>58</v>
      </c>
      <c r="J3084" s="32"/>
    </row>
    <row r="3085" spans="1:10" x14ac:dyDescent="0.2">
      <c r="A3085" s="32"/>
      <c r="B3085" s="36" t="s">
        <v>4745</v>
      </c>
      <c r="C3085" s="37" t="s">
        <v>4746</v>
      </c>
      <c r="D3085" s="38" t="s">
        <v>4595</v>
      </c>
      <c r="E3085" s="39">
        <v>1</v>
      </c>
      <c r="F3085" s="40">
        <v>19.989999999999998</v>
      </c>
      <c r="G3085" s="40">
        <f t="shared" si="48"/>
        <v>19.989999999999998</v>
      </c>
      <c r="H3085" s="41" t="s">
        <v>24</v>
      </c>
      <c r="I3085" s="41" t="s">
        <v>58</v>
      </c>
      <c r="J3085" s="32"/>
    </row>
    <row r="3086" spans="1:10" x14ac:dyDescent="0.2">
      <c r="A3086" s="32"/>
      <c r="B3086" s="42" t="s">
        <v>4747</v>
      </c>
      <c r="C3086" s="43" t="s">
        <v>4748</v>
      </c>
      <c r="D3086" s="44" t="s">
        <v>4595</v>
      </c>
      <c r="E3086" s="45">
        <v>1</v>
      </c>
      <c r="F3086" s="46">
        <v>19.989999999999998</v>
      </c>
      <c r="G3086" s="46">
        <f t="shared" si="48"/>
        <v>19.989999999999998</v>
      </c>
      <c r="H3086" s="47" t="s">
        <v>24</v>
      </c>
      <c r="I3086" s="47" t="s">
        <v>58</v>
      </c>
      <c r="J3086" s="32"/>
    </row>
    <row r="3087" spans="1:10" x14ac:dyDescent="0.2">
      <c r="A3087" s="32"/>
      <c r="B3087" s="36" t="s">
        <v>4749</v>
      </c>
      <c r="C3087" s="37" t="s">
        <v>4750</v>
      </c>
      <c r="D3087" s="38" t="s">
        <v>4595</v>
      </c>
      <c r="E3087" s="39">
        <v>1</v>
      </c>
      <c r="F3087" s="40">
        <v>19.989999999999998</v>
      </c>
      <c r="G3087" s="40">
        <f t="shared" si="48"/>
        <v>19.989999999999998</v>
      </c>
      <c r="H3087" s="41" t="s">
        <v>24</v>
      </c>
      <c r="I3087" s="41" t="s">
        <v>58</v>
      </c>
      <c r="J3087" s="32"/>
    </row>
    <row r="3088" spans="1:10" x14ac:dyDescent="0.2">
      <c r="A3088" s="32"/>
      <c r="B3088" s="42" t="s">
        <v>4751</v>
      </c>
      <c r="C3088" s="43" t="s">
        <v>4752</v>
      </c>
      <c r="D3088" s="44" t="s">
        <v>4595</v>
      </c>
      <c r="E3088" s="45">
        <v>1</v>
      </c>
      <c r="F3088" s="46">
        <v>19.989999999999998</v>
      </c>
      <c r="G3088" s="46">
        <f t="shared" si="48"/>
        <v>19.989999999999998</v>
      </c>
      <c r="H3088" s="47" t="s">
        <v>24</v>
      </c>
      <c r="I3088" s="47" t="s">
        <v>58</v>
      </c>
      <c r="J3088" s="32"/>
    </row>
    <row r="3089" spans="1:10" x14ac:dyDescent="0.2">
      <c r="A3089" s="32"/>
      <c r="B3089" s="36" t="s">
        <v>4753</v>
      </c>
      <c r="C3089" s="37" t="s">
        <v>4754</v>
      </c>
      <c r="D3089" s="38" t="s">
        <v>4755</v>
      </c>
      <c r="E3089" s="39">
        <v>1</v>
      </c>
      <c r="F3089" s="40">
        <v>16.989999999999998</v>
      </c>
      <c r="G3089" s="40">
        <f t="shared" si="48"/>
        <v>16.989999999999998</v>
      </c>
      <c r="H3089" s="41" t="s">
        <v>24</v>
      </c>
      <c r="I3089" s="41" t="s">
        <v>58</v>
      </c>
      <c r="J3089" s="32"/>
    </row>
    <row r="3090" spans="1:10" x14ac:dyDescent="0.2">
      <c r="A3090" s="32"/>
      <c r="B3090" s="42" t="s">
        <v>4756</v>
      </c>
      <c r="C3090" s="43" t="s">
        <v>4754</v>
      </c>
      <c r="D3090" s="44" t="s">
        <v>4757</v>
      </c>
      <c r="E3090" s="45">
        <v>1</v>
      </c>
      <c r="F3090" s="46">
        <v>1.29</v>
      </c>
      <c r="G3090" s="46">
        <f t="shared" si="48"/>
        <v>1.29</v>
      </c>
      <c r="H3090" s="47" t="s">
        <v>24</v>
      </c>
      <c r="I3090" s="47" t="s">
        <v>58</v>
      </c>
      <c r="J3090" s="32"/>
    </row>
    <row r="3091" spans="1:10" x14ac:dyDescent="0.2">
      <c r="A3091" s="32"/>
      <c r="B3091" s="36" t="s">
        <v>4758</v>
      </c>
      <c r="C3091" s="37" t="s">
        <v>4754</v>
      </c>
      <c r="D3091" s="38" t="s">
        <v>1605</v>
      </c>
      <c r="E3091" s="39">
        <v>1</v>
      </c>
      <c r="F3091" s="40">
        <v>3.49</v>
      </c>
      <c r="G3091" s="40">
        <f t="shared" si="48"/>
        <v>3.49</v>
      </c>
      <c r="H3091" s="41" t="s">
        <v>24</v>
      </c>
      <c r="I3091" s="41" t="s">
        <v>58</v>
      </c>
      <c r="J3091" s="32"/>
    </row>
    <row r="3092" spans="1:10" x14ac:dyDescent="0.2">
      <c r="A3092" s="32"/>
      <c r="B3092" s="42" t="s">
        <v>4759</v>
      </c>
      <c r="C3092" s="43" t="s">
        <v>4754</v>
      </c>
      <c r="D3092" s="44" t="s">
        <v>4760</v>
      </c>
      <c r="E3092" s="45">
        <v>1</v>
      </c>
      <c r="F3092" s="46">
        <v>3.49</v>
      </c>
      <c r="G3092" s="46">
        <f t="shared" si="48"/>
        <v>3.49</v>
      </c>
      <c r="H3092" s="47" t="s">
        <v>24</v>
      </c>
      <c r="I3092" s="47" t="s">
        <v>58</v>
      </c>
      <c r="J3092" s="32"/>
    </row>
    <row r="3093" spans="1:10" x14ac:dyDescent="0.2">
      <c r="A3093" s="32"/>
      <c r="B3093" s="36" t="s">
        <v>4761</v>
      </c>
      <c r="C3093" s="37" t="s">
        <v>4754</v>
      </c>
      <c r="D3093" s="38" t="s">
        <v>4762</v>
      </c>
      <c r="E3093" s="39">
        <v>1</v>
      </c>
      <c r="F3093" s="40">
        <v>1.29</v>
      </c>
      <c r="G3093" s="40">
        <f t="shared" si="48"/>
        <v>1.29</v>
      </c>
      <c r="H3093" s="41" t="s">
        <v>24</v>
      </c>
      <c r="I3093" s="41" t="s">
        <v>58</v>
      </c>
      <c r="J3093" s="32"/>
    </row>
    <row r="3094" spans="1:10" x14ac:dyDescent="0.2">
      <c r="A3094" s="32"/>
      <c r="B3094" s="42" t="s">
        <v>4763</v>
      </c>
      <c r="C3094" s="43" t="s">
        <v>4754</v>
      </c>
      <c r="D3094" s="44" t="s">
        <v>4764</v>
      </c>
      <c r="E3094" s="45">
        <v>1</v>
      </c>
      <c r="F3094" s="46">
        <v>1.29</v>
      </c>
      <c r="G3094" s="46">
        <f t="shared" si="48"/>
        <v>1.29</v>
      </c>
      <c r="H3094" s="47" t="s">
        <v>24</v>
      </c>
      <c r="I3094" s="47" t="s">
        <v>58</v>
      </c>
      <c r="J3094" s="32"/>
    </row>
    <row r="3095" spans="1:10" x14ac:dyDescent="0.2">
      <c r="A3095" s="32"/>
      <c r="B3095" s="36" t="s">
        <v>4765</v>
      </c>
      <c r="C3095" s="37" t="s">
        <v>4766</v>
      </c>
      <c r="D3095" s="38" t="s">
        <v>4595</v>
      </c>
      <c r="E3095" s="39">
        <v>1</v>
      </c>
      <c r="F3095" s="40">
        <v>19.989999999999998</v>
      </c>
      <c r="G3095" s="40">
        <f t="shared" si="48"/>
        <v>19.989999999999998</v>
      </c>
      <c r="H3095" s="41" t="s">
        <v>24</v>
      </c>
      <c r="I3095" s="41" t="s">
        <v>58</v>
      </c>
      <c r="J3095" s="32"/>
    </row>
    <row r="3096" spans="1:10" x14ac:dyDescent="0.2">
      <c r="A3096" s="32"/>
      <c r="B3096" s="42" t="s">
        <v>4767</v>
      </c>
      <c r="C3096" s="43" t="s">
        <v>4766</v>
      </c>
      <c r="D3096" s="44" t="s">
        <v>4757</v>
      </c>
      <c r="E3096" s="45">
        <v>1</v>
      </c>
      <c r="F3096" s="46">
        <v>1.29</v>
      </c>
      <c r="G3096" s="46">
        <f t="shared" si="48"/>
        <v>1.29</v>
      </c>
      <c r="H3096" s="47" t="s">
        <v>24</v>
      </c>
      <c r="I3096" s="47" t="s">
        <v>58</v>
      </c>
      <c r="J3096" s="32"/>
    </row>
    <row r="3097" spans="1:10" x14ac:dyDescent="0.2">
      <c r="A3097" s="32"/>
      <c r="B3097" s="36" t="s">
        <v>4768</v>
      </c>
      <c r="C3097" s="37" t="s">
        <v>4766</v>
      </c>
      <c r="D3097" s="38" t="s">
        <v>4769</v>
      </c>
      <c r="E3097" s="39">
        <v>1</v>
      </c>
      <c r="F3097" s="40">
        <v>29.99</v>
      </c>
      <c r="G3097" s="40">
        <f t="shared" si="48"/>
        <v>29.99</v>
      </c>
      <c r="H3097" s="41" t="s">
        <v>24</v>
      </c>
      <c r="I3097" s="41" t="s">
        <v>58</v>
      </c>
      <c r="J3097" s="32"/>
    </row>
    <row r="3098" spans="1:10" x14ac:dyDescent="0.2">
      <c r="A3098" s="32"/>
      <c r="B3098" s="42" t="s">
        <v>4770</v>
      </c>
      <c r="C3098" s="43" t="s">
        <v>4771</v>
      </c>
      <c r="D3098" s="44" t="s">
        <v>4658</v>
      </c>
      <c r="E3098" s="45">
        <v>1</v>
      </c>
      <c r="F3098" s="46">
        <v>21.99</v>
      </c>
      <c r="G3098" s="46">
        <f t="shared" si="48"/>
        <v>21.99</v>
      </c>
      <c r="H3098" s="47" t="s">
        <v>24</v>
      </c>
      <c r="I3098" s="47" t="s">
        <v>58</v>
      </c>
      <c r="J3098" s="32"/>
    </row>
    <row r="3099" spans="1:10" x14ac:dyDescent="0.2">
      <c r="A3099" s="32"/>
      <c r="B3099" s="36" t="s">
        <v>4772</v>
      </c>
      <c r="C3099" s="37" t="s">
        <v>4771</v>
      </c>
      <c r="D3099" s="38" t="s">
        <v>3672</v>
      </c>
      <c r="E3099" s="39">
        <v>1</v>
      </c>
      <c r="F3099" s="40">
        <v>21.99</v>
      </c>
      <c r="G3099" s="40">
        <f t="shared" si="48"/>
        <v>21.99</v>
      </c>
      <c r="H3099" s="41" t="s">
        <v>24</v>
      </c>
      <c r="I3099" s="41" t="s">
        <v>58</v>
      </c>
      <c r="J3099" s="32"/>
    </row>
    <row r="3100" spans="1:10" x14ac:dyDescent="0.2">
      <c r="A3100" s="32"/>
      <c r="B3100" s="42" t="s">
        <v>4773</v>
      </c>
      <c r="C3100" s="43" t="s">
        <v>4771</v>
      </c>
      <c r="D3100" s="44" t="s">
        <v>3672</v>
      </c>
      <c r="E3100" s="45">
        <v>1</v>
      </c>
      <c r="F3100" s="46">
        <v>21.99</v>
      </c>
      <c r="G3100" s="46">
        <f t="shared" si="48"/>
        <v>21.99</v>
      </c>
      <c r="H3100" s="47" t="s">
        <v>24</v>
      </c>
      <c r="I3100" s="47" t="s">
        <v>58</v>
      </c>
      <c r="J3100" s="32"/>
    </row>
    <row r="3101" spans="1:10" x14ac:dyDescent="0.2">
      <c r="A3101" s="32"/>
      <c r="B3101" s="36" t="s">
        <v>4774</v>
      </c>
      <c r="C3101" s="37" t="s">
        <v>4771</v>
      </c>
      <c r="D3101" s="38" t="s">
        <v>3672</v>
      </c>
      <c r="E3101" s="39">
        <v>1</v>
      </c>
      <c r="F3101" s="40">
        <v>21.99</v>
      </c>
      <c r="G3101" s="40">
        <f t="shared" si="48"/>
        <v>21.99</v>
      </c>
      <c r="H3101" s="41" t="s">
        <v>24</v>
      </c>
      <c r="I3101" s="41" t="s">
        <v>58</v>
      </c>
      <c r="J3101" s="32"/>
    </row>
    <row r="3102" spans="1:10" x14ac:dyDescent="0.2">
      <c r="A3102" s="32"/>
      <c r="B3102" s="42" t="s">
        <v>4775</v>
      </c>
      <c r="C3102" s="43" t="s">
        <v>4771</v>
      </c>
      <c r="D3102" s="44" t="s">
        <v>1905</v>
      </c>
      <c r="E3102" s="45">
        <v>1</v>
      </c>
      <c r="F3102" s="46">
        <v>4.49</v>
      </c>
      <c r="G3102" s="46">
        <f t="shared" si="48"/>
        <v>4.49</v>
      </c>
      <c r="H3102" s="47" t="s">
        <v>24</v>
      </c>
      <c r="I3102" s="47" t="s">
        <v>58</v>
      </c>
      <c r="J3102" s="32"/>
    </row>
    <row r="3103" spans="1:10" x14ac:dyDescent="0.2">
      <c r="A3103" s="32"/>
      <c r="B3103" s="36" t="s">
        <v>4776</v>
      </c>
      <c r="C3103" s="37" t="s">
        <v>4771</v>
      </c>
      <c r="D3103" s="38" t="s">
        <v>4777</v>
      </c>
      <c r="E3103" s="39">
        <v>1</v>
      </c>
      <c r="F3103" s="40">
        <v>4.49</v>
      </c>
      <c r="G3103" s="40">
        <f t="shared" si="48"/>
        <v>4.49</v>
      </c>
      <c r="H3103" s="41" t="s">
        <v>24</v>
      </c>
      <c r="I3103" s="41" t="s">
        <v>58</v>
      </c>
      <c r="J3103" s="32"/>
    </row>
    <row r="3104" spans="1:10" x14ac:dyDescent="0.2">
      <c r="A3104" s="32"/>
      <c r="B3104" s="42" t="s">
        <v>4778</v>
      </c>
      <c r="C3104" s="43" t="s">
        <v>4771</v>
      </c>
      <c r="D3104" s="44" t="s">
        <v>3158</v>
      </c>
      <c r="E3104" s="45">
        <v>1</v>
      </c>
      <c r="F3104" s="46">
        <v>2.59</v>
      </c>
      <c r="G3104" s="46">
        <f t="shared" si="48"/>
        <v>2.59</v>
      </c>
      <c r="H3104" s="47" t="s">
        <v>24</v>
      </c>
      <c r="I3104" s="47" t="s">
        <v>58</v>
      </c>
      <c r="J3104" s="32"/>
    </row>
    <row r="3105" spans="1:10" x14ac:dyDescent="0.2">
      <c r="A3105" s="32"/>
      <c r="B3105" s="36" t="s">
        <v>4779</v>
      </c>
      <c r="C3105" s="37" t="s">
        <v>4771</v>
      </c>
      <c r="D3105" s="38" t="s">
        <v>2678</v>
      </c>
      <c r="E3105" s="39">
        <v>1</v>
      </c>
      <c r="F3105" s="40">
        <v>3.99</v>
      </c>
      <c r="G3105" s="40">
        <f t="shared" si="48"/>
        <v>3.99</v>
      </c>
      <c r="H3105" s="41" t="s">
        <v>24</v>
      </c>
      <c r="I3105" s="41" t="s">
        <v>58</v>
      </c>
      <c r="J3105" s="32"/>
    </row>
    <row r="3106" spans="1:10" x14ac:dyDescent="0.2">
      <c r="A3106" s="32"/>
      <c r="B3106" s="42" t="s">
        <v>4780</v>
      </c>
      <c r="C3106" s="43" t="s">
        <v>4771</v>
      </c>
      <c r="D3106" s="44" t="s">
        <v>4399</v>
      </c>
      <c r="E3106" s="45">
        <v>1</v>
      </c>
      <c r="F3106" s="46">
        <v>2.4900000000000002</v>
      </c>
      <c r="G3106" s="46">
        <f t="shared" si="48"/>
        <v>2.4900000000000002</v>
      </c>
      <c r="H3106" s="47" t="s">
        <v>24</v>
      </c>
      <c r="I3106" s="47" t="s">
        <v>58</v>
      </c>
      <c r="J3106" s="32"/>
    </row>
    <row r="3107" spans="1:10" x14ac:dyDescent="0.2">
      <c r="A3107" s="32"/>
      <c r="B3107" s="36" t="s">
        <v>4781</v>
      </c>
      <c r="C3107" s="37" t="s">
        <v>4771</v>
      </c>
      <c r="D3107" s="38" t="s">
        <v>2573</v>
      </c>
      <c r="E3107" s="39">
        <v>1</v>
      </c>
      <c r="F3107" s="40">
        <v>11.99</v>
      </c>
      <c r="G3107" s="40">
        <f t="shared" si="48"/>
        <v>11.99</v>
      </c>
      <c r="H3107" s="41" t="s">
        <v>24</v>
      </c>
      <c r="I3107" s="41" t="s">
        <v>58</v>
      </c>
      <c r="J3107" s="32"/>
    </row>
    <row r="3108" spans="1:10" x14ac:dyDescent="0.2">
      <c r="A3108" s="32"/>
      <c r="B3108" s="42" t="s">
        <v>4782</v>
      </c>
      <c r="C3108" s="43" t="s">
        <v>4771</v>
      </c>
      <c r="D3108" s="44" t="s">
        <v>2927</v>
      </c>
      <c r="E3108" s="45">
        <v>1</v>
      </c>
      <c r="F3108" s="46">
        <v>3.99</v>
      </c>
      <c r="G3108" s="46">
        <f t="shared" si="48"/>
        <v>3.99</v>
      </c>
      <c r="H3108" s="47" t="s">
        <v>24</v>
      </c>
      <c r="I3108" s="47" t="s">
        <v>58</v>
      </c>
      <c r="J3108" s="32"/>
    </row>
    <row r="3109" spans="1:10" x14ac:dyDescent="0.2">
      <c r="A3109" s="32"/>
      <c r="B3109" s="36" t="s">
        <v>4783</v>
      </c>
      <c r="C3109" s="37" t="s">
        <v>4771</v>
      </c>
      <c r="D3109" s="38" t="s">
        <v>4399</v>
      </c>
      <c r="E3109" s="39">
        <v>1</v>
      </c>
      <c r="F3109" s="40">
        <v>2.4900000000000002</v>
      </c>
      <c r="G3109" s="40">
        <f t="shared" si="48"/>
        <v>2.4900000000000002</v>
      </c>
      <c r="H3109" s="41" t="s">
        <v>24</v>
      </c>
      <c r="I3109" s="41" t="s">
        <v>58</v>
      </c>
      <c r="J3109" s="32"/>
    </row>
    <row r="3110" spans="1:10" x14ac:dyDescent="0.2">
      <c r="A3110" s="32"/>
      <c r="B3110" s="42" t="s">
        <v>4784</v>
      </c>
      <c r="C3110" s="43" t="s">
        <v>4771</v>
      </c>
      <c r="D3110" s="44" t="s">
        <v>3258</v>
      </c>
      <c r="E3110" s="45">
        <v>1</v>
      </c>
      <c r="F3110" s="46">
        <v>9.99</v>
      </c>
      <c r="G3110" s="46">
        <f t="shared" si="48"/>
        <v>9.99</v>
      </c>
      <c r="H3110" s="47" t="s">
        <v>24</v>
      </c>
      <c r="I3110" s="47" t="s">
        <v>58</v>
      </c>
      <c r="J3110" s="32"/>
    </row>
    <row r="3111" spans="1:10" x14ac:dyDescent="0.2">
      <c r="A3111" s="32"/>
      <c r="B3111" s="36" t="s">
        <v>4785</v>
      </c>
      <c r="C3111" s="37" t="s">
        <v>4771</v>
      </c>
      <c r="D3111" s="38" t="s">
        <v>76</v>
      </c>
      <c r="E3111" s="39">
        <v>1</v>
      </c>
      <c r="F3111" s="40">
        <v>6.99</v>
      </c>
      <c r="G3111" s="40">
        <f t="shared" si="48"/>
        <v>6.99</v>
      </c>
      <c r="H3111" s="41" t="s">
        <v>24</v>
      </c>
      <c r="I3111" s="41" t="s">
        <v>58</v>
      </c>
      <c r="J3111" s="32"/>
    </row>
    <row r="3112" spans="1:10" x14ac:dyDescent="0.2">
      <c r="A3112" s="32"/>
      <c r="B3112" s="42" t="s">
        <v>4786</v>
      </c>
      <c r="C3112" s="43" t="s">
        <v>4771</v>
      </c>
      <c r="D3112" s="44" t="s">
        <v>3261</v>
      </c>
      <c r="E3112" s="45">
        <v>1</v>
      </c>
      <c r="F3112" s="46">
        <v>2.89</v>
      </c>
      <c r="G3112" s="46">
        <f t="shared" si="48"/>
        <v>2.89</v>
      </c>
      <c r="H3112" s="47" t="s">
        <v>24</v>
      </c>
      <c r="I3112" s="47" t="s">
        <v>58</v>
      </c>
      <c r="J3112" s="32"/>
    </row>
    <row r="3113" spans="1:10" x14ac:dyDescent="0.2">
      <c r="A3113" s="32"/>
      <c r="B3113" s="36" t="s">
        <v>4787</v>
      </c>
      <c r="C3113" s="37" t="s">
        <v>4771</v>
      </c>
      <c r="D3113" s="38" t="s">
        <v>38</v>
      </c>
      <c r="E3113" s="39">
        <v>1</v>
      </c>
      <c r="F3113" s="40">
        <v>4.99</v>
      </c>
      <c r="G3113" s="40">
        <f t="shared" si="48"/>
        <v>4.99</v>
      </c>
      <c r="H3113" s="41" t="s">
        <v>24</v>
      </c>
      <c r="I3113" s="41" t="s">
        <v>58</v>
      </c>
      <c r="J3113" s="32"/>
    </row>
    <row r="3114" spans="1:10" x14ac:dyDescent="0.2">
      <c r="A3114" s="32"/>
      <c r="B3114" s="42" t="s">
        <v>4788</v>
      </c>
      <c r="C3114" s="43" t="s">
        <v>4771</v>
      </c>
      <c r="D3114" s="44" t="s">
        <v>2493</v>
      </c>
      <c r="E3114" s="45">
        <v>1</v>
      </c>
      <c r="F3114" s="46">
        <v>49.99</v>
      </c>
      <c r="G3114" s="46">
        <f t="shared" si="48"/>
        <v>49.99</v>
      </c>
      <c r="H3114" s="47" t="s">
        <v>24</v>
      </c>
      <c r="I3114" s="47" t="s">
        <v>58</v>
      </c>
      <c r="J3114" s="32"/>
    </row>
    <row r="3115" spans="1:10" x14ac:dyDescent="0.2">
      <c r="A3115" s="32"/>
      <c r="B3115" s="36" t="s">
        <v>4789</v>
      </c>
      <c r="C3115" s="37" t="s">
        <v>4771</v>
      </c>
      <c r="D3115" s="38" t="s">
        <v>2591</v>
      </c>
      <c r="E3115" s="39">
        <v>1</v>
      </c>
      <c r="F3115" s="40">
        <v>6.99</v>
      </c>
      <c r="G3115" s="40">
        <f t="shared" si="48"/>
        <v>6.99</v>
      </c>
      <c r="H3115" s="41" t="s">
        <v>24</v>
      </c>
      <c r="I3115" s="41" t="s">
        <v>58</v>
      </c>
      <c r="J3115" s="32"/>
    </row>
    <row r="3116" spans="1:10" x14ac:dyDescent="0.2">
      <c r="A3116" s="32"/>
      <c r="B3116" s="42" t="s">
        <v>4790</v>
      </c>
      <c r="C3116" s="43" t="s">
        <v>4771</v>
      </c>
      <c r="D3116" s="44" t="s">
        <v>4791</v>
      </c>
      <c r="E3116" s="45">
        <v>1</v>
      </c>
      <c r="F3116" s="46">
        <v>3.39</v>
      </c>
      <c r="G3116" s="46">
        <f t="shared" si="48"/>
        <v>3.39</v>
      </c>
      <c r="H3116" s="47" t="s">
        <v>24</v>
      </c>
      <c r="I3116" s="47" t="s">
        <v>58</v>
      </c>
      <c r="J3116" s="32"/>
    </row>
    <row r="3117" spans="1:10" x14ac:dyDescent="0.2">
      <c r="A3117" s="32"/>
      <c r="B3117" s="36" t="s">
        <v>4792</v>
      </c>
      <c r="C3117" s="37" t="s">
        <v>4771</v>
      </c>
      <c r="D3117" s="38" t="s">
        <v>4791</v>
      </c>
      <c r="E3117" s="39">
        <v>1</v>
      </c>
      <c r="F3117" s="40">
        <v>3.39</v>
      </c>
      <c r="G3117" s="40">
        <f t="shared" si="48"/>
        <v>3.39</v>
      </c>
      <c r="H3117" s="41" t="s">
        <v>24</v>
      </c>
      <c r="I3117" s="41" t="s">
        <v>58</v>
      </c>
      <c r="J3117" s="32"/>
    </row>
    <row r="3118" spans="1:10" x14ac:dyDescent="0.2">
      <c r="A3118" s="32"/>
      <c r="B3118" s="42" t="s">
        <v>4793</v>
      </c>
      <c r="C3118" s="43" t="s">
        <v>4771</v>
      </c>
      <c r="D3118" s="44" t="s">
        <v>4794</v>
      </c>
      <c r="E3118" s="45">
        <v>1</v>
      </c>
      <c r="F3118" s="46">
        <v>5.99</v>
      </c>
      <c r="G3118" s="46">
        <f t="shared" si="48"/>
        <v>5.99</v>
      </c>
      <c r="H3118" s="47" t="s">
        <v>24</v>
      </c>
      <c r="I3118" s="47" t="s">
        <v>58</v>
      </c>
      <c r="J3118" s="32"/>
    </row>
    <row r="3119" spans="1:10" x14ac:dyDescent="0.2">
      <c r="A3119" s="32"/>
      <c r="B3119" s="36" t="s">
        <v>4795</v>
      </c>
      <c r="C3119" s="37" t="s">
        <v>4771</v>
      </c>
      <c r="D3119" s="38" t="s">
        <v>4794</v>
      </c>
      <c r="E3119" s="39">
        <v>1</v>
      </c>
      <c r="F3119" s="40">
        <v>5.99</v>
      </c>
      <c r="G3119" s="40">
        <f t="shared" si="48"/>
        <v>5.99</v>
      </c>
      <c r="H3119" s="41" t="s">
        <v>24</v>
      </c>
      <c r="I3119" s="41" t="s">
        <v>58</v>
      </c>
      <c r="J3119" s="32"/>
    </row>
    <row r="3120" spans="1:10" x14ac:dyDescent="0.2">
      <c r="A3120" s="32"/>
      <c r="B3120" s="42" t="s">
        <v>4796</v>
      </c>
      <c r="C3120" s="43" t="s">
        <v>4771</v>
      </c>
      <c r="D3120" s="44" t="s">
        <v>4794</v>
      </c>
      <c r="E3120" s="45">
        <v>1</v>
      </c>
      <c r="F3120" s="46">
        <v>5.99</v>
      </c>
      <c r="G3120" s="46">
        <f t="shared" si="48"/>
        <v>5.99</v>
      </c>
      <c r="H3120" s="47" t="s">
        <v>24</v>
      </c>
      <c r="I3120" s="47" t="s">
        <v>58</v>
      </c>
      <c r="J3120" s="32"/>
    </row>
    <row r="3121" spans="1:10" x14ac:dyDescent="0.2">
      <c r="A3121" s="32"/>
      <c r="B3121" s="36" t="s">
        <v>4797</v>
      </c>
      <c r="C3121" s="37" t="s">
        <v>4771</v>
      </c>
      <c r="D3121" s="38" t="s">
        <v>4794</v>
      </c>
      <c r="E3121" s="39">
        <v>1</v>
      </c>
      <c r="F3121" s="40">
        <v>5.99</v>
      </c>
      <c r="G3121" s="40">
        <f t="shared" si="48"/>
        <v>5.99</v>
      </c>
      <c r="H3121" s="41" t="s">
        <v>24</v>
      </c>
      <c r="I3121" s="41" t="s">
        <v>58</v>
      </c>
      <c r="J3121" s="32"/>
    </row>
    <row r="3122" spans="1:10" x14ac:dyDescent="0.2">
      <c r="A3122" s="32"/>
      <c r="B3122" s="42" t="s">
        <v>4798</v>
      </c>
      <c r="C3122" s="43" t="s">
        <v>4771</v>
      </c>
      <c r="D3122" s="44" t="s">
        <v>4794</v>
      </c>
      <c r="E3122" s="45">
        <v>1</v>
      </c>
      <c r="F3122" s="46">
        <v>5.99</v>
      </c>
      <c r="G3122" s="46">
        <f t="shared" si="48"/>
        <v>5.99</v>
      </c>
      <c r="H3122" s="47" t="s">
        <v>24</v>
      </c>
      <c r="I3122" s="47" t="s">
        <v>58</v>
      </c>
      <c r="J3122" s="32"/>
    </row>
    <row r="3123" spans="1:10" x14ac:dyDescent="0.2">
      <c r="A3123" s="32"/>
      <c r="B3123" s="36" t="s">
        <v>4799</v>
      </c>
      <c r="C3123" s="37" t="s">
        <v>4771</v>
      </c>
      <c r="D3123" s="38" t="s">
        <v>4794</v>
      </c>
      <c r="E3123" s="39">
        <v>1</v>
      </c>
      <c r="F3123" s="40">
        <v>5.99</v>
      </c>
      <c r="G3123" s="40">
        <f t="shared" si="48"/>
        <v>5.99</v>
      </c>
      <c r="H3123" s="41" t="s">
        <v>24</v>
      </c>
      <c r="I3123" s="41" t="s">
        <v>58</v>
      </c>
      <c r="J3123" s="32"/>
    </row>
    <row r="3124" spans="1:10" x14ac:dyDescent="0.2">
      <c r="A3124" s="32"/>
      <c r="B3124" s="42" t="s">
        <v>4800</v>
      </c>
      <c r="C3124" s="43" t="s">
        <v>4771</v>
      </c>
      <c r="D3124" s="44" t="s">
        <v>4794</v>
      </c>
      <c r="E3124" s="45">
        <v>1</v>
      </c>
      <c r="F3124" s="46">
        <v>5.99</v>
      </c>
      <c r="G3124" s="46">
        <f t="shared" si="48"/>
        <v>5.99</v>
      </c>
      <c r="H3124" s="47" t="s">
        <v>24</v>
      </c>
      <c r="I3124" s="47" t="s">
        <v>58</v>
      </c>
      <c r="J3124" s="32"/>
    </row>
    <row r="3125" spans="1:10" x14ac:dyDescent="0.2">
      <c r="A3125" s="32"/>
      <c r="B3125" s="36" t="s">
        <v>4801</v>
      </c>
      <c r="C3125" s="37" t="s">
        <v>4771</v>
      </c>
      <c r="D3125" s="38" t="s">
        <v>4794</v>
      </c>
      <c r="E3125" s="39">
        <v>1</v>
      </c>
      <c r="F3125" s="40">
        <v>5.99</v>
      </c>
      <c r="G3125" s="40">
        <f t="shared" si="48"/>
        <v>5.99</v>
      </c>
      <c r="H3125" s="41" t="s">
        <v>24</v>
      </c>
      <c r="I3125" s="41" t="s">
        <v>58</v>
      </c>
      <c r="J3125" s="32"/>
    </row>
    <row r="3126" spans="1:10" x14ac:dyDescent="0.2">
      <c r="A3126" s="32"/>
      <c r="B3126" s="42" t="s">
        <v>4802</v>
      </c>
      <c r="C3126" s="43" t="s">
        <v>4771</v>
      </c>
      <c r="D3126" s="44" t="s">
        <v>1896</v>
      </c>
      <c r="E3126" s="45">
        <v>1</v>
      </c>
      <c r="F3126" s="46">
        <v>4.99</v>
      </c>
      <c r="G3126" s="46">
        <f t="shared" si="48"/>
        <v>4.99</v>
      </c>
      <c r="H3126" s="47" t="s">
        <v>24</v>
      </c>
      <c r="I3126" s="47" t="s">
        <v>58</v>
      </c>
      <c r="J3126" s="32"/>
    </row>
    <row r="3127" spans="1:10" x14ac:dyDescent="0.2">
      <c r="A3127" s="32"/>
      <c r="B3127" s="36" t="s">
        <v>4803</v>
      </c>
      <c r="C3127" s="37" t="s">
        <v>4771</v>
      </c>
      <c r="D3127" s="38" t="s">
        <v>4794</v>
      </c>
      <c r="E3127" s="39">
        <v>1</v>
      </c>
      <c r="F3127" s="40">
        <v>5.99</v>
      </c>
      <c r="G3127" s="40">
        <f t="shared" si="48"/>
        <v>5.99</v>
      </c>
      <c r="H3127" s="41" t="s">
        <v>24</v>
      </c>
      <c r="I3127" s="41" t="s">
        <v>58</v>
      </c>
      <c r="J3127" s="32"/>
    </row>
    <row r="3128" spans="1:10" x14ac:dyDescent="0.2">
      <c r="A3128" s="32"/>
      <c r="B3128" s="42" t="s">
        <v>4804</v>
      </c>
      <c r="C3128" s="43" t="s">
        <v>4771</v>
      </c>
      <c r="D3128" s="44" t="s">
        <v>2688</v>
      </c>
      <c r="E3128" s="45">
        <v>1</v>
      </c>
      <c r="F3128" s="46">
        <v>8.99</v>
      </c>
      <c r="G3128" s="46">
        <f t="shared" si="48"/>
        <v>8.99</v>
      </c>
      <c r="H3128" s="47" t="s">
        <v>24</v>
      </c>
      <c r="I3128" s="47" t="s">
        <v>58</v>
      </c>
      <c r="J3128" s="32"/>
    </row>
    <row r="3129" spans="1:10" x14ac:dyDescent="0.2">
      <c r="A3129" s="32"/>
      <c r="B3129" s="36" t="s">
        <v>4805</v>
      </c>
      <c r="C3129" s="37" t="s">
        <v>4771</v>
      </c>
      <c r="D3129" s="38" t="s">
        <v>2683</v>
      </c>
      <c r="E3129" s="39">
        <v>1</v>
      </c>
      <c r="F3129" s="40">
        <v>4.99</v>
      </c>
      <c r="G3129" s="40">
        <f t="shared" si="48"/>
        <v>4.99</v>
      </c>
      <c r="H3129" s="41" t="s">
        <v>24</v>
      </c>
      <c r="I3129" s="41" t="s">
        <v>58</v>
      </c>
      <c r="J3129" s="32"/>
    </row>
    <row r="3130" spans="1:10" x14ac:dyDescent="0.2">
      <c r="A3130" s="32"/>
      <c r="B3130" s="42" t="s">
        <v>4806</v>
      </c>
      <c r="C3130" s="43" t="s">
        <v>4771</v>
      </c>
      <c r="D3130" s="44" t="s">
        <v>4081</v>
      </c>
      <c r="E3130" s="45">
        <v>1</v>
      </c>
      <c r="F3130" s="46">
        <v>3.39</v>
      </c>
      <c r="G3130" s="46">
        <f t="shared" si="48"/>
        <v>3.39</v>
      </c>
      <c r="H3130" s="47" t="s">
        <v>24</v>
      </c>
      <c r="I3130" s="47" t="s">
        <v>58</v>
      </c>
      <c r="J3130" s="32"/>
    </row>
    <row r="3131" spans="1:10" x14ac:dyDescent="0.2">
      <c r="A3131" s="32"/>
      <c r="B3131" s="36" t="s">
        <v>4807</v>
      </c>
      <c r="C3131" s="37" t="s">
        <v>4771</v>
      </c>
      <c r="D3131" s="38" t="s">
        <v>4791</v>
      </c>
      <c r="E3131" s="39">
        <v>1</v>
      </c>
      <c r="F3131" s="40">
        <v>3.39</v>
      </c>
      <c r="G3131" s="40">
        <f t="shared" si="48"/>
        <v>3.39</v>
      </c>
      <c r="H3131" s="41" t="s">
        <v>24</v>
      </c>
      <c r="I3131" s="41" t="s">
        <v>58</v>
      </c>
      <c r="J3131" s="32"/>
    </row>
    <row r="3132" spans="1:10" x14ac:dyDescent="0.2">
      <c r="A3132" s="32"/>
      <c r="B3132" s="42" t="s">
        <v>4808</v>
      </c>
      <c r="C3132" s="43" t="s">
        <v>4771</v>
      </c>
      <c r="D3132" s="44" t="s">
        <v>1473</v>
      </c>
      <c r="E3132" s="45">
        <v>1</v>
      </c>
      <c r="F3132" s="46">
        <v>26.59</v>
      </c>
      <c r="G3132" s="46">
        <f t="shared" si="48"/>
        <v>26.59</v>
      </c>
      <c r="H3132" s="47" t="s">
        <v>24</v>
      </c>
      <c r="I3132" s="47" t="s">
        <v>58</v>
      </c>
      <c r="J3132" s="32"/>
    </row>
    <row r="3133" spans="1:10" x14ac:dyDescent="0.2">
      <c r="A3133" s="32"/>
      <c r="B3133" s="36" t="s">
        <v>4809</v>
      </c>
      <c r="C3133" s="37" t="s">
        <v>4771</v>
      </c>
      <c r="D3133" s="38" t="s">
        <v>4810</v>
      </c>
      <c r="E3133" s="39">
        <v>1</v>
      </c>
      <c r="F3133" s="40">
        <v>3.99</v>
      </c>
      <c r="G3133" s="40">
        <f t="shared" si="48"/>
        <v>3.99</v>
      </c>
      <c r="H3133" s="41" t="s">
        <v>24</v>
      </c>
      <c r="I3133" s="41" t="s">
        <v>58</v>
      </c>
      <c r="J3133" s="32"/>
    </row>
    <row r="3134" spans="1:10" x14ac:dyDescent="0.2">
      <c r="A3134" s="32"/>
      <c r="B3134" s="42" t="s">
        <v>4811</v>
      </c>
      <c r="C3134" s="43" t="s">
        <v>4771</v>
      </c>
      <c r="D3134" s="44" t="s">
        <v>4810</v>
      </c>
      <c r="E3134" s="45">
        <v>1</v>
      </c>
      <c r="F3134" s="46">
        <v>3.99</v>
      </c>
      <c r="G3134" s="46">
        <f t="shared" si="48"/>
        <v>3.99</v>
      </c>
      <c r="H3134" s="47" t="s">
        <v>24</v>
      </c>
      <c r="I3134" s="47" t="s">
        <v>58</v>
      </c>
      <c r="J3134" s="32"/>
    </row>
    <row r="3135" spans="1:10" x14ac:dyDescent="0.2">
      <c r="A3135" s="32"/>
      <c r="B3135" s="36" t="s">
        <v>4812</v>
      </c>
      <c r="C3135" s="37" t="s">
        <v>4771</v>
      </c>
      <c r="D3135" s="38" t="s">
        <v>3457</v>
      </c>
      <c r="E3135" s="39">
        <v>1</v>
      </c>
      <c r="F3135" s="40">
        <v>5.99</v>
      </c>
      <c r="G3135" s="40">
        <f t="shared" si="48"/>
        <v>5.99</v>
      </c>
      <c r="H3135" s="41" t="s">
        <v>24</v>
      </c>
      <c r="I3135" s="41" t="s">
        <v>58</v>
      </c>
      <c r="J3135" s="32"/>
    </row>
    <row r="3136" spans="1:10" x14ac:dyDescent="0.2">
      <c r="A3136" s="32"/>
      <c r="B3136" s="42" t="s">
        <v>4813</v>
      </c>
      <c r="C3136" s="43" t="s">
        <v>4771</v>
      </c>
      <c r="D3136" s="44" t="s">
        <v>4814</v>
      </c>
      <c r="E3136" s="45">
        <v>1</v>
      </c>
      <c r="F3136" s="46">
        <v>9.99</v>
      </c>
      <c r="G3136" s="46">
        <f t="shared" si="48"/>
        <v>9.99</v>
      </c>
      <c r="H3136" s="47" t="s">
        <v>24</v>
      </c>
      <c r="I3136" s="47" t="s">
        <v>58</v>
      </c>
      <c r="J3136" s="32"/>
    </row>
    <row r="3137" spans="1:10" x14ac:dyDescent="0.2">
      <c r="A3137" s="32"/>
      <c r="B3137" s="36" t="s">
        <v>4815</v>
      </c>
      <c r="C3137" s="37" t="s">
        <v>4771</v>
      </c>
      <c r="D3137" s="38" t="s">
        <v>4816</v>
      </c>
      <c r="E3137" s="39">
        <v>1</v>
      </c>
      <c r="F3137" s="40">
        <v>10.49</v>
      </c>
      <c r="G3137" s="40">
        <f t="shared" si="48"/>
        <v>10.49</v>
      </c>
      <c r="H3137" s="41" t="s">
        <v>24</v>
      </c>
      <c r="I3137" s="41" t="s">
        <v>58</v>
      </c>
      <c r="J3137" s="32"/>
    </row>
    <row r="3138" spans="1:10" x14ac:dyDescent="0.2">
      <c r="A3138" s="32"/>
      <c r="B3138" s="42" t="s">
        <v>4817</v>
      </c>
      <c r="C3138" s="43" t="s">
        <v>4771</v>
      </c>
      <c r="D3138" s="44" t="s">
        <v>4818</v>
      </c>
      <c r="E3138" s="45">
        <v>1</v>
      </c>
      <c r="F3138" s="46">
        <v>1.69</v>
      </c>
      <c r="G3138" s="46">
        <f t="shared" si="48"/>
        <v>1.69</v>
      </c>
      <c r="H3138" s="47" t="s">
        <v>24</v>
      </c>
      <c r="I3138" s="47" t="s">
        <v>58</v>
      </c>
      <c r="J3138" s="32"/>
    </row>
    <row r="3139" spans="1:10" x14ac:dyDescent="0.2">
      <c r="A3139" s="32"/>
      <c r="B3139" s="36" t="s">
        <v>4819</v>
      </c>
      <c r="C3139" s="37" t="s">
        <v>4771</v>
      </c>
      <c r="D3139" s="38" t="s">
        <v>4818</v>
      </c>
      <c r="E3139" s="39">
        <v>1</v>
      </c>
      <c r="F3139" s="40">
        <v>1.69</v>
      </c>
      <c r="G3139" s="40">
        <f t="shared" si="48"/>
        <v>1.69</v>
      </c>
      <c r="H3139" s="41" t="s">
        <v>24</v>
      </c>
      <c r="I3139" s="41" t="s">
        <v>58</v>
      </c>
      <c r="J3139" s="32"/>
    </row>
    <row r="3140" spans="1:10" x14ac:dyDescent="0.2">
      <c r="A3140" s="32"/>
      <c r="B3140" s="42" t="s">
        <v>4820</v>
      </c>
      <c r="C3140" s="43" t="s">
        <v>4771</v>
      </c>
      <c r="D3140" s="44" t="s">
        <v>3562</v>
      </c>
      <c r="E3140" s="45">
        <v>1</v>
      </c>
      <c r="F3140" s="46">
        <v>1.49</v>
      </c>
      <c r="G3140" s="46">
        <f t="shared" si="48"/>
        <v>1.49</v>
      </c>
      <c r="H3140" s="47" t="s">
        <v>24</v>
      </c>
      <c r="I3140" s="47" t="s">
        <v>58</v>
      </c>
      <c r="J3140" s="32"/>
    </row>
    <row r="3141" spans="1:10" x14ac:dyDescent="0.2">
      <c r="A3141" s="32"/>
      <c r="B3141" s="36" t="s">
        <v>4821</v>
      </c>
      <c r="C3141" s="37" t="s">
        <v>4771</v>
      </c>
      <c r="D3141" s="38" t="s">
        <v>4722</v>
      </c>
      <c r="E3141" s="39">
        <v>1</v>
      </c>
      <c r="F3141" s="40">
        <v>4.59</v>
      </c>
      <c r="G3141" s="40">
        <f t="shared" ref="G3141:G3204" si="49">E3141*F3141</f>
        <v>4.59</v>
      </c>
      <c r="H3141" s="41" t="s">
        <v>24</v>
      </c>
      <c r="I3141" s="41" t="s">
        <v>58</v>
      </c>
      <c r="J3141" s="32"/>
    </row>
    <row r="3142" spans="1:10" x14ac:dyDescent="0.2">
      <c r="A3142" s="32"/>
      <c r="B3142" s="42" t="s">
        <v>4822</v>
      </c>
      <c r="C3142" s="43" t="s">
        <v>4771</v>
      </c>
      <c r="D3142" s="44" t="s">
        <v>3562</v>
      </c>
      <c r="E3142" s="45">
        <v>1</v>
      </c>
      <c r="F3142" s="46">
        <v>1.49</v>
      </c>
      <c r="G3142" s="46">
        <f t="shared" si="49"/>
        <v>1.49</v>
      </c>
      <c r="H3142" s="47" t="s">
        <v>24</v>
      </c>
      <c r="I3142" s="47" t="s">
        <v>58</v>
      </c>
      <c r="J3142" s="32"/>
    </row>
    <row r="3143" spans="1:10" x14ac:dyDescent="0.2">
      <c r="A3143" s="32"/>
      <c r="B3143" s="36" t="s">
        <v>4823</v>
      </c>
      <c r="C3143" s="37" t="s">
        <v>4771</v>
      </c>
      <c r="D3143" s="38" t="s">
        <v>42</v>
      </c>
      <c r="E3143" s="39">
        <v>1</v>
      </c>
      <c r="F3143" s="40">
        <v>9.99</v>
      </c>
      <c r="G3143" s="40">
        <f t="shared" si="49"/>
        <v>9.99</v>
      </c>
      <c r="H3143" s="41" t="s">
        <v>24</v>
      </c>
      <c r="I3143" s="41" t="s">
        <v>58</v>
      </c>
      <c r="J3143" s="32"/>
    </row>
    <row r="3144" spans="1:10" x14ac:dyDescent="0.2">
      <c r="A3144" s="32"/>
      <c r="B3144" s="42" t="s">
        <v>4824</v>
      </c>
      <c r="C3144" s="43" t="s">
        <v>4771</v>
      </c>
      <c r="D3144" s="44" t="s">
        <v>4825</v>
      </c>
      <c r="E3144" s="45">
        <v>1</v>
      </c>
      <c r="F3144" s="46">
        <v>8.99</v>
      </c>
      <c r="G3144" s="46">
        <f t="shared" si="49"/>
        <v>8.99</v>
      </c>
      <c r="H3144" s="47" t="s">
        <v>24</v>
      </c>
      <c r="I3144" s="47" t="s">
        <v>58</v>
      </c>
      <c r="J3144" s="32"/>
    </row>
    <row r="3145" spans="1:10" x14ac:dyDescent="0.2">
      <c r="A3145" s="32"/>
      <c r="B3145" s="36" t="s">
        <v>4826</v>
      </c>
      <c r="C3145" s="37" t="s">
        <v>4771</v>
      </c>
      <c r="D3145" s="38" t="s">
        <v>4827</v>
      </c>
      <c r="E3145" s="39">
        <v>1</v>
      </c>
      <c r="F3145" s="40">
        <v>15.59</v>
      </c>
      <c r="G3145" s="40">
        <f t="shared" si="49"/>
        <v>15.59</v>
      </c>
      <c r="H3145" s="41" t="s">
        <v>24</v>
      </c>
      <c r="I3145" s="41" t="s">
        <v>58</v>
      </c>
      <c r="J3145" s="32"/>
    </row>
    <row r="3146" spans="1:10" x14ac:dyDescent="0.2">
      <c r="A3146" s="32"/>
      <c r="B3146" s="42" t="s">
        <v>4828</v>
      </c>
      <c r="C3146" s="43" t="s">
        <v>4771</v>
      </c>
      <c r="D3146" s="44" t="s">
        <v>1680</v>
      </c>
      <c r="E3146" s="45">
        <v>1</v>
      </c>
      <c r="F3146" s="46">
        <v>16.989999999999998</v>
      </c>
      <c r="G3146" s="46">
        <f t="shared" si="49"/>
        <v>16.989999999999998</v>
      </c>
      <c r="H3146" s="47" t="s">
        <v>24</v>
      </c>
      <c r="I3146" s="47" t="s">
        <v>58</v>
      </c>
      <c r="J3146" s="32"/>
    </row>
    <row r="3147" spans="1:10" x14ac:dyDescent="0.2">
      <c r="A3147" s="32"/>
      <c r="B3147" s="36" t="s">
        <v>4829</v>
      </c>
      <c r="C3147" s="37" t="s">
        <v>4771</v>
      </c>
      <c r="D3147" s="38" t="s">
        <v>1357</v>
      </c>
      <c r="E3147" s="39">
        <v>1</v>
      </c>
      <c r="F3147" s="40">
        <v>31.99</v>
      </c>
      <c r="G3147" s="40">
        <f t="shared" si="49"/>
        <v>31.99</v>
      </c>
      <c r="H3147" s="41" t="s">
        <v>24</v>
      </c>
      <c r="I3147" s="41" t="s">
        <v>58</v>
      </c>
      <c r="J3147" s="32"/>
    </row>
    <row r="3148" spans="1:10" x14ac:dyDescent="0.2">
      <c r="A3148" s="32"/>
      <c r="B3148" s="42" t="s">
        <v>4830</v>
      </c>
      <c r="C3148" s="43" t="s">
        <v>4771</v>
      </c>
      <c r="D3148" s="44" t="s">
        <v>3184</v>
      </c>
      <c r="E3148" s="45">
        <v>1</v>
      </c>
      <c r="F3148" s="46">
        <v>4.8899999999999997</v>
      </c>
      <c r="G3148" s="46">
        <f t="shared" si="49"/>
        <v>4.8899999999999997</v>
      </c>
      <c r="H3148" s="47" t="s">
        <v>24</v>
      </c>
      <c r="I3148" s="47" t="s">
        <v>58</v>
      </c>
      <c r="J3148" s="32"/>
    </row>
    <row r="3149" spans="1:10" x14ac:dyDescent="0.2">
      <c r="A3149" s="32"/>
      <c r="B3149" s="36" t="s">
        <v>4831</v>
      </c>
      <c r="C3149" s="37" t="s">
        <v>4771</v>
      </c>
      <c r="D3149" s="38" t="s">
        <v>4794</v>
      </c>
      <c r="E3149" s="39">
        <v>1</v>
      </c>
      <c r="F3149" s="40">
        <v>5.99</v>
      </c>
      <c r="G3149" s="40">
        <f t="shared" si="49"/>
        <v>5.99</v>
      </c>
      <c r="H3149" s="41" t="s">
        <v>24</v>
      </c>
      <c r="I3149" s="41" t="s">
        <v>58</v>
      </c>
      <c r="J3149" s="32"/>
    </row>
    <row r="3150" spans="1:10" x14ac:dyDescent="0.2">
      <c r="A3150" s="32"/>
      <c r="B3150" s="42" t="s">
        <v>4832</v>
      </c>
      <c r="C3150" s="43" t="s">
        <v>4771</v>
      </c>
      <c r="D3150" s="44" t="s">
        <v>834</v>
      </c>
      <c r="E3150" s="45">
        <v>1</v>
      </c>
      <c r="F3150" s="46">
        <v>5.29</v>
      </c>
      <c r="G3150" s="46">
        <f t="shared" si="49"/>
        <v>5.29</v>
      </c>
      <c r="H3150" s="47" t="s">
        <v>25</v>
      </c>
      <c r="I3150" s="47" t="s">
        <v>58</v>
      </c>
      <c r="J3150" s="32"/>
    </row>
    <row r="3151" spans="1:10" x14ac:dyDescent="0.2">
      <c r="A3151" s="32"/>
      <c r="B3151" s="36" t="s">
        <v>4833</v>
      </c>
      <c r="C3151" s="37" t="s">
        <v>4771</v>
      </c>
      <c r="D3151" s="38" t="s">
        <v>834</v>
      </c>
      <c r="E3151" s="39">
        <v>1</v>
      </c>
      <c r="F3151" s="40">
        <v>5.29</v>
      </c>
      <c r="G3151" s="40">
        <f t="shared" si="49"/>
        <v>5.29</v>
      </c>
      <c r="H3151" s="41" t="s">
        <v>25</v>
      </c>
      <c r="I3151" s="41" t="s">
        <v>58</v>
      </c>
      <c r="J3151" s="32"/>
    </row>
    <row r="3152" spans="1:10" x14ac:dyDescent="0.2">
      <c r="A3152" s="32"/>
      <c r="B3152" s="42" t="s">
        <v>4834</v>
      </c>
      <c r="C3152" s="43" t="s">
        <v>4771</v>
      </c>
      <c r="D3152" s="44" t="s">
        <v>2340</v>
      </c>
      <c r="E3152" s="45">
        <v>1</v>
      </c>
      <c r="F3152" s="46">
        <v>15.99</v>
      </c>
      <c r="G3152" s="46">
        <f t="shared" si="49"/>
        <v>15.99</v>
      </c>
      <c r="H3152" s="47" t="s">
        <v>25</v>
      </c>
      <c r="I3152" s="47" t="s">
        <v>58</v>
      </c>
      <c r="J3152" s="32"/>
    </row>
    <row r="3153" spans="1:10" x14ac:dyDescent="0.2">
      <c r="A3153" s="32"/>
      <c r="B3153" s="36" t="s">
        <v>4835</v>
      </c>
      <c r="C3153" s="37" t="s">
        <v>4771</v>
      </c>
      <c r="D3153" s="38" t="s">
        <v>3472</v>
      </c>
      <c r="E3153" s="39">
        <v>1</v>
      </c>
      <c r="F3153" s="40">
        <v>8.99</v>
      </c>
      <c r="G3153" s="40">
        <f t="shared" si="49"/>
        <v>8.99</v>
      </c>
      <c r="H3153" s="41" t="s">
        <v>24</v>
      </c>
      <c r="I3153" s="41" t="s">
        <v>58</v>
      </c>
      <c r="J3153" s="32"/>
    </row>
    <row r="3154" spans="1:10" x14ac:dyDescent="0.2">
      <c r="A3154" s="32"/>
      <c r="B3154" s="42" t="s">
        <v>4836</v>
      </c>
      <c r="C3154" s="43" t="s">
        <v>4771</v>
      </c>
      <c r="D3154" s="44" t="s">
        <v>1007</v>
      </c>
      <c r="E3154" s="45">
        <v>1</v>
      </c>
      <c r="F3154" s="46">
        <v>5.99</v>
      </c>
      <c r="G3154" s="46">
        <f t="shared" si="49"/>
        <v>5.99</v>
      </c>
      <c r="H3154" s="47" t="s">
        <v>24</v>
      </c>
      <c r="I3154" s="47" t="s">
        <v>58</v>
      </c>
      <c r="J3154" s="32"/>
    </row>
    <row r="3155" spans="1:10" x14ac:dyDescent="0.2">
      <c r="A3155" s="32"/>
      <c r="B3155" s="36" t="s">
        <v>4837</v>
      </c>
      <c r="C3155" s="37" t="s">
        <v>4771</v>
      </c>
      <c r="D3155" s="38" t="s">
        <v>2685</v>
      </c>
      <c r="E3155" s="39">
        <v>1</v>
      </c>
      <c r="F3155" s="40">
        <v>4.49</v>
      </c>
      <c r="G3155" s="40">
        <f t="shared" si="49"/>
        <v>4.49</v>
      </c>
      <c r="H3155" s="41" t="s">
        <v>24</v>
      </c>
      <c r="I3155" s="41" t="s">
        <v>58</v>
      </c>
      <c r="J3155" s="32"/>
    </row>
    <row r="3156" spans="1:10" x14ac:dyDescent="0.2">
      <c r="A3156" s="32"/>
      <c r="B3156" s="42" t="s">
        <v>4838</v>
      </c>
      <c r="C3156" s="43" t="s">
        <v>4771</v>
      </c>
      <c r="D3156" s="44" t="s">
        <v>2499</v>
      </c>
      <c r="E3156" s="45">
        <v>1</v>
      </c>
      <c r="F3156" s="46">
        <v>29.9</v>
      </c>
      <c r="G3156" s="46">
        <f t="shared" si="49"/>
        <v>29.9</v>
      </c>
      <c r="H3156" s="47" t="s">
        <v>24</v>
      </c>
      <c r="I3156" s="47" t="s">
        <v>58</v>
      </c>
      <c r="J3156" s="32"/>
    </row>
    <row r="3157" spans="1:10" x14ac:dyDescent="0.2">
      <c r="A3157" s="32"/>
      <c r="B3157" s="36" t="s">
        <v>4839</v>
      </c>
      <c r="C3157" s="37" t="s">
        <v>4771</v>
      </c>
      <c r="D3157" s="38" t="s">
        <v>2499</v>
      </c>
      <c r="E3157" s="39">
        <v>1</v>
      </c>
      <c r="F3157" s="40">
        <v>29.9</v>
      </c>
      <c r="G3157" s="40">
        <f t="shared" si="49"/>
        <v>29.9</v>
      </c>
      <c r="H3157" s="41" t="s">
        <v>24</v>
      </c>
      <c r="I3157" s="41" t="s">
        <v>58</v>
      </c>
      <c r="J3157" s="32"/>
    </row>
    <row r="3158" spans="1:10" x14ac:dyDescent="0.2">
      <c r="A3158" s="32"/>
      <c r="B3158" s="42" t="s">
        <v>4840</v>
      </c>
      <c r="C3158" s="43" t="s">
        <v>4771</v>
      </c>
      <c r="D3158" s="44" t="s">
        <v>1676</v>
      </c>
      <c r="E3158" s="45">
        <v>1</v>
      </c>
      <c r="F3158" s="46">
        <v>22.99</v>
      </c>
      <c r="G3158" s="46">
        <f t="shared" si="49"/>
        <v>22.99</v>
      </c>
      <c r="H3158" s="47" t="s">
        <v>24</v>
      </c>
      <c r="I3158" s="47" t="s">
        <v>58</v>
      </c>
      <c r="J3158" s="32"/>
    </row>
    <row r="3159" spans="1:10" x14ac:dyDescent="0.2">
      <c r="A3159" s="32"/>
      <c r="B3159" s="36" t="s">
        <v>4841</v>
      </c>
      <c r="C3159" s="37" t="s">
        <v>4771</v>
      </c>
      <c r="D3159" s="38" t="s">
        <v>1896</v>
      </c>
      <c r="E3159" s="39">
        <v>1</v>
      </c>
      <c r="F3159" s="40">
        <v>4.99</v>
      </c>
      <c r="G3159" s="40">
        <f t="shared" si="49"/>
        <v>4.99</v>
      </c>
      <c r="H3159" s="41" t="s">
        <v>24</v>
      </c>
      <c r="I3159" s="41" t="s">
        <v>58</v>
      </c>
      <c r="J3159" s="32"/>
    </row>
    <row r="3160" spans="1:10" x14ac:dyDescent="0.2">
      <c r="A3160" s="32"/>
      <c r="B3160" s="42" t="s">
        <v>4842</v>
      </c>
      <c r="C3160" s="43" t="s">
        <v>4771</v>
      </c>
      <c r="D3160" s="44" t="s">
        <v>1710</v>
      </c>
      <c r="E3160" s="45">
        <v>1</v>
      </c>
      <c r="F3160" s="46">
        <v>15.59</v>
      </c>
      <c r="G3160" s="46">
        <f t="shared" si="49"/>
        <v>15.59</v>
      </c>
      <c r="H3160" s="47" t="s">
        <v>25</v>
      </c>
      <c r="I3160" s="47" t="s">
        <v>58</v>
      </c>
      <c r="J3160" s="32"/>
    </row>
    <row r="3161" spans="1:10" x14ac:dyDescent="0.2">
      <c r="A3161" s="32"/>
      <c r="B3161" s="36" t="s">
        <v>4843</v>
      </c>
      <c r="C3161" s="37" t="s">
        <v>4771</v>
      </c>
      <c r="D3161" s="38" t="s">
        <v>3911</v>
      </c>
      <c r="E3161" s="39">
        <v>1</v>
      </c>
      <c r="F3161" s="40">
        <v>25.99</v>
      </c>
      <c r="G3161" s="40">
        <f t="shared" si="49"/>
        <v>25.99</v>
      </c>
      <c r="H3161" s="41" t="s">
        <v>25</v>
      </c>
      <c r="I3161" s="41" t="s">
        <v>58</v>
      </c>
      <c r="J3161" s="32"/>
    </row>
    <row r="3162" spans="1:10" x14ac:dyDescent="0.2">
      <c r="A3162" s="32"/>
      <c r="B3162" s="42" t="s">
        <v>4844</v>
      </c>
      <c r="C3162" s="43" t="s">
        <v>4771</v>
      </c>
      <c r="D3162" s="44" t="s">
        <v>4845</v>
      </c>
      <c r="E3162" s="45">
        <v>1</v>
      </c>
      <c r="F3162" s="46">
        <v>15.99</v>
      </c>
      <c r="G3162" s="46">
        <f t="shared" si="49"/>
        <v>15.99</v>
      </c>
      <c r="H3162" s="47" t="s">
        <v>24</v>
      </c>
      <c r="I3162" s="47" t="s">
        <v>58</v>
      </c>
      <c r="J3162" s="32"/>
    </row>
    <row r="3163" spans="1:10" x14ac:dyDescent="0.2">
      <c r="A3163" s="32"/>
      <c r="B3163" s="36" t="s">
        <v>4846</v>
      </c>
      <c r="C3163" s="37" t="s">
        <v>4771</v>
      </c>
      <c r="D3163" s="38" t="s">
        <v>4847</v>
      </c>
      <c r="E3163" s="39">
        <v>1</v>
      </c>
      <c r="F3163" s="40">
        <v>7.99</v>
      </c>
      <c r="G3163" s="40">
        <f t="shared" si="49"/>
        <v>7.99</v>
      </c>
      <c r="H3163" s="41" t="s">
        <v>24</v>
      </c>
      <c r="I3163" s="41" t="s">
        <v>58</v>
      </c>
      <c r="J3163" s="32"/>
    </row>
    <row r="3164" spans="1:10" x14ac:dyDescent="0.2">
      <c r="A3164" s="32"/>
      <c r="B3164" s="42" t="s">
        <v>4848</v>
      </c>
      <c r="C3164" s="43" t="s">
        <v>4771</v>
      </c>
      <c r="D3164" s="44" t="s">
        <v>1678</v>
      </c>
      <c r="E3164" s="45">
        <v>1</v>
      </c>
      <c r="F3164" s="46">
        <v>14.99</v>
      </c>
      <c r="G3164" s="46">
        <f t="shared" si="49"/>
        <v>14.99</v>
      </c>
      <c r="H3164" s="47" t="s">
        <v>24</v>
      </c>
      <c r="I3164" s="47" t="s">
        <v>58</v>
      </c>
      <c r="J3164" s="32"/>
    </row>
    <row r="3165" spans="1:10" x14ac:dyDescent="0.2">
      <c r="A3165" s="32"/>
      <c r="B3165" s="36" t="s">
        <v>4849</v>
      </c>
      <c r="C3165" s="37" t="s">
        <v>4771</v>
      </c>
      <c r="D3165" s="38" t="s">
        <v>1387</v>
      </c>
      <c r="E3165" s="39">
        <v>1</v>
      </c>
      <c r="F3165" s="40">
        <v>34.49</v>
      </c>
      <c r="G3165" s="40">
        <f t="shared" si="49"/>
        <v>34.49</v>
      </c>
      <c r="H3165" s="41" t="s">
        <v>24</v>
      </c>
      <c r="I3165" s="41" t="s">
        <v>58</v>
      </c>
      <c r="J3165" s="32"/>
    </row>
    <row r="3166" spans="1:10" x14ac:dyDescent="0.2">
      <c r="A3166" s="32"/>
      <c r="B3166" s="42" t="s">
        <v>4850</v>
      </c>
      <c r="C3166" s="43" t="s">
        <v>4771</v>
      </c>
      <c r="D3166" s="44" t="s">
        <v>4851</v>
      </c>
      <c r="E3166" s="45">
        <v>1</v>
      </c>
      <c r="F3166" s="46">
        <v>14.99</v>
      </c>
      <c r="G3166" s="46">
        <f t="shared" si="49"/>
        <v>14.99</v>
      </c>
      <c r="H3166" s="47" t="s">
        <v>24</v>
      </c>
      <c r="I3166" s="47" t="s">
        <v>58</v>
      </c>
      <c r="J3166" s="32"/>
    </row>
    <row r="3167" spans="1:10" x14ac:dyDescent="0.2">
      <c r="A3167" s="32"/>
      <c r="B3167" s="36" t="s">
        <v>4852</v>
      </c>
      <c r="C3167" s="37" t="s">
        <v>4771</v>
      </c>
      <c r="D3167" s="38" t="s">
        <v>3513</v>
      </c>
      <c r="E3167" s="39">
        <v>1</v>
      </c>
      <c r="F3167" s="40">
        <v>22.99</v>
      </c>
      <c r="G3167" s="40">
        <f t="shared" si="49"/>
        <v>22.99</v>
      </c>
      <c r="H3167" s="41" t="s">
        <v>24</v>
      </c>
      <c r="I3167" s="41" t="s">
        <v>58</v>
      </c>
      <c r="J3167" s="32"/>
    </row>
    <row r="3168" spans="1:10" x14ac:dyDescent="0.2">
      <c r="A3168" s="32"/>
      <c r="B3168" s="42" t="s">
        <v>4853</v>
      </c>
      <c r="C3168" s="43" t="s">
        <v>4771</v>
      </c>
      <c r="D3168" s="44" t="s">
        <v>4581</v>
      </c>
      <c r="E3168" s="45">
        <v>1</v>
      </c>
      <c r="F3168" s="46">
        <v>33.99</v>
      </c>
      <c r="G3168" s="46">
        <f t="shared" si="49"/>
        <v>33.99</v>
      </c>
      <c r="H3168" s="47" t="s">
        <v>24</v>
      </c>
      <c r="I3168" s="47" t="s">
        <v>58</v>
      </c>
      <c r="J3168" s="32"/>
    </row>
    <row r="3169" spans="1:10" x14ac:dyDescent="0.2">
      <c r="A3169" s="32"/>
      <c r="B3169" s="36" t="s">
        <v>4854</v>
      </c>
      <c r="C3169" s="37" t="s">
        <v>4855</v>
      </c>
      <c r="D3169" s="38" t="s">
        <v>4856</v>
      </c>
      <c r="E3169" s="39">
        <v>1</v>
      </c>
      <c r="F3169" s="40">
        <v>199</v>
      </c>
      <c r="G3169" s="40">
        <f t="shared" si="49"/>
        <v>199</v>
      </c>
      <c r="H3169" s="41" t="s">
        <v>24</v>
      </c>
      <c r="I3169" s="41" t="s">
        <v>58</v>
      </c>
      <c r="J3169" s="32"/>
    </row>
    <row r="3170" spans="1:10" x14ac:dyDescent="0.2">
      <c r="A3170" s="32"/>
      <c r="B3170" s="42" t="s">
        <v>4857</v>
      </c>
      <c r="C3170" s="43" t="s">
        <v>4858</v>
      </c>
      <c r="D3170" s="44" t="s">
        <v>4859</v>
      </c>
      <c r="E3170" s="45">
        <v>1</v>
      </c>
      <c r="F3170" s="46">
        <v>16.989999999999998</v>
      </c>
      <c r="G3170" s="46">
        <f t="shared" si="49"/>
        <v>16.989999999999998</v>
      </c>
      <c r="H3170" s="47" t="s">
        <v>24</v>
      </c>
      <c r="I3170" s="47" t="s">
        <v>58</v>
      </c>
      <c r="J3170" s="32"/>
    </row>
    <row r="3171" spans="1:10" x14ac:dyDescent="0.2">
      <c r="A3171" s="32"/>
      <c r="B3171" s="36" t="s">
        <v>4860</v>
      </c>
      <c r="C3171" s="37" t="s">
        <v>4861</v>
      </c>
      <c r="D3171" s="38" t="s">
        <v>4859</v>
      </c>
      <c r="E3171" s="39">
        <v>1</v>
      </c>
      <c r="F3171" s="40">
        <v>16.989999999999998</v>
      </c>
      <c r="G3171" s="40">
        <f t="shared" si="49"/>
        <v>16.989999999999998</v>
      </c>
      <c r="H3171" s="41" t="s">
        <v>24</v>
      </c>
      <c r="I3171" s="41" t="s">
        <v>58</v>
      </c>
      <c r="J3171" s="32"/>
    </row>
    <row r="3172" spans="1:10" x14ac:dyDescent="0.2">
      <c r="A3172" s="32"/>
      <c r="B3172" s="42" t="s">
        <v>4862</v>
      </c>
      <c r="C3172" s="43" t="s">
        <v>4863</v>
      </c>
      <c r="D3172" s="44" t="s">
        <v>4864</v>
      </c>
      <c r="E3172" s="45">
        <v>1</v>
      </c>
      <c r="F3172" s="46">
        <v>3.59</v>
      </c>
      <c r="G3172" s="46">
        <f t="shared" si="49"/>
        <v>3.59</v>
      </c>
      <c r="H3172" s="47" t="s">
        <v>24</v>
      </c>
      <c r="I3172" s="47" t="s">
        <v>58</v>
      </c>
      <c r="J3172" s="32"/>
    </row>
    <row r="3173" spans="1:10" x14ac:dyDescent="0.2">
      <c r="A3173" s="32"/>
      <c r="B3173" s="36" t="s">
        <v>4865</v>
      </c>
      <c r="C3173" s="37" t="s">
        <v>4863</v>
      </c>
      <c r="D3173" s="38" t="s">
        <v>4866</v>
      </c>
      <c r="E3173" s="39">
        <v>1</v>
      </c>
      <c r="F3173" s="40">
        <v>149.9</v>
      </c>
      <c r="G3173" s="40">
        <f t="shared" si="49"/>
        <v>149.9</v>
      </c>
      <c r="H3173" s="41" t="s">
        <v>24</v>
      </c>
      <c r="I3173" s="41" t="s">
        <v>58</v>
      </c>
      <c r="J3173" s="32"/>
    </row>
    <row r="3174" spans="1:10" x14ac:dyDescent="0.2">
      <c r="A3174" s="32"/>
      <c r="B3174" s="42" t="s">
        <v>4867</v>
      </c>
      <c r="C3174" s="43" t="s">
        <v>4863</v>
      </c>
      <c r="D3174" s="44" t="s">
        <v>4868</v>
      </c>
      <c r="E3174" s="45">
        <v>1</v>
      </c>
      <c r="F3174" s="46">
        <v>269.89999999999998</v>
      </c>
      <c r="G3174" s="46">
        <f t="shared" si="49"/>
        <v>269.89999999999998</v>
      </c>
      <c r="H3174" s="47" t="s">
        <v>24</v>
      </c>
      <c r="I3174" s="47" t="s">
        <v>58</v>
      </c>
      <c r="J3174" s="32"/>
    </row>
    <row r="3175" spans="1:10" x14ac:dyDescent="0.2">
      <c r="A3175" s="32"/>
      <c r="B3175" s="36" t="s">
        <v>4869</v>
      </c>
      <c r="C3175" s="37" t="s">
        <v>4863</v>
      </c>
      <c r="D3175" s="38" t="s">
        <v>4870</v>
      </c>
      <c r="E3175" s="39">
        <v>1</v>
      </c>
      <c r="F3175" s="40">
        <v>59.9</v>
      </c>
      <c r="G3175" s="40">
        <f t="shared" si="49"/>
        <v>59.9</v>
      </c>
      <c r="H3175" s="41" t="s">
        <v>24</v>
      </c>
      <c r="I3175" s="41" t="s">
        <v>58</v>
      </c>
      <c r="J3175" s="32"/>
    </row>
    <row r="3176" spans="1:10" x14ac:dyDescent="0.2">
      <c r="A3176" s="32"/>
      <c r="B3176" s="42" t="s">
        <v>4871</v>
      </c>
      <c r="C3176" s="43" t="s">
        <v>4872</v>
      </c>
      <c r="D3176" s="44" t="s">
        <v>4595</v>
      </c>
      <c r="E3176" s="45">
        <v>1</v>
      </c>
      <c r="F3176" s="46">
        <v>19.989999999999998</v>
      </c>
      <c r="G3176" s="46">
        <f t="shared" si="49"/>
        <v>19.989999999999998</v>
      </c>
      <c r="H3176" s="47" t="s">
        <v>24</v>
      </c>
      <c r="I3176" s="47" t="s">
        <v>58</v>
      </c>
      <c r="J3176" s="32"/>
    </row>
    <row r="3177" spans="1:10" x14ac:dyDescent="0.2">
      <c r="A3177" s="32"/>
      <c r="B3177" s="36" t="s">
        <v>4873</v>
      </c>
      <c r="C3177" s="37" t="s">
        <v>4874</v>
      </c>
      <c r="D3177" s="38" t="s">
        <v>4875</v>
      </c>
      <c r="E3177" s="39">
        <v>1</v>
      </c>
      <c r="F3177" s="40">
        <v>16.989999999999998</v>
      </c>
      <c r="G3177" s="40">
        <f t="shared" si="49"/>
        <v>16.989999999999998</v>
      </c>
      <c r="H3177" s="41" t="s">
        <v>24</v>
      </c>
      <c r="I3177" s="41" t="s">
        <v>58</v>
      </c>
      <c r="J3177" s="32"/>
    </row>
    <row r="3178" spans="1:10" x14ac:dyDescent="0.2">
      <c r="A3178" s="32"/>
      <c r="B3178" s="42" t="s">
        <v>4876</v>
      </c>
      <c r="C3178" s="43" t="s">
        <v>4877</v>
      </c>
      <c r="D3178" s="44" t="s">
        <v>1605</v>
      </c>
      <c r="E3178" s="45">
        <v>1</v>
      </c>
      <c r="F3178" s="46">
        <v>3.49</v>
      </c>
      <c r="G3178" s="46">
        <f t="shared" si="49"/>
        <v>3.49</v>
      </c>
      <c r="H3178" s="47" t="s">
        <v>24</v>
      </c>
      <c r="I3178" s="47" t="s">
        <v>58</v>
      </c>
      <c r="J3178" s="32"/>
    </row>
    <row r="3179" spans="1:10" x14ac:dyDescent="0.2">
      <c r="A3179" s="32"/>
      <c r="B3179" s="36" t="s">
        <v>4878</v>
      </c>
      <c r="C3179" s="37" t="s">
        <v>4877</v>
      </c>
      <c r="D3179" s="38" t="s">
        <v>4760</v>
      </c>
      <c r="E3179" s="39">
        <v>1</v>
      </c>
      <c r="F3179" s="40">
        <v>3.49</v>
      </c>
      <c r="G3179" s="40">
        <f t="shared" si="49"/>
        <v>3.49</v>
      </c>
      <c r="H3179" s="41" t="s">
        <v>24</v>
      </c>
      <c r="I3179" s="41" t="s">
        <v>58</v>
      </c>
      <c r="J3179" s="32"/>
    </row>
    <row r="3180" spans="1:10" x14ac:dyDescent="0.2">
      <c r="A3180" s="32"/>
      <c r="B3180" s="42" t="s">
        <v>4879</v>
      </c>
      <c r="C3180" s="43" t="s">
        <v>4877</v>
      </c>
      <c r="D3180" s="44" t="s">
        <v>4757</v>
      </c>
      <c r="E3180" s="45">
        <v>1</v>
      </c>
      <c r="F3180" s="46">
        <v>1.29</v>
      </c>
      <c r="G3180" s="46">
        <f t="shared" si="49"/>
        <v>1.29</v>
      </c>
      <c r="H3180" s="47" t="s">
        <v>24</v>
      </c>
      <c r="I3180" s="47" t="s">
        <v>58</v>
      </c>
      <c r="J3180" s="32"/>
    </row>
    <row r="3181" spans="1:10" x14ac:dyDescent="0.2">
      <c r="A3181" s="32"/>
      <c r="B3181" s="36" t="s">
        <v>4880</v>
      </c>
      <c r="C3181" s="37" t="s">
        <v>4877</v>
      </c>
      <c r="D3181" s="38" t="s">
        <v>4762</v>
      </c>
      <c r="E3181" s="39">
        <v>1</v>
      </c>
      <c r="F3181" s="40">
        <v>1.29</v>
      </c>
      <c r="G3181" s="40">
        <f t="shared" si="49"/>
        <v>1.29</v>
      </c>
      <c r="H3181" s="41" t="s">
        <v>24</v>
      </c>
      <c r="I3181" s="41" t="s">
        <v>58</v>
      </c>
      <c r="J3181" s="32"/>
    </row>
    <row r="3182" spans="1:10" x14ac:dyDescent="0.2">
      <c r="A3182" s="32"/>
      <c r="B3182" s="42" t="s">
        <v>4881</v>
      </c>
      <c r="C3182" s="43" t="s">
        <v>4882</v>
      </c>
      <c r="D3182" s="44" t="s">
        <v>4859</v>
      </c>
      <c r="E3182" s="45">
        <v>1</v>
      </c>
      <c r="F3182" s="46">
        <v>16.989999999999998</v>
      </c>
      <c r="G3182" s="46">
        <f t="shared" si="49"/>
        <v>16.989999999999998</v>
      </c>
      <c r="H3182" s="47" t="s">
        <v>24</v>
      </c>
      <c r="I3182" s="47" t="s">
        <v>58</v>
      </c>
      <c r="J3182" s="32"/>
    </row>
    <row r="3183" spans="1:10" x14ac:dyDescent="0.2">
      <c r="A3183" s="32"/>
      <c r="B3183" s="36" t="s">
        <v>4883</v>
      </c>
      <c r="C3183" s="37" t="s">
        <v>4884</v>
      </c>
      <c r="D3183" s="38" t="s">
        <v>4595</v>
      </c>
      <c r="E3183" s="39">
        <v>1</v>
      </c>
      <c r="F3183" s="40">
        <v>19.989999999999998</v>
      </c>
      <c r="G3183" s="40">
        <f t="shared" si="49"/>
        <v>19.989999999999998</v>
      </c>
      <c r="H3183" s="41" t="s">
        <v>24</v>
      </c>
      <c r="I3183" s="41" t="s">
        <v>58</v>
      </c>
      <c r="J3183" s="32"/>
    </row>
    <row r="3184" spans="1:10" x14ac:dyDescent="0.2">
      <c r="A3184" s="32"/>
      <c r="B3184" s="42" t="s">
        <v>4885</v>
      </c>
      <c r="C3184" s="43" t="s">
        <v>4886</v>
      </c>
      <c r="D3184" s="44" t="s">
        <v>4887</v>
      </c>
      <c r="E3184" s="45">
        <v>1</v>
      </c>
      <c r="F3184" s="46">
        <v>16.989999999999998</v>
      </c>
      <c r="G3184" s="46">
        <f t="shared" si="49"/>
        <v>16.989999999999998</v>
      </c>
      <c r="H3184" s="47" t="s">
        <v>24</v>
      </c>
      <c r="I3184" s="47" t="s">
        <v>58</v>
      </c>
      <c r="J3184" s="32"/>
    </row>
    <row r="3185" spans="1:10" x14ac:dyDescent="0.2">
      <c r="A3185" s="32"/>
      <c r="B3185" s="36" t="s">
        <v>4888</v>
      </c>
      <c r="C3185" s="37" t="s">
        <v>4889</v>
      </c>
      <c r="D3185" s="38" t="s">
        <v>4890</v>
      </c>
      <c r="E3185" s="39">
        <v>1</v>
      </c>
      <c r="F3185" s="40">
        <v>461.9</v>
      </c>
      <c r="G3185" s="40">
        <f t="shared" si="49"/>
        <v>461.9</v>
      </c>
      <c r="H3185" s="41" t="s">
        <v>24</v>
      </c>
      <c r="I3185" s="41" t="s">
        <v>58</v>
      </c>
      <c r="J3185" s="32"/>
    </row>
    <row r="3186" spans="1:10" x14ac:dyDescent="0.2">
      <c r="A3186" s="32"/>
      <c r="B3186" s="42" t="s">
        <v>4891</v>
      </c>
      <c r="C3186" s="43" t="s">
        <v>4889</v>
      </c>
      <c r="D3186" s="44" t="s">
        <v>4892</v>
      </c>
      <c r="E3186" s="45">
        <v>1</v>
      </c>
      <c r="F3186" s="46">
        <v>91.99</v>
      </c>
      <c r="G3186" s="46">
        <f t="shared" si="49"/>
        <v>91.99</v>
      </c>
      <c r="H3186" s="47" t="s">
        <v>25</v>
      </c>
      <c r="I3186" s="47" t="s">
        <v>58</v>
      </c>
      <c r="J3186" s="32"/>
    </row>
    <row r="3187" spans="1:10" x14ac:dyDescent="0.2">
      <c r="A3187" s="32"/>
      <c r="B3187" s="36" t="s">
        <v>4893</v>
      </c>
      <c r="C3187" s="37" t="s">
        <v>4889</v>
      </c>
      <c r="D3187" s="38" t="s">
        <v>4894</v>
      </c>
      <c r="E3187" s="39">
        <v>1</v>
      </c>
      <c r="F3187" s="40">
        <v>25.9</v>
      </c>
      <c r="G3187" s="40">
        <f t="shared" si="49"/>
        <v>25.9</v>
      </c>
      <c r="H3187" s="41" t="s">
        <v>24</v>
      </c>
      <c r="I3187" s="41" t="s">
        <v>58</v>
      </c>
      <c r="J3187" s="32"/>
    </row>
    <row r="3188" spans="1:10" x14ac:dyDescent="0.2">
      <c r="A3188" s="32"/>
      <c r="B3188" s="42" t="s">
        <v>4895</v>
      </c>
      <c r="C3188" s="43" t="s">
        <v>4889</v>
      </c>
      <c r="D3188" s="44" t="s">
        <v>4890</v>
      </c>
      <c r="E3188" s="45">
        <v>1</v>
      </c>
      <c r="F3188" s="46">
        <v>461.9</v>
      </c>
      <c r="G3188" s="46">
        <f t="shared" si="49"/>
        <v>461.9</v>
      </c>
      <c r="H3188" s="47" t="s">
        <v>24</v>
      </c>
      <c r="I3188" s="47" t="s">
        <v>58</v>
      </c>
      <c r="J3188" s="32"/>
    </row>
    <row r="3189" spans="1:10" x14ac:dyDescent="0.2">
      <c r="A3189" s="32"/>
      <c r="B3189" s="36" t="s">
        <v>4896</v>
      </c>
      <c r="C3189" s="37" t="s">
        <v>4897</v>
      </c>
      <c r="D3189" s="38" t="s">
        <v>4898</v>
      </c>
      <c r="E3189" s="39">
        <v>1</v>
      </c>
      <c r="F3189" s="40">
        <v>11.99</v>
      </c>
      <c r="G3189" s="40">
        <f t="shared" si="49"/>
        <v>11.99</v>
      </c>
      <c r="H3189" s="41" t="s">
        <v>24</v>
      </c>
      <c r="I3189" s="41" t="s">
        <v>58</v>
      </c>
      <c r="J3189" s="32"/>
    </row>
    <row r="3190" spans="1:10" x14ac:dyDescent="0.2">
      <c r="A3190" s="32"/>
      <c r="B3190" s="42" t="s">
        <v>4899</v>
      </c>
      <c r="C3190" s="43" t="s">
        <v>4897</v>
      </c>
      <c r="D3190" s="44" t="s">
        <v>4900</v>
      </c>
      <c r="E3190" s="45">
        <v>1</v>
      </c>
      <c r="F3190" s="46">
        <v>14.99</v>
      </c>
      <c r="G3190" s="46">
        <f t="shared" si="49"/>
        <v>14.99</v>
      </c>
      <c r="H3190" s="47" t="s">
        <v>24</v>
      </c>
      <c r="I3190" s="47" t="s">
        <v>58</v>
      </c>
      <c r="J3190" s="32"/>
    </row>
    <row r="3191" spans="1:10" x14ac:dyDescent="0.2">
      <c r="A3191" s="32"/>
      <c r="B3191" s="36" t="s">
        <v>4901</v>
      </c>
      <c r="C3191" s="37" t="s">
        <v>4897</v>
      </c>
      <c r="D3191" s="38" t="s">
        <v>4902</v>
      </c>
      <c r="E3191" s="39">
        <v>1</v>
      </c>
      <c r="F3191" s="40">
        <v>45.99</v>
      </c>
      <c r="G3191" s="40">
        <f t="shared" si="49"/>
        <v>45.99</v>
      </c>
      <c r="H3191" s="41" t="s">
        <v>24</v>
      </c>
      <c r="I3191" s="41" t="s">
        <v>58</v>
      </c>
      <c r="J3191" s="32"/>
    </row>
    <row r="3192" spans="1:10" x14ac:dyDescent="0.2">
      <c r="A3192" s="32"/>
      <c r="B3192" s="42" t="s">
        <v>4903</v>
      </c>
      <c r="C3192" s="43" t="s">
        <v>4897</v>
      </c>
      <c r="D3192" s="44" t="s">
        <v>4904</v>
      </c>
      <c r="E3192" s="45">
        <v>1</v>
      </c>
      <c r="F3192" s="46">
        <v>45.99</v>
      </c>
      <c r="G3192" s="46">
        <f t="shared" si="49"/>
        <v>45.99</v>
      </c>
      <c r="H3192" s="47" t="s">
        <v>24</v>
      </c>
      <c r="I3192" s="47" t="s">
        <v>58</v>
      </c>
      <c r="J3192" s="32"/>
    </row>
    <row r="3193" spans="1:10" x14ac:dyDescent="0.2">
      <c r="A3193" s="32"/>
      <c r="B3193" s="36" t="s">
        <v>4905</v>
      </c>
      <c r="C3193" s="37" t="s">
        <v>4897</v>
      </c>
      <c r="D3193" s="38" t="s">
        <v>4906</v>
      </c>
      <c r="E3193" s="39">
        <v>1</v>
      </c>
      <c r="F3193" s="40">
        <v>40.99</v>
      </c>
      <c r="G3193" s="40">
        <f t="shared" si="49"/>
        <v>40.99</v>
      </c>
      <c r="H3193" s="41" t="s">
        <v>24</v>
      </c>
      <c r="I3193" s="41" t="s">
        <v>58</v>
      </c>
      <c r="J3193" s="32"/>
    </row>
    <row r="3194" spans="1:10" x14ac:dyDescent="0.2">
      <c r="A3194" s="32"/>
      <c r="B3194" s="42" t="s">
        <v>4907</v>
      </c>
      <c r="C3194" s="43" t="s">
        <v>4897</v>
      </c>
      <c r="D3194" s="44" t="s">
        <v>4908</v>
      </c>
      <c r="E3194" s="45">
        <v>1</v>
      </c>
      <c r="F3194" s="46">
        <v>34.99</v>
      </c>
      <c r="G3194" s="46">
        <f t="shared" si="49"/>
        <v>34.99</v>
      </c>
      <c r="H3194" s="47" t="s">
        <v>24</v>
      </c>
      <c r="I3194" s="47" t="s">
        <v>58</v>
      </c>
      <c r="J3194" s="32"/>
    </row>
    <row r="3195" spans="1:10" x14ac:dyDescent="0.2">
      <c r="A3195" s="32"/>
      <c r="B3195" s="36" t="s">
        <v>4909</v>
      </c>
      <c r="C3195" s="37" t="s">
        <v>4897</v>
      </c>
      <c r="D3195" s="38" t="s">
        <v>4910</v>
      </c>
      <c r="E3195" s="39">
        <v>1</v>
      </c>
      <c r="F3195" s="40">
        <v>4.99</v>
      </c>
      <c r="G3195" s="40">
        <f t="shared" si="49"/>
        <v>4.99</v>
      </c>
      <c r="H3195" s="41" t="s">
        <v>24</v>
      </c>
      <c r="I3195" s="41" t="s">
        <v>58</v>
      </c>
      <c r="J3195" s="32"/>
    </row>
    <row r="3196" spans="1:10" x14ac:dyDescent="0.2">
      <c r="A3196" s="32"/>
      <c r="B3196" s="42" t="s">
        <v>4911</v>
      </c>
      <c r="C3196" s="43" t="s">
        <v>4897</v>
      </c>
      <c r="D3196" s="44" t="s">
        <v>4912</v>
      </c>
      <c r="E3196" s="45">
        <v>1</v>
      </c>
      <c r="F3196" s="46">
        <v>3.89</v>
      </c>
      <c r="G3196" s="46">
        <f t="shared" si="49"/>
        <v>3.89</v>
      </c>
      <c r="H3196" s="47" t="s">
        <v>24</v>
      </c>
      <c r="I3196" s="47" t="s">
        <v>58</v>
      </c>
      <c r="J3196" s="32"/>
    </row>
    <row r="3197" spans="1:10" x14ac:dyDescent="0.2">
      <c r="A3197" s="32"/>
      <c r="B3197" s="36" t="s">
        <v>4913</v>
      </c>
      <c r="C3197" s="37" t="s">
        <v>4897</v>
      </c>
      <c r="D3197" s="38" t="s">
        <v>4912</v>
      </c>
      <c r="E3197" s="39">
        <v>1</v>
      </c>
      <c r="F3197" s="40">
        <v>3.89</v>
      </c>
      <c r="G3197" s="40">
        <f t="shared" si="49"/>
        <v>3.89</v>
      </c>
      <c r="H3197" s="41" t="s">
        <v>24</v>
      </c>
      <c r="I3197" s="41" t="s">
        <v>58</v>
      </c>
      <c r="J3197" s="32"/>
    </row>
    <row r="3198" spans="1:10" x14ac:dyDescent="0.2">
      <c r="A3198" s="32"/>
      <c r="B3198" s="42" t="s">
        <v>4914</v>
      </c>
      <c r="C3198" s="43" t="s">
        <v>4897</v>
      </c>
      <c r="D3198" s="44" t="s">
        <v>4915</v>
      </c>
      <c r="E3198" s="45">
        <v>1</v>
      </c>
      <c r="F3198" s="46">
        <v>44.99</v>
      </c>
      <c r="G3198" s="46">
        <f t="shared" si="49"/>
        <v>44.99</v>
      </c>
      <c r="H3198" s="47" t="s">
        <v>24</v>
      </c>
      <c r="I3198" s="47" t="s">
        <v>58</v>
      </c>
      <c r="J3198" s="32"/>
    </row>
    <row r="3199" spans="1:10" x14ac:dyDescent="0.2">
      <c r="A3199" s="32"/>
      <c r="B3199" s="36" t="s">
        <v>4916</v>
      </c>
      <c r="C3199" s="37" t="s">
        <v>4897</v>
      </c>
      <c r="D3199" s="38" t="s">
        <v>4917</v>
      </c>
      <c r="E3199" s="39">
        <v>1</v>
      </c>
      <c r="F3199" s="40">
        <v>22.99</v>
      </c>
      <c r="G3199" s="40">
        <f t="shared" si="49"/>
        <v>22.99</v>
      </c>
      <c r="H3199" s="41" t="s">
        <v>24</v>
      </c>
      <c r="I3199" s="41" t="s">
        <v>58</v>
      </c>
      <c r="J3199" s="32"/>
    </row>
    <row r="3200" spans="1:10" x14ac:dyDescent="0.2">
      <c r="A3200" s="32"/>
      <c r="B3200" s="42" t="s">
        <v>4918</v>
      </c>
      <c r="C3200" s="43" t="s">
        <v>4897</v>
      </c>
      <c r="D3200" s="44" t="s">
        <v>4917</v>
      </c>
      <c r="E3200" s="45">
        <v>1</v>
      </c>
      <c r="F3200" s="46">
        <v>22.99</v>
      </c>
      <c r="G3200" s="46">
        <f t="shared" si="49"/>
        <v>22.99</v>
      </c>
      <c r="H3200" s="47" t="s">
        <v>24</v>
      </c>
      <c r="I3200" s="47" t="s">
        <v>58</v>
      </c>
      <c r="J3200" s="32"/>
    </row>
    <row r="3201" spans="1:10" x14ac:dyDescent="0.2">
      <c r="A3201" s="32"/>
      <c r="B3201" s="36" t="s">
        <v>4919</v>
      </c>
      <c r="C3201" s="37" t="s">
        <v>4897</v>
      </c>
      <c r="D3201" s="38" t="s">
        <v>4920</v>
      </c>
      <c r="E3201" s="39">
        <v>1</v>
      </c>
      <c r="F3201" s="40">
        <v>16.989999999999998</v>
      </c>
      <c r="G3201" s="40">
        <f t="shared" si="49"/>
        <v>16.989999999999998</v>
      </c>
      <c r="H3201" s="41" t="s">
        <v>24</v>
      </c>
      <c r="I3201" s="41" t="s">
        <v>58</v>
      </c>
      <c r="J3201" s="32"/>
    </row>
    <row r="3202" spans="1:10" x14ac:dyDescent="0.2">
      <c r="A3202" s="32"/>
      <c r="B3202" s="42" t="s">
        <v>4921</v>
      </c>
      <c r="C3202" s="43" t="s">
        <v>4897</v>
      </c>
      <c r="D3202" s="44" t="s">
        <v>4922</v>
      </c>
      <c r="E3202" s="45">
        <v>1</v>
      </c>
      <c r="F3202" s="46">
        <v>19.989999999999998</v>
      </c>
      <c r="G3202" s="46">
        <f t="shared" si="49"/>
        <v>19.989999999999998</v>
      </c>
      <c r="H3202" s="47" t="s">
        <v>24</v>
      </c>
      <c r="I3202" s="47" t="s">
        <v>58</v>
      </c>
      <c r="J3202" s="32"/>
    </row>
    <row r="3203" spans="1:10" x14ac:dyDescent="0.2">
      <c r="A3203" s="32"/>
      <c r="B3203" s="36" t="s">
        <v>4923</v>
      </c>
      <c r="C3203" s="37" t="s">
        <v>4897</v>
      </c>
      <c r="D3203" s="38" t="s">
        <v>4917</v>
      </c>
      <c r="E3203" s="39">
        <v>1</v>
      </c>
      <c r="F3203" s="40">
        <v>22.99</v>
      </c>
      <c r="G3203" s="40">
        <f t="shared" si="49"/>
        <v>22.99</v>
      </c>
      <c r="H3203" s="41" t="s">
        <v>24</v>
      </c>
      <c r="I3203" s="41" t="s">
        <v>58</v>
      </c>
      <c r="J3203" s="32"/>
    </row>
    <row r="3204" spans="1:10" x14ac:dyDescent="0.2">
      <c r="A3204" s="32"/>
      <c r="B3204" s="42" t="s">
        <v>4924</v>
      </c>
      <c r="C3204" s="43" t="s">
        <v>4897</v>
      </c>
      <c r="D3204" s="44" t="s">
        <v>4922</v>
      </c>
      <c r="E3204" s="45">
        <v>1</v>
      </c>
      <c r="F3204" s="46">
        <v>19.989999999999998</v>
      </c>
      <c r="G3204" s="46">
        <f t="shared" si="49"/>
        <v>19.989999999999998</v>
      </c>
      <c r="H3204" s="47" t="s">
        <v>24</v>
      </c>
      <c r="I3204" s="47" t="s">
        <v>58</v>
      </c>
      <c r="J3204" s="32"/>
    </row>
    <row r="3205" spans="1:10" x14ac:dyDescent="0.2">
      <c r="A3205" s="32"/>
      <c r="B3205" s="36" t="s">
        <v>4925</v>
      </c>
      <c r="C3205" s="37" t="s">
        <v>4897</v>
      </c>
      <c r="D3205" s="38" t="s">
        <v>4926</v>
      </c>
      <c r="E3205" s="39">
        <v>1</v>
      </c>
      <c r="F3205" s="40">
        <v>52.99</v>
      </c>
      <c r="G3205" s="40">
        <f t="shared" ref="G3205:G3268" si="50">E3205*F3205</f>
        <v>52.99</v>
      </c>
      <c r="H3205" s="41" t="s">
        <v>24</v>
      </c>
      <c r="I3205" s="41" t="s">
        <v>58</v>
      </c>
      <c r="J3205" s="32"/>
    </row>
    <row r="3206" spans="1:10" x14ac:dyDescent="0.2">
      <c r="A3206" s="32"/>
      <c r="B3206" s="42" t="s">
        <v>4927</v>
      </c>
      <c r="C3206" s="43" t="s">
        <v>4897</v>
      </c>
      <c r="D3206" s="44" t="s">
        <v>4928</v>
      </c>
      <c r="E3206" s="45">
        <v>1</v>
      </c>
      <c r="F3206" s="46">
        <v>37.99</v>
      </c>
      <c r="G3206" s="46">
        <f t="shared" si="50"/>
        <v>37.99</v>
      </c>
      <c r="H3206" s="47" t="s">
        <v>24</v>
      </c>
      <c r="I3206" s="47" t="s">
        <v>58</v>
      </c>
      <c r="J3206" s="32"/>
    </row>
    <row r="3207" spans="1:10" x14ac:dyDescent="0.2">
      <c r="A3207" s="32"/>
      <c r="B3207" s="36" t="s">
        <v>4929</v>
      </c>
      <c r="C3207" s="37" t="s">
        <v>4897</v>
      </c>
      <c r="D3207" s="38" t="s">
        <v>4930</v>
      </c>
      <c r="E3207" s="39">
        <v>1</v>
      </c>
      <c r="F3207" s="40">
        <v>25.99</v>
      </c>
      <c r="G3207" s="40">
        <f t="shared" si="50"/>
        <v>25.99</v>
      </c>
      <c r="H3207" s="41" t="s">
        <v>24</v>
      </c>
      <c r="I3207" s="41" t="s">
        <v>58</v>
      </c>
      <c r="J3207" s="32"/>
    </row>
    <row r="3208" spans="1:10" x14ac:dyDescent="0.2">
      <c r="A3208" s="32"/>
      <c r="B3208" s="42" t="s">
        <v>4931</v>
      </c>
      <c r="C3208" s="43" t="s">
        <v>4897</v>
      </c>
      <c r="D3208" s="44" t="s">
        <v>4932</v>
      </c>
      <c r="E3208" s="45">
        <v>1</v>
      </c>
      <c r="F3208" s="46">
        <v>18.989999999999998</v>
      </c>
      <c r="G3208" s="46">
        <f t="shared" si="50"/>
        <v>18.989999999999998</v>
      </c>
      <c r="H3208" s="47" t="s">
        <v>24</v>
      </c>
      <c r="I3208" s="47" t="s">
        <v>58</v>
      </c>
      <c r="J3208" s="32"/>
    </row>
    <row r="3209" spans="1:10" x14ac:dyDescent="0.2">
      <c r="A3209" s="32"/>
      <c r="B3209" s="36" t="s">
        <v>4933</v>
      </c>
      <c r="C3209" s="37" t="s">
        <v>4897</v>
      </c>
      <c r="D3209" s="38" t="s">
        <v>4934</v>
      </c>
      <c r="E3209" s="39">
        <v>1</v>
      </c>
      <c r="F3209" s="40">
        <v>10.99</v>
      </c>
      <c r="G3209" s="40">
        <f t="shared" si="50"/>
        <v>10.99</v>
      </c>
      <c r="H3209" s="41" t="s">
        <v>24</v>
      </c>
      <c r="I3209" s="41" t="s">
        <v>58</v>
      </c>
      <c r="J3209" s="32"/>
    </row>
    <row r="3210" spans="1:10" x14ac:dyDescent="0.2">
      <c r="A3210" s="32"/>
      <c r="B3210" s="42" t="s">
        <v>4935</v>
      </c>
      <c r="C3210" s="43" t="s">
        <v>4897</v>
      </c>
      <c r="D3210" s="44" t="s">
        <v>4936</v>
      </c>
      <c r="E3210" s="45">
        <v>1</v>
      </c>
      <c r="F3210" s="46">
        <v>2.99</v>
      </c>
      <c r="G3210" s="46">
        <f t="shared" si="50"/>
        <v>2.99</v>
      </c>
      <c r="H3210" s="47" t="s">
        <v>24</v>
      </c>
      <c r="I3210" s="47" t="s">
        <v>58</v>
      </c>
      <c r="J3210" s="32"/>
    </row>
    <row r="3211" spans="1:10" x14ac:dyDescent="0.2">
      <c r="A3211" s="32"/>
      <c r="B3211" s="36" t="s">
        <v>4937</v>
      </c>
      <c r="C3211" s="37" t="s">
        <v>4897</v>
      </c>
      <c r="D3211" s="38" t="s">
        <v>4938</v>
      </c>
      <c r="E3211" s="39">
        <v>1</v>
      </c>
      <c r="F3211" s="40">
        <v>1.99</v>
      </c>
      <c r="G3211" s="40">
        <f t="shared" si="50"/>
        <v>1.99</v>
      </c>
      <c r="H3211" s="41" t="s">
        <v>24</v>
      </c>
      <c r="I3211" s="41" t="s">
        <v>58</v>
      </c>
      <c r="J3211" s="32"/>
    </row>
    <row r="3212" spans="1:10" x14ac:dyDescent="0.2">
      <c r="A3212" s="32"/>
      <c r="B3212" s="42" t="s">
        <v>4939</v>
      </c>
      <c r="C3212" s="43" t="s">
        <v>4897</v>
      </c>
      <c r="D3212" s="44" t="s">
        <v>4940</v>
      </c>
      <c r="E3212" s="45">
        <v>1</v>
      </c>
      <c r="F3212" s="46">
        <v>4.49</v>
      </c>
      <c r="G3212" s="46">
        <f t="shared" si="50"/>
        <v>4.49</v>
      </c>
      <c r="H3212" s="47" t="s">
        <v>24</v>
      </c>
      <c r="I3212" s="47" t="s">
        <v>58</v>
      </c>
      <c r="J3212" s="32"/>
    </row>
    <row r="3213" spans="1:10" x14ac:dyDescent="0.2">
      <c r="A3213" s="32"/>
      <c r="B3213" s="36" t="s">
        <v>4941</v>
      </c>
      <c r="C3213" s="37" t="s">
        <v>4897</v>
      </c>
      <c r="D3213" s="38" t="s">
        <v>4942</v>
      </c>
      <c r="E3213" s="39">
        <v>1</v>
      </c>
      <c r="F3213" s="40">
        <v>3.49</v>
      </c>
      <c r="G3213" s="40">
        <f t="shared" si="50"/>
        <v>3.49</v>
      </c>
      <c r="H3213" s="41" t="s">
        <v>24</v>
      </c>
      <c r="I3213" s="41" t="s">
        <v>58</v>
      </c>
      <c r="J3213" s="32"/>
    </row>
    <row r="3214" spans="1:10" x14ac:dyDescent="0.2">
      <c r="A3214" s="32"/>
      <c r="B3214" s="42" t="s">
        <v>4943</v>
      </c>
      <c r="C3214" s="43" t="s">
        <v>4897</v>
      </c>
      <c r="D3214" s="44" t="s">
        <v>4944</v>
      </c>
      <c r="E3214" s="45">
        <v>1</v>
      </c>
      <c r="F3214" s="46">
        <v>6.99</v>
      </c>
      <c r="G3214" s="46">
        <f t="shared" si="50"/>
        <v>6.99</v>
      </c>
      <c r="H3214" s="47" t="s">
        <v>24</v>
      </c>
      <c r="I3214" s="47" t="s">
        <v>58</v>
      </c>
      <c r="J3214" s="32"/>
    </row>
    <row r="3215" spans="1:10" x14ac:dyDescent="0.2">
      <c r="A3215" s="32"/>
      <c r="B3215" s="36" t="s">
        <v>4945</v>
      </c>
      <c r="C3215" s="37" t="s">
        <v>4897</v>
      </c>
      <c r="D3215" s="38" t="s">
        <v>4946</v>
      </c>
      <c r="E3215" s="39">
        <v>1</v>
      </c>
      <c r="F3215" s="40">
        <v>16.989999999999998</v>
      </c>
      <c r="G3215" s="40">
        <f t="shared" si="50"/>
        <v>16.989999999999998</v>
      </c>
      <c r="H3215" s="41" t="s">
        <v>24</v>
      </c>
      <c r="I3215" s="41" t="s">
        <v>58</v>
      </c>
      <c r="J3215" s="32"/>
    </row>
    <row r="3216" spans="1:10" x14ac:dyDescent="0.2">
      <c r="A3216" s="32"/>
      <c r="B3216" s="42" t="s">
        <v>4947</v>
      </c>
      <c r="C3216" s="43" t="s">
        <v>4897</v>
      </c>
      <c r="D3216" s="44" t="s">
        <v>4948</v>
      </c>
      <c r="E3216" s="45">
        <v>1</v>
      </c>
      <c r="F3216" s="46">
        <v>2.99</v>
      </c>
      <c r="G3216" s="46">
        <f t="shared" si="50"/>
        <v>2.99</v>
      </c>
      <c r="H3216" s="47" t="s">
        <v>24</v>
      </c>
      <c r="I3216" s="47" t="s">
        <v>58</v>
      </c>
      <c r="J3216" s="32"/>
    </row>
    <row r="3217" spans="1:10" x14ac:dyDescent="0.2">
      <c r="A3217" s="32"/>
      <c r="B3217" s="36" t="s">
        <v>4949</v>
      </c>
      <c r="C3217" s="37" t="s">
        <v>4897</v>
      </c>
      <c r="D3217" s="38" t="s">
        <v>4950</v>
      </c>
      <c r="E3217" s="39">
        <v>1</v>
      </c>
      <c r="F3217" s="40">
        <v>19.989999999999998</v>
      </c>
      <c r="G3217" s="40">
        <f t="shared" si="50"/>
        <v>19.989999999999998</v>
      </c>
      <c r="H3217" s="41" t="s">
        <v>24</v>
      </c>
      <c r="I3217" s="41" t="s">
        <v>58</v>
      </c>
      <c r="J3217" s="32"/>
    </row>
    <row r="3218" spans="1:10" x14ac:dyDescent="0.2">
      <c r="A3218" s="32"/>
      <c r="B3218" s="42" t="s">
        <v>4951</v>
      </c>
      <c r="C3218" s="43" t="s">
        <v>4897</v>
      </c>
      <c r="D3218" s="44" t="s">
        <v>4950</v>
      </c>
      <c r="E3218" s="45">
        <v>1</v>
      </c>
      <c r="F3218" s="46">
        <v>19.989999999999998</v>
      </c>
      <c r="G3218" s="46">
        <f t="shared" si="50"/>
        <v>19.989999999999998</v>
      </c>
      <c r="H3218" s="47" t="s">
        <v>24</v>
      </c>
      <c r="I3218" s="47" t="s">
        <v>58</v>
      </c>
      <c r="J3218" s="32"/>
    </row>
    <row r="3219" spans="1:10" x14ac:dyDescent="0.2">
      <c r="A3219" s="32"/>
      <c r="B3219" s="36" t="s">
        <v>4952</v>
      </c>
      <c r="C3219" s="37" t="s">
        <v>4897</v>
      </c>
      <c r="D3219" s="38" t="s">
        <v>4950</v>
      </c>
      <c r="E3219" s="39">
        <v>1</v>
      </c>
      <c r="F3219" s="40">
        <v>19.989999999999998</v>
      </c>
      <c r="G3219" s="40">
        <f t="shared" si="50"/>
        <v>19.989999999999998</v>
      </c>
      <c r="H3219" s="41" t="s">
        <v>24</v>
      </c>
      <c r="I3219" s="41" t="s">
        <v>58</v>
      </c>
      <c r="J3219" s="32"/>
    </row>
    <row r="3220" spans="1:10" x14ac:dyDescent="0.2">
      <c r="A3220" s="32"/>
      <c r="B3220" s="42" t="s">
        <v>4953</v>
      </c>
      <c r="C3220" s="43" t="s">
        <v>4897</v>
      </c>
      <c r="D3220" s="44" t="s">
        <v>4954</v>
      </c>
      <c r="E3220" s="45">
        <v>1</v>
      </c>
      <c r="F3220" s="46">
        <v>16.989999999999998</v>
      </c>
      <c r="G3220" s="46">
        <f t="shared" si="50"/>
        <v>16.989999999999998</v>
      </c>
      <c r="H3220" s="47" t="s">
        <v>24</v>
      </c>
      <c r="I3220" s="47" t="s">
        <v>58</v>
      </c>
      <c r="J3220" s="32"/>
    </row>
    <row r="3221" spans="1:10" x14ac:dyDescent="0.2">
      <c r="A3221" s="32"/>
      <c r="B3221" s="36" t="s">
        <v>4955</v>
      </c>
      <c r="C3221" s="37" t="s">
        <v>4897</v>
      </c>
      <c r="D3221" s="38" t="s">
        <v>4956</v>
      </c>
      <c r="E3221" s="39">
        <v>1</v>
      </c>
      <c r="F3221" s="40">
        <v>19.989999999999998</v>
      </c>
      <c r="G3221" s="40">
        <f t="shared" si="50"/>
        <v>19.989999999999998</v>
      </c>
      <c r="H3221" s="41" t="s">
        <v>24</v>
      </c>
      <c r="I3221" s="41" t="s">
        <v>58</v>
      </c>
      <c r="J3221" s="32"/>
    </row>
    <row r="3222" spans="1:10" x14ac:dyDescent="0.2">
      <c r="A3222" s="32"/>
      <c r="B3222" s="42" t="s">
        <v>4957</v>
      </c>
      <c r="C3222" s="43" t="s">
        <v>4897</v>
      </c>
      <c r="D3222" s="44" t="s">
        <v>4956</v>
      </c>
      <c r="E3222" s="45">
        <v>1</v>
      </c>
      <c r="F3222" s="46">
        <v>19.989999999999998</v>
      </c>
      <c r="G3222" s="46">
        <f t="shared" si="50"/>
        <v>19.989999999999998</v>
      </c>
      <c r="H3222" s="47" t="s">
        <v>24</v>
      </c>
      <c r="I3222" s="47" t="s">
        <v>58</v>
      </c>
      <c r="J3222" s="32"/>
    </row>
    <row r="3223" spans="1:10" x14ac:dyDescent="0.2">
      <c r="A3223" s="32"/>
      <c r="B3223" s="36" t="s">
        <v>4958</v>
      </c>
      <c r="C3223" s="37" t="s">
        <v>4897</v>
      </c>
      <c r="D3223" s="38" t="s">
        <v>4959</v>
      </c>
      <c r="E3223" s="39">
        <v>1</v>
      </c>
      <c r="F3223" s="40">
        <v>6.99</v>
      </c>
      <c r="G3223" s="40">
        <f t="shared" si="50"/>
        <v>6.99</v>
      </c>
      <c r="H3223" s="41" t="s">
        <v>24</v>
      </c>
      <c r="I3223" s="41" t="s">
        <v>58</v>
      </c>
      <c r="J3223" s="32"/>
    </row>
    <row r="3224" spans="1:10" x14ac:dyDescent="0.2">
      <c r="A3224" s="32"/>
      <c r="B3224" s="42" t="s">
        <v>4960</v>
      </c>
      <c r="C3224" s="43" t="s">
        <v>4897</v>
      </c>
      <c r="D3224" s="44" t="s">
        <v>4959</v>
      </c>
      <c r="E3224" s="45">
        <v>1</v>
      </c>
      <c r="F3224" s="46">
        <v>6.99</v>
      </c>
      <c r="G3224" s="46">
        <f t="shared" si="50"/>
        <v>6.99</v>
      </c>
      <c r="H3224" s="47" t="s">
        <v>24</v>
      </c>
      <c r="I3224" s="47" t="s">
        <v>58</v>
      </c>
      <c r="J3224" s="32"/>
    </row>
    <row r="3225" spans="1:10" x14ac:dyDescent="0.2">
      <c r="A3225" s="32"/>
      <c r="B3225" s="36" t="s">
        <v>4961</v>
      </c>
      <c r="C3225" s="37" t="s">
        <v>4897</v>
      </c>
      <c r="D3225" s="38" t="s">
        <v>4959</v>
      </c>
      <c r="E3225" s="39">
        <v>1</v>
      </c>
      <c r="F3225" s="40">
        <v>6.99</v>
      </c>
      <c r="G3225" s="40">
        <f t="shared" si="50"/>
        <v>6.99</v>
      </c>
      <c r="H3225" s="41" t="s">
        <v>24</v>
      </c>
      <c r="I3225" s="41" t="s">
        <v>58</v>
      </c>
      <c r="J3225" s="32"/>
    </row>
    <row r="3226" spans="1:10" x14ac:dyDescent="0.2">
      <c r="A3226" s="32"/>
      <c r="B3226" s="42" t="s">
        <v>4962</v>
      </c>
      <c r="C3226" s="43" t="s">
        <v>4897</v>
      </c>
      <c r="D3226" s="44" t="s">
        <v>2685</v>
      </c>
      <c r="E3226" s="45">
        <v>1</v>
      </c>
      <c r="F3226" s="46">
        <v>5.49</v>
      </c>
      <c r="G3226" s="46">
        <f t="shared" si="50"/>
        <v>5.49</v>
      </c>
      <c r="H3226" s="47" t="s">
        <v>24</v>
      </c>
      <c r="I3226" s="47" t="s">
        <v>58</v>
      </c>
      <c r="J3226" s="32"/>
    </row>
    <row r="3227" spans="1:10" x14ac:dyDescent="0.2">
      <c r="A3227" s="32"/>
      <c r="B3227" s="36" t="s">
        <v>4963</v>
      </c>
      <c r="C3227" s="37" t="s">
        <v>4897</v>
      </c>
      <c r="D3227" s="38" t="s">
        <v>38</v>
      </c>
      <c r="E3227" s="39">
        <v>1</v>
      </c>
      <c r="F3227" s="40">
        <v>9.99</v>
      </c>
      <c r="G3227" s="40">
        <f t="shared" si="50"/>
        <v>9.99</v>
      </c>
      <c r="H3227" s="41" t="s">
        <v>24</v>
      </c>
      <c r="I3227" s="41" t="s">
        <v>58</v>
      </c>
      <c r="J3227" s="32"/>
    </row>
    <row r="3228" spans="1:10" x14ac:dyDescent="0.2">
      <c r="A3228" s="32"/>
      <c r="B3228" s="42" t="s">
        <v>4964</v>
      </c>
      <c r="C3228" s="43" t="s">
        <v>4897</v>
      </c>
      <c r="D3228" s="44" t="s">
        <v>2759</v>
      </c>
      <c r="E3228" s="45">
        <v>1</v>
      </c>
      <c r="F3228" s="46">
        <v>5.99</v>
      </c>
      <c r="G3228" s="46">
        <f t="shared" si="50"/>
        <v>5.99</v>
      </c>
      <c r="H3228" s="47" t="s">
        <v>24</v>
      </c>
      <c r="I3228" s="47" t="s">
        <v>58</v>
      </c>
      <c r="J3228" s="32"/>
    </row>
    <row r="3229" spans="1:10" x14ac:dyDescent="0.2">
      <c r="A3229" s="32"/>
      <c r="B3229" s="36" t="s">
        <v>4965</v>
      </c>
      <c r="C3229" s="37" t="s">
        <v>4897</v>
      </c>
      <c r="D3229" s="38" t="s">
        <v>4392</v>
      </c>
      <c r="E3229" s="39">
        <v>1</v>
      </c>
      <c r="F3229" s="40">
        <v>6.49</v>
      </c>
      <c r="G3229" s="40">
        <f t="shared" si="50"/>
        <v>6.49</v>
      </c>
      <c r="H3229" s="41" t="s">
        <v>24</v>
      </c>
      <c r="I3229" s="41" t="s">
        <v>58</v>
      </c>
      <c r="J3229" s="32"/>
    </row>
    <row r="3230" spans="1:10" x14ac:dyDescent="0.2">
      <c r="A3230" s="32"/>
      <c r="B3230" s="42" t="s">
        <v>4966</v>
      </c>
      <c r="C3230" s="43" t="s">
        <v>4897</v>
      </c>
      <c r="D3230" s="44" t="s">
        <v>4967</v>
      </c>
      <c r="E3230" s="45">
        <v>1</v>
      </c>
      <c r="F3230" s="46">
        <v>17.989999999999998</v>
      </c>
      <c r="G3230" s="46">
        <f t="shared" si="50"/>
        <v>17.989999999999998</v>
      </c>
      <c r="H3230" s="47" t="s">
        <v>24</v>
      </c>
      <c r="I3230" s="47" t="s">
        <v>58</v>
      </c>
      <c r="J3230" s="32"/>
    </row>
    <row r="3231" spans="1:10" x14ac:dyDescent="0.2">
      <c r="A3231" s="32"/>
      <c r="B3231" s="36" t="s">
        <v>4968</v>
      </c>
      <c r="C3231" s="37" t="s">
        <v>4969</v>
      </c>
      <c r="D3231" s="38" t="s">
        <v>4970</v>
      </c>
      <c r="E3231" s="39">
        <v>1</v>
      </c>
      <c r="F3231" s="40">
        <v>49.9</v>
      </c>
      <c r="G3231" s="40">
        <f t="shared" si="50"/>
        <v>49.9</v>
      </c>
      <c r="H3231" s="41" t="s">
        <v>24</v>
      </c>
      <c r="I3231" s="41" t="s">
        <v>58</v>
      </c>
      <c r="J3231" s="32"/>
    </row>
    <row r="3232" spans="1:10" x14ac:dyDescent="0.2">
      <c r="A3232" s="32"/>
      <c r="B3232" s="42" t="s">
        <v>4971</v>
      </c>
      <c r="C3232" s="43" t="s">
        <v>4969</v>
      </c>
      <c r="D3232" s="44" t="s">
        <v>4972</v>
      </c>
      <c r="E3232" s="45">
        <v>1</v>
      </c>
      <c r="F3232" s="46">
        <v>18.989999999999998</v>
      </c>
      <c r="G3232" s="46">
        <f t="shared" si="50"/>
        <v>18.989999999999998</v>
      </c>
      <c r="H3232" s="47" t="s">
        <v>24</v>
      </c>
      <c r="I3232" s="47" t="s">
        <v>58</v>
      </c>
      <c r="J3232" s="32"/>
    </row>
    <row r="3233" spans="1:10" x14ac:dyDescent="0.2">
      <c r="A3233" s="32"/>
      <c r="B3233" s="36" t="s">
        <v>4973</v>
      </c>
      <c r="C3233" s="37" t="s">
        <v>4969</v>
      </c>
      <c r="D3233" s="38" t="s">
        <v>4974</v>
      </c>
      <c r="E3233" s="39">
        <v>1</v>
      </c>
      <c r="F3233" s="40">
        <v>27.99</v>
      </c>
      <c r="G3233" s="40">
        <f t="shared" si="50"/>
        <v>27.99</v>
      </c>
      <c r="H3233" s="41" t="s">
        <v>24</v>
      </c>
      <c r="I3233" s="41" t="s">
        <v>58</v>
      </c>
      <c r="J3233" s="32"/>
    </row>
    <row r="3234" spans="1:10" x14ac:dyDescent="0.2">
      <c r="A3234" s="32"/>
      <c r="B3234" s="42" t="s">
        <v>4975</v>
      </c>
      <c r="C3234" s="43" t="s">
        <v>4969</v>
      </c>
      <c r="D3234" s="44" t="s">
        <v>4976</v>
      </c>
      <c r="E3234" s="45">
        <v>1</v>
      </c>
      <c r="F3234" s="46">
        <v>52.99</v>
      </c>
      <c r="G3234" s="46">
        <f t="shared" si="50"/>
        <v>52.99</v>
      </c>
      <c r="H3234" s="47" t="s">
        <v>24</v>
      </c>
      <c r="I3234" s="47" t="s">
        <v>58</v>
      </c>
      <c r="J3234" s="32"/>
    </row>
    <row r="3235" spans="1:10" x14ac:dyDescent="0.2">
      <c r="A3235" s="32"/>
      <c r="B3235" s="36" t="s">
        <v>4977</v>
      </c>
      <c r="C3235" s="37" t="s">
        <v>4969</v>
      </c>
      <c r="D3235" s="38" t="s">
        <v>4978</v>
      </c>
      <c r="E3235" s="39">
        <v>1</v>
      </c>
      <c r="F3235" s="40">
        <v>7.99</v>
      </c>
      <c r="G3235" s="40">
        <f t="shared" si="50"/>
        <v>7.99</v>
      </c>
      <c r="H3235" s="41" t="s">
        <v>24</v>
      </c>
      <c r="I3235" s="41" t="s">
        <v>58</v>
      </c>
      <c r="J3235" s="32"/>
    </row>
    <row r="3236" spans="1:10" x14ac:dyDescent="0.2">
      <c r="A3236" s="32"/>
      <c r="B3236" s="42" t="s">
        <v>4979</v>
      </c>
      <c r="C3236" s="43" t="s">
        <v>4969</v>
      </c>
      <c r="D3236" s="44" t="s">
        <v>4980</v>
      </c>
      <c r="E3236" s="45">
        <v>1</v>
      </c>
      <c r="F3236" s="46">
        <v>69.989999999999995</v>
      </c>
      <c r="G3236" s="46">
        <f t="shared" si="50"/>
        <v>69.989999999999995</v>
      </c>
      <c r="H3236" s="47" t="s">
        <v>24</v>
      </c>
      <c r="I3236" s="47" t="s">
        <v>58</v>
      </c>
      <c r="J3236" s="32"/>
    </row>
    <row r="3237" spans="1:10" x14ac:dyDescent="0.2">
      <c r="A3237" s="32"/>
      <c r="B3237" s="36" t="s">
        <v>4981</v>
      </c>
      <c r="C3237" s="37" t="s">
        <v>4969</v>
      </c>
      <c r="D3237" s="38" t="s">
        <v>4982</v>
      </c>
      <c r="E3237" s="39">
        <v>1</v>
      </c>
      <c r="F3237" s="40">
        <v>69.989999999999995</v>
      </c>
      <c r="G3237" s="40">
        <f t="shared" si="50"/>
        <v>69.989999999999995</v>
      </c>
      <c r="H3237" s="41" t="s">
        <v>24</v>
      </c>
      <c r="I3237" s="41" t="s">
        <v>58</v>
      </c>
      <c r="J3237" s="32"/>
    </row>
    <row r="3238" spans="1:10" x14ac:dyDescent="0.2">
      <c r="A3238" s="32"/>
      <c r="B3238" s="42" t="s">
        <v>4983</v>
      </c>
      <c r="C3238" s="43" t="s">
        <v>4969</v>
      </c>
      <c r="D3238" s="44" t="s">
        <v>4984</v>
      </c>
      <c r="E3238" s="45">
        <v>1</v>
      </c>
      <c r="F3238" s="46">
        <v>69.989999999999995</v>
      </c>
      <c r="G3238" s="46">
        <f t="shared" si="50"/>
        <v>69.989999999999995</v>
      </c>
      <c r="H3238" s="47" t="s">
        <v>24</v>
      </c>
      <c r="I3238" s="47" t="s">
        <v>58</v>
      </c>
      <c r="J3238" s="32"/>
    </row>
    <row r="3239" spans="1:10" x14ac:dyDescent="0.2">
      <c r="A3239" s="32"/>
      <c r="B3239" s="36" t="s">
        <v>4985</v>
      </c>
      <c r="C3239" s="37" t="s">
        <v>4969</v>
      </c>
      <c r="D3239" s="38" t="s">
        <v>4986</v>
      </c>
      <c r="E3239" s="39">
        <v>1</v>
      </c>
      <c r="F3239" s="40">
        <v>68.989999999999995</v>
      </c>
      <c r="G3239" s="40">
        <f t="shared" si="50"/>
        <v>68.989999999999995</v>
      </c>
      <c r="H3239" s="41" t="s">
        <v>24</v>
      </c>
      <c r="I3239" s="41" t="s">
        <v>58</v>
      </c>
      <c r="J3239" s="32"/>
    </row>
    <row r="3240" spans="1:10" x14ac:dyDescent="0.2">
      <c r="A3240" s="32"/>
      <c r="B3240" s="42" t="s">
        <v>4987</v>
      </c>
      <c r="C3240" s="43" t="s">
        <v>4969</v>
      </c>
      <c r="D3240" s="44" t="s">
        <v>4988</v>
      </c>
      <c r="E3240" s="45">
        <v>1</v>
      </c>
      <c r="F3240" s="46">
        <v>8.99</v>
      </c>
      <c r="G3240" s="46">
        <f t="shared" si="50"/>
        <v>8.99</v>
      </c>
      <c r="H3240" s="47" t="s">
        <v>24</v>
      </c>
      <c r="I3240" s="47" t="s">
        <v>58</v>
      </c>
      <c r="J3240" s="32"/>
    </row>
    <row r="3241" spans="1:10" x14ac:dyDescent="0.2">
      <c r="A3241" s="32"/>
      <c r="B3241" s="36" t="s">
        <v>4989</v>
      </c>
      <c r="C3241" s="37" t="s">
        <v>4969</v>
      </c>
      <c r="D3241" s="38" t="s">
        <v>4990</v>
      </c>
      <c r="E3241" s="39">
        <v>1</v>
      </c>
      <c r="F3241" s="40">
        <v>31.99</v>
      </c>
      <c r="G3241" s="40">
        <f t="shared" si="50"/>
        <v>31.99</v>
      </c>
      <c r="H3241" s="41" t="s">
        <v>24</v>
      </c>
      <c r="I3241" s="41" t="s">
        <v>58</v>
      </c>
      <c r="J3241" s="32"/>
    </row>
    <row r="3242" spans="1:10" x14ac:dyDescent="0.2">
      <c r="A3242" s="32"/>
      <c r="B3242" s="42" t="s">
        <v>4991</v>
      </c>
      <c r="C3242" s="43" t="s">
        <v>4969</v>
      </c>
      <c r="D3242" s="44" t="s">
        <v>4992</v>
      </c>
      <c r="E3242" s="45">
        <v>1</v>
      </c>
      <c r="F3242" s="46">
        <v>34.99</v>
      </c>
      <c r="G3242" s="46">
        <f t="shared" si="50"/>
        <v>34.99</v>
      </c>
      <c r="H3242" s="47" t="s">
        <v>24</v>
      </c>
      <c r="I3242" s="47" t="s">
        <v>58</v>
      </c>
      <c r="J3242" s="32"/>
    </row>
    <row r="3243" spans="1:10" x14ac:dyDescent="0.2">
      <c r="A3243" s="32"/>
      <c r="B3243" s="36" t="s">
        <v>4993</v>
      </c>
      <c r="C3243" s="37" t="s">
        <v>4994</v>
      </c>
      <c r="D3243" s="38" t="s">
        <v>1762</v>
      </c>
      <c r="E3243" s="39">
        <v>1</v>
      </c>
      <c r="F3243" s="40">
        <v>9.19</v>
      </c>
      <c r="G3243" s="40">
        <f t="shared" si="50"/>
        <v>9.19</v>
      </c>
      <c r="H3243" s="41" t="s">
        <v>24</v>
      </c>
      <c r="I3243" s="41" t="s">
        <v>58</v>
      </c>
      <c r="J3243" s="32"/>
    </row>
    <row r="3244" spans="1:10" x14ac:dyDescent="0.2">
      <c r="A3244" s="32"/>
      <c r="B3244" s="42" t="s">
        <v>4995</v>
      </c>
      <c r="C3244" s="43" t="s">
        <v>4994</v>
      </c>
      <c r="D3244" s="44" t="s">
        <v>1538</v>
      </c>
      <c r="E3244" s="45">
        <v>1</v>
      </c>
      <c r="F3244" s="46">
        <v>12.99</v>
      </c>
      <c r="G3244" s="46">
        <f t="shared" si="50"/>
        <v>12.99</v>
      </c>
      <c r="H3244" s="47" t="s">
        <v>24</v>
      </c>
      <c r="I3244" s="47" t="s">
        <v>58</v>
      </c>
      <c r="J3244" s="32"/>
    </row>
    <row r="3245" spans="1:10" x14ac:dyDescent="0.2">
      <c r="A3245" s="32"/>
      <c r="B3245" s="36" t="s">
        <v>4996</v>
      </c>
      <c r="C3245" s="37" t="s">
        <v>4994</v>
      </c>
      <c r="D3245" s="38" t="s">
        <v>1548</v>
      </c>
      <c r="E3245" s="39">
        <v>1</v>
      </c>
      <c r="F3245" s="40">
        <v>47.988878999999997</v>
      </c>
      <c r="G3245" s="40">
        <f t="shared" si="50"/>
        <v>47.988878999999997</v>
      </c>
      <c r="H3245" s="41" t="s">
        <v>24</v>
      </c>
      <c r="I3245" s="41" t="s">
        <v>58</v>
      </c>
      <c r="J3245" s="32"/>
    </row>
    <row r="3246" spans="1:10" x14ac:dyDescent="0.2">
      <c r="A3246" s="32"/>
      <c r="B3246" s="42" t="s">
        <v>4997</v>
      </c>
      <c r="C3246" s="43" t="s">
        <v>4994</v>
      </c>
      <c r="D3246" s="44" t="s">
        <v>4998</v>
      </c>
      <c r="E3246" s="45">
        <v>1</v>
      </c>
      <c r="F3246" s="46">
        <v>26.79</v>
      </c>
      <c r="G3246" s="46">
        <f t="shared" si="50"/>
        <v>26.79</v>
      </c>
      <c r="H3246" s="47" t="s">
        <v>24</v>
      </c>
      <c r="I3246" s="47" t="s">
        <v>58</v>
      </c>
      <c r="J3246" s="32"/>
    </row>
    <row r="3247" spans="1:10" x14ac:dyDescent="0.2">
      <c r="A3247" s="32"/>
      <c r="B3247" s="36" t="s">
        <v>4999</v>
      </c>
      <c r="C3247" s="37" t="s">
        <v>4994</v>
      </c>
      <c r="D3247" s="38" t="s">
        <v>5000</v>
      </c>
      <c r="E3247" s="39">
        <v>1</v>
      </c>
      <c r="F3247" s="40">
        <v>17.989832</v>
      </c>
      <c r="G3247" s="40">
        <f t="shared" si="50"/>
        <v>17.989832</v>
      </c>
      <c r="H3247" s="41" t="s">
        <v>24</v>
      </c>
      <c r="I3247" s="41" t="s">
        <v>58</v>
      </c>
      <c r="J3247" s="32"/>
    </row>
    <row r="3248" spans="1:10" x14ac:dyDescent="0.2">
      <c r="A3248" s="32"/>
      <c r="B3248" s="42" t="s">
        <v>5001</v>
      </c>
      <c r="C3248" s="43" t="s">
        <v>4994</v>
      </c>
      <c r="D3248" s="44" t="s">
        <v>5002</v>
      </c>
      <c r="E3248" s="45">
        <v>1</v>
      </c>
      <c r="F3248" s="46">
        <v>23.39</v>
      </c>
      <c r="G3248" s="46">
        <f t="shared" si="50"/>
        <v>23.39</v>
      </c>
      <c r="H3248" s="47" t="s">
        <v>24</v>
      </c>
      <c r="I3248" s="47" t="s">
        <v>58</v>
      </c>
      <c r="J3248" s="32"/>
    </row>
    <row r="3249" spans="1:10" x14ac:dyDescent="0.2">
      <c r="A3249" s="32"/>
      <c r="B3249" s="36" t="s">
        <v>5003</v>
      </c>
      <c r="C3249" s="37" t="s">
        <v>4994</v>
      </c>
      <c r="D3249" s="38" t="s">
        <v>5004</v>
      </c>
      <c r="E3249" s="39">
        <v>1</v>
      </c>
      <c r="F3249" s="40">
        <v>45.490605000000002</v>
      </c>
      <c r="G3249" s="40">
        <f t="shared" si="50"/>
        <v>45.490605000000002</v>
      </c>
      <c r="H3249" s="41" t="s">
        <v>24</v>
      </c>
      <c r="I3249" s="41" t="s">
        <v>58</v>
      </c>
      <c r="J3249" s="32"/>
    </row>
    <row r="3250" spans="1:10" x14ac:dyDescent="0.2">
      <c r="A3250" s="32"/>
      <c r="B3250" s="42" t="s">
        <v>5005</v>
      </c>
      <c r="C3250" s="43" t="s">
        <v>4994</v>
      </c>
      <c r="D3250" s="44" t="s">
        <v>5006</v>
      </c>
      <c r="E3250" s="45">
        <v>1</v>
      </c>
      <c r="F3250" s="46">
        <v>41.490195999999997</v>
      </c>
      <c r="G3250" s="46">
        <f t="shared" si="50"/>
        <v>41.490195999999997</v>
      </c>
      <c r="H3250" s="47" t="s">
        <v>24</v>
      </c>
      <c r="I3250" s="47" t="s">
        <v>58</v>
      </c>
      <c r="J3250" s="32"/>
    </row>
    <row r="3251" spans="1:10" x14ac:dyDescent="0.2">
      <c r="A3251" s="32"/>
      <c r="B3251" s="36" t="s">
        <v>5007</v>
      </c>
      <c r="C3251" s="37" t="s">
        <v>4994</v>
      </c>
      <c r="D3251" s="38" t="s">
        <v>5008</v>
      </c>
      <c r="E3251" s="39">
        <v>1</v>
      </c>
      <c r="F3251" s="40">
        <v>42.993018999999997</v>
      </c>
      <c r="G3251" s="40">
        <f t="shared" si="50"/>
        <v>42.993018999999997</v>
      </c>
      <c r="H3251" s="41" t="s">
        <v>24</v>
      </c>
      <c r="I3251" s="41" t="s">
        <v>58</v>
      </c>
      <c r="J3251" s="32"/>
    </row>
    <row r="3252" spans="1:10" x14ac:dyDescent="0.2">
      <c r="A3252" s="32"/>
      <c r="B3252" s="42" t="s">
        <v>5009</v>
      </c>
      <c r="C3252" s="43" t="s">
        <v>4994</v>
      </c>
      <c r="D3252" s="44" t="s">
        <v>5010</v>
      </c>
      <c r="E3252" s="45">
        <v>1</v>
      </c>
      <c r="F3252" s="46">
        <v>120.98829600000001</v>
      </c>
      <c r="G3252" s="46">
        <f t="shared" si="50"/>
        <v>120.98829600000001</v>
      </c>
      <c r="H3252" s="47" t="s">
        <v>24</v>
      </c>
      <c r="I3252" s="47" t="s">
        <v>58</v>
      </c>
      <c r="J3252" s="32"/>
    </row>
    <row r="3253" spans="1:10" x14ac:dyDescent="0.2">
      <c r="A3253" s="32"/>
      <c r="B3253" s="36" t="s">
        <v>5011</v>
      </c>
      <c r="C3253" s="37" t="s">
        <v>4994</v>
      </c>
      <c r="D3253" s="38" t="s">
        <v>5012</v>
      </c>
      <c r="E3253" s="39">
        <v>1</v>
      </c>
      <c r="F3253" s="40">
        <v>71.988543000000007</v>
      </c>
      <c r="G3253" s="40">
        <f t="shared" si="50"/>
        <v>71.988543000000007</v>
      </c>
      <c r="H3253" s="41" t="s">
        <v>24</v>
      </c>
      <c r="I3253" s="41" t="s">
        <v>58</v>
      </c>
      <c r="J3253" s="32"/>
    </row>
    <row r="3254" spans="1:10" x14ac:dyDescent="0.2">
      <c r="A3254" s="32"/>
      <c r="B3254" s="42" t="s">
        <v>5013</v>
      </c>
      <c r="C3254" s="43" t="s">
        <v>4994</v>
      </c>
      <c r="D3254" s="44" t="s">
        <v>1550</v>
      </c>
      <c r="E3254" s="45">
        <v>1</v>
      </c>
      <c r="F3254" s="46">
        <v>26.390727999999999</v>
      </c>
      <c r="G3254" s="46">
        <f t="shared" si="50"/>
        <v>26.390727999999999</v>
      </c>
      <c r="H3254" s="47" t="s">
        <v>24</v>
      </c>
      <c r="I3254" s="47" t="s">
        <v>58</v>
      </c>
      <c r="J3254" s="32"/>
    </row>
    <row r="3255" spans="1:10" x14ac:dyDescent="0.2">
      <c r="A3255" s="32"/>
      <c r="B3255" s="36" t="s">
        <v>5014</v>
      </c>
      <c r="C3255" s="37" t="s">
        <v>4994</v>
      </c>
      <c r="D3255" s="38" t="s">
        <v>1542</v>
      </c>
      <c r="E3255" s="39">
        <v>1</v>
      </c>
      <c r="F3255" s="40">
        <v>47.49</v>
      </c>
      <c r="G3255" s="40">
        <f t="shared" si="50"/>
        <v>47.49</v>
      </c>
      <c r="H3255" s="41" t="s">
        <v>24</v>
      </c>
      <c r="I3255" s="41" t="s">
        <v>58</v>
      </c>
      <c r="J3255" s="32"/>
    </row>
    <row r="3256" spans="1:10" x14ac:dyDescent="0.2">
      <c r="A3256" s="32"/>
      <c r="B3256" s="42" t="s">
        <v>5015</v>
      </c>
      <c r="C3256" s="43" t="s">
        <v>4994</v>
      </c>
      <c r="D3256" s="44" t="s">
        <v>1654</v>
      </c>
      <c r="E3256" s="45">
        <v>1</v>
      </c>
      <c r="F3256" s="46">
        <v>41.787351000000001</v>
      </c>
      <c r="G3256" s="46">
        <f t="shared" si="50"/>
        <v>41.787351000000001</v>
      </c>
      <c r="H3256" s="47" t="s">
        <v>24</v>
      </c>
      <c r="I3256" s="47" t="s">
        <v>58</v>
      </c>
      <c r="J3256" s="32"/>
    </row>
    <row r="3257" spans="1:10" x14ac:dyDescent="0.2">
      <c r="A3257" s="32"/>
      <c r="B3257" s="36" t="s">
        <v>5016</v>
      </c>
      <c r="C3257" s="37" t="s">
        <v>4994</v>
      </c>
      <c r="D3257" s="38" t="s">
        <v>5017</v>
      </c>
      <c r="E3257" s="39">
        <v>1</v>
      </c>
      <c r="F3257" s="40">
        <v>33.491334999999999</v>
      </c>
      <c r="G3257" s="40">
        <f t="shared" si="50"/>
        <v>33.491334999999999</v>
      </c>
      <c r="H3257" s="41" t="s">
        <v>24</v>
      </c>
      <c r="I3257" s="41" t="s">
        <v>58</v>
      </c>
      <c r="J3257" s="32"/>
    </row>
    <row r="3258" spans="1:10" x14ac:dyDescent="0.2">
      <c r="A3258" s="32"/>
      <c r="B3258" s="42" t="s">
        <v>5018</v>
      </c>
      <c r="C3258" s="43" t="s">
        <v>4994</v>
      </c>
      <c r="D3258" s="44" t="s">
        <v>5019</v>
      </c>
      <c r="E3258" s="45">
        <v>1</v>
      </c>
      <c r="F3258" s="46">
        <v>22.79</v>
      </c>
      <c r="G3258" s="46">
        <f t="shared" si="50"/>
        <v>22.79</v>
      </c>
      <c r="H3258" s="47" t="s">
        <v>24</v>
      </c>
      <c r="I3258" s="47" t="s">
        <v>58</v>
      </c>
      <c r="J3258" s="32"/>
    </row>
    <row r="3259" spans="1:10" x14ac:dyDescent="0.2">
      <c r="A3259" s="32"/>
      <c r="B3259" s="36" t="s">
        <v>5020</v>
      </c>
      <c r="C3259" s="37" t="s">
        <v>4994</v>
      </c>
      <c r="D3259" s="38" t="s">
        <v>5021</v>
      </c>
      <c r="E3259" s="39">
        <v>1</v>
      </c>
      <c r="F3259" s="40">
        <v>37.785432999999998</v>
      </c>
      <c r="G3259" s="40">
        <f t="shared" si="50"/>
        <v>37.785432999999998</v>
      </c>
      <c r="H3259" s="41" t="s">
        <v>24</v>
      </c>
      <c r="I3259" s="41" t="s">
        <v>58</v>
      </c>
      <c r="J3259" s="32"/>
    </row>
    <row r="3260" spans="1:10" x14ac:dyDescent="0.2">
      <c r="A3260" s="32"/>
      <c r="B3260" s="42" t="s">
        <v>5022</v>
      </c>
      <c r="C3260" s="43" t="s">
        <v>4994</v>
      </c>
      <c r="D3260" s="44" t="s">
        <v>5023</v>
      </c>
      <c r="E3260" s="45">
        <v>1</v>
      </c>
      <c r="F3260" s="46">
        <v>49.692526000000001</v>
      </c>
      <c r="G3260" s="46">
        <f t="shared" si="50"/>
        <v>49.692526000000001</v>
      </c>
      <c r="H3260" s="47" t="s">
        <v>24</v>
      </c>
      <c r="I3260" s="47" t="s">
        <v>58</v>
      </c>
      <c r="J3260" s="32"/>
    </row>
    <row r="3261" spans="1:10" x14ac:dyDescent="0.2">
      <c r="A3261" s="32"/>
      <c r="B3261" s="36" t="s">
        <v>5024</v>
      </c>
      <c r="C3261" s="37" t="s">
        <v>4994</v>
      </c>
      <c r="D3261" s="38" t="s">
        <v>5025</v>
      </c>
      <c r="E3261" s="39">
        <v>1</v>
      </c>
      <c r="F3261" s="40">
        <v>81.987097000000006</v>
      </c>
      <c r="G3261" s="40">
        <f t="shared" si="50"/>
        <v>81.987097000000006</v>
      </c>
      <c r="H3261" s="41" t="s">
        <v>24</v>
      </c>
      <c r="I3261" s="41" t="s">
        <v>58</v>
      </c>
      <c r="J3261" s="32"/>
    </row>
    <row r="3262" spans="1:10" x14ac:dyDescent="0.2">
      <c r="A3262" s="32"/>
      <c r="B3262" s="42" t="s">
        <v>5026</v>
      </c>
      <c r="C3262" s="43" t="s">
        <v>4994</v>
      </c>
      <c r="D3262" s="44" t="s">
        <v>5027</v>
      </c>
      <c r="E3262" s="45">
        <v>1</v>
      </c>
      <c r="F3262" s="46">
        <v>59.990186000000001</v>
      </c>
      <c r="G3262" s="46">
        <f t="shared" si="50"/>
        <v>59.990186000000001</v>
      </c>
      <c r="H3262" s="47" t="s">
        <v>24</v>
      </c>
      <c r="I3262" s="47" t="s">
        <v>58</v>
      </c>
      <c r="J3262" s="32"/>
    </row>
    <row r="3263" spans="1:10" x14ac:dyDescent="0.2">
      <c r="A3263" s="32"/>
      <c r="B3263" s="36" t="s">
        <v>5028</v>
      </c>
      <c r="C3263" s="37" t="s">
        <v>4994</v>
      </c>
      <c r="D3263" s="38" t="s">
        <v>5029</v>
      </c>
      <c r="E3263" s="39">
        <v>1</v>
      </c>
      <c r="F3263" s="40">
        <v>93.987341999999998</v>
      </c>
      <c r="G3263" s="40">
        <f t="shared" si="50"/>
        <v>93.987341999999998</v>
      </c>
      <c r="H3263" s="41" t="s">
        <v>24</v>
      </c>
      <c r="I3263" s="41" t="s">
        <v>58</v>
      </c>
      <c r="J3263" s="32"/>
    </row>
    <row r="3264" spans="1:10" x14ac:dyDescent="0.2">
      <c r="A3264" s="32"/>
      <c r="B3264" s="42" t="s">
        <v>5030</v>
      </c>
      <c r="C3264" s="43" t="s">
        <v>4994</v>
      </c>
      <c r="D3264" s="44" t="s">
        <v>5031</v>
      </c>
      <c r="E3264" s="45">
        <v>1</v>
      </c>
      <c r="F3264" s="46">
        <v>13.99</v>
      </c>
      <c r="G3264" s="46">
        <f t="shared" si="50"/>
        <v>13.99</v>
      </c>
      <c r="H3264" s="47" t="s">
        <v>24</v>
      </c>
      <c r="I3264" s="47" t="s">
        <v>58</v>
      </c>
      <c r="J3264" s="32"/>
    </row>
    <row r="3265" spans="1:10" x14ac:dyDescent="0.2">
      <c r="A3265" s="32"/>
      <c r="B3265" s="36" t="s">
        <v>5032</v>
      </c>
      <c r="C3265" s="37" t="s">
        <v>4994</v>
      </c>
      <c r="D3265" s="38" t="s">
        <v>5033</v>
      </c>
      <c r="E3265" s="39">
        <v>1</v>
      </c>
      <c r="F3265" s="40">
        <v>12.29</v>
      </c>
      <c r="G3265" s="40">
        <f t="shared" si="50"/>
        <v>12.29</v>
      </c>
      <c r="H3265" s="41" t="s">
        <v>24</v>
      </c>
      <c r="I3265" s="41" t="s">
        <v>58</v>
      </c>
      <c r="J3265" s="32"/>
    </row>
    <row r="3266" spans="1:10" x14ac:dyDescent="0.2">
      <c r="A3266" s="32"/>
      <c r="B3266" s="42" t="s">
        <v>5034</v>
      </c>
      <c r="C3266" s="43" t="s">
        <v>4994</v>
      </c>
      <c r="D3266" s="44" t="s">
        <v>5035</v>
      </c>
      <c r="E3266" s="45">
        <v>1</v>
      </c>
      <c r="F3266" s="46">
        <v>14.39</v>
      </c>
      <c r="G3266" s="46">
        <f t="shared" si="50"/>
        <v>14.39</v>
      </c>
      <c r="H3266" s="47" t="s">
        <v>24</v>
      </c>
      <c r="I3266" s="47" t="s">
        <v>58</v>
      </c>
      <c r="J3266" s="32"/>
    </row>
    <row r="3267" spans="1:10" x14ac:dyDescent="0.2">
      <c r="A3267" s="32"/>
      <c r="B3267" s="36" t="s">
        <v>5036</v>
      </c>
      <c r="C3267" s="37" t="s">
        <v>4994</v>
      </c>
      <c r="D3267" s="38" t="s">
        <v>5037</v>
      </c>
      <c r="E3267" s="39">
        <v>1</v>
      </c>
      <c r="F3267" s="40">
        <v>65.989847999999995</v>
      </c>
      <c r="G3267" s="40">
        <f t="shared" si="50"/>
        <v>65.989847999999995</v>
      </c>
      <c r="H3267" s="41" t="s">
        <v>24</v>
      </c>
      <c r="I3267" s="41" t="s">
        <v>58</v>
      </c>
      <c r="J3267" s="32"/>
    </row>
    <row r="3268" spans="1:10" x14ac:dyDescent="0.2">
      <c r="A3268" s="32"/>
      <c r="B3268" s="42" t="s">
        <v>5038</v>
      </c>
      <c r="C3268" s="43" t="s">
        <v>4994</v>
      </c>
      <c r="D3268" s="44" t="s">
        <v>1590</v>
      </c>
      <c r="E3268" s="45">
        <v>1</v>
      </c>
      <c r="F3268" s="46">
        <v>5.99</v>
      </c>
      <c r="G3268" s="46">
        <f t="shared" si="50"/>
        <v>5.99</v>
      </c>
      <c r="H3268" s="47" t="s">
        <v>24</v>
      </c>
      <c r="I3268" s="47" t="s">
        <v>58</v>
      </c>
      <c r="J3268" s="32"/>
    </row>
    <row r="3269" spans="1:10" x14ac:dyDescent="0.2">
      <c r="A3269" s="32"/>
      <c r="B3269" s="36" t="s">
        <v>5039</v>
      </c>
      <c r="C3269" s="37" t="s">
        <v>5040</v>
      </c>
      <c r="D3269" s="38" t="s">
        <v>5041</v>
      </c>
      <c r="E3269" s="39">
        <v>1</v>
      </c>
      <c r="F3269" s="40">
        <v>44.99</v>
      </c>
      <c r="G3269" s="40">
        <f t="shared" ref="G3269:G3332" si="51">E3269*F3269</f>
        <v>44.99</v>
      </c>
      <c r="H3269" s="41" t="s">
        <v>24</v>
      </c>
      <c r="I3269" s="41" t="s">
        <v>58</v>
      </c>
      <c r="J3269" s="32"/>
    </row>
    <row r="3270" spans="1:10" x14ac:dyDescent="0.2">
      <c r="A3270" s="32"/>
      <c r="B3270" s="42" t="s">
        <v>5042</v>
      </c>
      <c r="C3270" s="43" t="s">
        <v>5040</v>
      </c>
      <c r="D3270" s="44" t="s">
        <v>5041</v>
      </c>
      <c r="E3270" s="45">
        <v>1</v>
      </c>
      <c r="F3270" s="46">
        <v>44.99</v>
      </c>
      <c r="G3270" s="46">
        <f t="shared" si="51"/>
        <v>44.99</v>
      </c>
      <c r="H3270" s="47" t="s">
        <v>24</v>
      </c>
      <c r="I3270" s="47" t="s">
        <v>58</v>
      </c>
      <c r="J3270" s="32"/>
    </row>
    <row r="3271" spans="1:10" x14ac:dyDescent="0.2">
      <c r="A3271" s="32"/>
      <c r="B3271" s="36" t="s">
        <v>5043</v>
      </c>
      <c r="C3271" s="37" t="s">
        <v>5040</v>
      </c>
      <c r="D3271" s="38" t="s">
        <v>5044</v>
      </c>
      <c r="E3271" s="39">
        <v>1</v>
      </c>
      <c r="F3271" s="40">
        <v>20.99</v>
      </c>
      <c r="G3271" s="40">
        <f t="shared" si="51"/>
        <v>20.99</v>
      </c>
      <c r="H3271" s="41" t="s">
        <v>24</v>
      </c>
      <c r="I3271" s="41" t="s">
        <v>58</v>
      </c>
      <c r="J3271" s="32"/>
    </row>
    <row r="3272" spans="1:10" x14ac:dyDescent="0.2">
      <c r="A3272" s="32"/>
      <c r="B3272" s="42" t="s">
        <v>5045</v>
      </c>
      <c r="C3272" s="43" t="s">
        <v>5040</v>
      </c>
      <c r="D3272" s="44" t="s">
        <v>5046</v>
      </c>
      <c r="E3272" s="45">
        <v>1</v>
      </c>
      <c r="F3272" s="46">
        <v>3.99</v>
      </c>
      <c r="G3272" s="46">
        <f t="shared" si="51"/>
        <v>3.99</v>
      </c>
      <c r="H3272" s="47" t="s">
        <v>24</v>
      </c>
      <c r="I3272" s="47" t="s">
        <v>58</v>
      </c>
      <c r="J3272" s="32"/>
    </row>
    <row r="3273" spans="1:10" x14ac:dyDescent="0.2">
      <c r="A3273" s="32"/>
      <c r="B3273" s="36" t="s">
        <v>5047</v>
      </c>
      <c r="C3273" s="37" t="s">
        <v>5040</v>
      </c>
      <c r="D3273" s="38" t="s">
        <v>5048</v>
      </c>
      <c r="E3273" s="39">
        <v>1</v>
      </c>
      <c r="F3273" s="40">
        <v>22.99</v>
      </c>
      <c r="G3273" s="40">
        <f t="shared" si="51"/>
        <v>22.99</v>
      </c>
      <c r="H3273" s="41" t="s">
        <v>24</v>
      </c>
      <c r="I3273" s="41" t="s">
        <v>58</v>
      </c>
      <c r="J3273" s="32"/>
    </row>
    <row r="3274" spans="1:10" x14ac:dyDescent="0.2">
      <c r="A3274" s="32"/>
      <c r="B3274" s="42" t="s">
        <v>5049</v>
      </c>
      <c r="C3274" s="43" t="s">
        <v>5040</v>
      </c>
      <c r="D3274" s="44" t="s">
        <v>5050</v>
      </c>
      <c r="E3274" s="45">
        <v>1</v>
      </c>
      <c r="F3274" s="46">
        <v>11.79</v>
      </c>
      <c r="G3274" s="46">
        <f t="shared" si="51"/>
        <v>11.79</v>
      </c>
      <c r="H3274" s="47" t="s">
        <v>24</v>
      </c>
      <c r="I3274" s="47" t="s">
        <v>58</v>
      </c>
      <c r="J3274" s="32"/>
    </row>
    <row r="3275" spans="1:10" x14ac:dyDescent="0.2">
      <c r="A3275" s="32"/>
      <c r="B3275" s="36" t="s">
        <v>5051</v>
      </c>
      <c r="C3275" s="37" t="s">
        <v>5040</v>
      </c>
      <c r="D3275" s="38" t="s">
        <v>5052</v>
      </c>
      <c r="E3275" s="39">
        <v>1</v>
      </c>
      <c r="F3275" s="40">
        <v>23.99</v>
      </c>
      <c r="G3275" s="40">
        <f t="shared" si="51"/>
        <v>23.99</v>
      </c>
      <c r="H3275" s="41" t="s">
        <v>24</v>
      </c>
      <c r="I3275" s="41" t="s">
        <v>58</v>
      </c>
      <c r="J3275" s="32"/>
    </row>
    <row r="3276" spans="1:10" x14ac:dyDescent="0.2">
      <c r="A3276" s="32"/>
      <c r="B3276" s="42" t="s">
        <v>5053</v>
      </c>
      <c r="C3276" s="43" t="s">
        <v>5040</v>
      </c>
      <c r="D3276" s="44" t="s">
        <v>5054</v>
      </c>
      <c r="E3276" s="45">
        <v>1</v>
      </c>
      <c r="F3276" s="46">
        <v>25.99</v>
      </c>
      <c r="G3276" s="46">
        <f t="shared" si="51"/>
        <v>25.99</v>
      </c>
      <c r="H3276" s="47" t="s">
        <v>24</v>
      </c>
      <c r="I3276" s="47" t="s">
        <v>58</v>
      </c>
      <c r="J3276" s="32"/>
    </row>
    <row r="3277" spans="1:10" x14ac:dyDescent="0.2">
      <c r="A3277" s="32"/>
      <c r="B3277" s="36" t="s">
        <v>5055</v>
      </c>
      <c r="C3277" s="37" t="s">
        <v>5040</v>
      </c>
      <c r="D3277" s="38" t="s">
        <v>5050</v>
      </c>
      <c r="E3277" s="39">
        <v>1</v>
      </c>
      <c r="F3277" s="40">
        <v>11.79</v>
      </c>
      <c r="G3277" s="40">
        <f t="shared" si="51"/>
        <v>11.79</v>
      </c>
      <c r="H3277" s="41" t="s">
        <v>24</v>
      </c>
      <c r="I3277" s="41" t="s">
        <v>58</v>
      </c>
      <c r="J3277" s="32"/>
    </row>
    <row r="3278" spans="1:10" x14ac:dyDescent="0.2">
      <c r="A3278" s="32"/>
      <c r="B3278" s="42" t="s">
        <v>5056</v>
      </c>
      <c r="C3278" s="43" t="s">
        <v>5040</v>
      </c>
      <c r="D3278" s="44" t="s">
        <v>5057</v>
      </c>
      <c r="E3278" s="45">
        <v>1</v>
      </c>
      <c r="F3278" s="46">
        <v>18.989999999999998</v>
      </c>
      <c r="G3278" s="46">
        <f t="shared" si="51"/>
        <v>18.989999999999998</v>
      </c>
      <c r="H3278" s="47" t="s">
        <v>24</v>
      </c>
      <c r="I3278" s="47" t="s">
        <v>58</v>
      </c>
      <c r="J3278" s="32"/>
    </row>
    <row r="3279" spans="1:10" x14ac:dyDescent="0.2">
      <c r="A3279" s="32"/>
      <c r="B3279" s="36" t="s">
        <v>5058</v>
      </c>
      <c r="C3279" s="37" t="s">
        <v>5040</v>
      </c>
      <c r="D3279" s="38" t="s">
        <v>5059</v>
      </c>
      <c r="E3279" s="39">
        <v>1</v>
      </c>
      <c r="F3279" s="40">
        <v>13.49</v>
      </c>
      <c r="G3279" s="40">
        <f t="shared" si="51"/>
        <v>13.49</v>
      </c>
      <c r="H3279" s="41" t="s">
        <v>24</v>
      </c>
      <c r="I3279" s="41" t="s">
        <v>58</v>
      </c>
      <c r="J3279" s="32"/>
    </row>
    <row r="3280" spans="1:10" x14ac:dyDescent="0.2">
      <c r="A3280" s="32"/>
      <c r="B3280" s="42" t="s">
        <v>5060</v>
      </c>
      <c r="C3280" s="43" t="s">
        <v>5040</v>
      </c>
      <c r="D3280" s="44" t="s">
        <v>5061</v>
      </c>
      <c r="E3280" s="45">
        <v>1</v>
      </c>
      <c r="F3280" s="46">
        <v>5.29</v>
      </c>
      <c r="G3280" s="46">
        <f t="shared" si="51"/>
        <v>5.29</v>
      </c>
      <c r="H3280" s="47" t="s">
        <v>25</v>
      </c>
      <c r="I3280" s="47" t="s">
        <v>58</v>
      </c>
      <c r="J3280" s="32"/>
    </row>
    <row r="3281" spans="1:10" x14ac:dyDescent="0.2">
      <c r="A3281" s="32"/>
      <c r="B3281" s="36" t="s">
        <v>5062</v>
      </c>
      <c r="C3281" s="37" t="s">
        <v>5040</v>
      </c>
      <c r="D3281" s="38" t="s">
        <v>5063</v>
      </c>
      <c r="E3281" s="39">
        <v>1</v>
      </c>
      <c r="F3281" s="40">
        <v>10.49</v>
      </c>
      <c r="G3281" s="40">
        <f t="shared" si="51"/>
        <v>10.49</v>
      </c>
      <c r="H3281" s="41" t="s">
        <v>24</v>
      </c>
      <c r="I3281" s="41" t="s">
        <v>58</v>
      </c>
      <c r="J3281" s="32"/>
    </row>
    <row r="3282" spans="1:10" x14ac:dyDescent="0.2">
      <c r="A3282" s="32"/>
      <c r="B3282" s="42" t="s">
        <v>5064</v>
      </c>
      <c r="C3282" s="43" t="s">
        <v>5040</v>
      </c>
      <c r="D3282" s="44" t="s">
        <v>5065</v>
      </c>
      <c r="E3282" s="45">
        <v>1</v>
      </c>
      <c r="F3282" s="46">
        <v>7.99</v>
      </c>
      <c r="G3282" s="46">
        <f t="shared" si="51"/>
        <v>7.99</v>
      </c>
      <c r="H3282" s="47" t="s">
        <v>24</v>
      </c>
      <c r="I3282" s="47" t="s">
        <v>58</v>
      </c>
      <c r="J3282" s="32"/>
    </row>
    <row r="3283" spans="1:10" x14ac:dyDescent="0.2">
      <c r="A3283" s="32"/>
      <c r="B3283" s="36" t="s">
        <v>5066</v>
      </c>
      <c r="C3283" s="37" t="s">
        <v>5040</v>
      </c>
      <c r="D3283" s="38" t="s">
        <v>5067</v>
      </c>
      <c r="E3283" s="39">
        <v>1</v>
      </c>
      <c r="F3283" s="40">
        <v>2.39</v>
      </c>
      <c r="G3283" s="40">
        <f t="shared" si="51"/>
        <v>2.39</v>
      </c>
      <c r="H3283" s="41" t="s">
        <v>24</v>
      </c>
      <c r="I3283" s="41" t="s">
        <v>58</v>
      </c>
      <c r="J3283" s="32"/>
    </row>
    <row r="3284" spans="1:10" x14ac:dyDescent="0.2">
      <c r="A3284" s="32"/>
      <c r="B3284" s="42" t="s">
        <v>5068</v>
      </c>
      <c r="C3284" s="43" t="s">
        <v>5040</v>
      </c>
      <c r="D3284" s="44" t="s">
        <v>5069</v>
      </c>
      <c r="E3284" s="45">
        <v>1</v>
      </c>
      <c r="F3284" s="46">
        <v>5.99</v>
      </c>
      <c r="G3284" s="46">
        <f t="shared" si="51"/>
        <v>5.99</v>
      </c>
      <c r="H3284" s="47" t="s">
        <v>24</v>
      </c>
      <c r="I3284" s="47" t="s">
        <v>58</v>
      </c>
      <c r="J3284" s="32"/>
    </row>
    <row r="3285" spans="1:10" x14ac:dyDescent="0.2">
      <c r="A3285" s="32"/>
      <c r="B3285" s="36" t="s">
        <v>5070</v>
      </c>
      <c r="C3285" s="37" t="s">
        <v>5040</v>
      </c>
      <c r="D3285" s="38" t="s">
        <v>5071</v>
      </c>
      <c r="E3285" s="39">
        <v>1</v>
      </c>
      <c r="F3285" s="40">
        <v>19.989999999999998</v>
      </c>
      <c r="G3285" s="40">
        <f t="shared" si="51"/>
        <v>19.989999999999998</v>
      </c>
      <c r="H3285" s="41" t="s">
        <v>24</v>
      </c>
      <c r="I3285" s="41" t="s">
        <v>58</v>
      </c>
      <c r="J3285" s="32"/>
    </row>
    <row r="3286" spans="1:10" x14ac:dyDescent="0.2">
      <c r="A3286" s="32"/>
      <c r="B3286" s="42" t="s">
        <v>5072</v>
      </c>
      <c r="C3286" s="43" t="s">
        <v>5040</v>
      </c>
      <c r="D3286" s="44" t="s">
        <v>5071</v>
      </c>
      <c r="E3286" s="45">
        <v>1</v>
      </c>
      <c r="F3286" s="46">
        <v>19.989999999999998</v>
      </c>
      <c r="G3286" s="46">
        <f t="shared" si="51"/>
        <v>19.989999999999998</v>
      </c>
      <c r="H3286" s="47" t="s">
        <v>24</v>
      </c>
      <c r="I3286" s="47" t="s">
        <v>58</v>
      </c>
      <c r="J3286" s="32"/>
    </row>
    <row r="3287" spans="1:10" x14ac:dyDescent="0.2">
      <c r="A3287" s="32"/>
      <c r="B3287" s="36" t="s">
        <v>5073</v>
      </c>
      <c r="C3287" s="37" t="s">
        <v>5040</v>
      </c>
      <c r="D3287" s="38" t="s">
        <v>5074</v>
      </c>
      <c r="E3287" s="39">
        <v>1</v>
      </c>
      <c r="F3287" s="40">
        <v>4.99</v>
      </c>
      <c r="G3287" s="40">
        <f t="shared" si="51"/>
        <v>4.99</v>
      </c>
      <c r="H3287" s="41" t="s">
        <v>24</v>
      </c>
      <c r="I3287" s="41" t="s">
        <v>58</v>
      </c>
      <c r="J3287" s="32"/>
    </row>
    <row r="3288" spans="1:10" x14ac:dyDescent="0.2">
      <c r="A3288" s="32"/>
      <c r="B3288" s="42" t="s">
        <v>5075</v>
      </c>
      <c r="C3288" s="43" t="s">
        <v>5040</v>
      </c>
      <c r="D3288" s="44" t="s">
        <v>5076</v>
      </c>
      <c r="E3288" s="45">
        <v>1</v>
      </c>
      <c r="F3288" s="46">
        <v>19.989999999999998</v>
      </c>
      <c r="G3288" s="46">
        <f t="shared" si="51"/>
        <v>19.989999999999998</v>
      </c>
      <c r="H3288" s="47" t="s">
        <v>24</v>
      </c>
      <c r="I3288" s="47" t="s">
        <v>58</v>
      </c>
      <c r="J3288" s="32"/>
    </row>
    <row r="3289" spans="1:10" x14ac:dyDescent="0.2">
      <c r="A3289" s="32"/>
      <c r="B3289" s="36" t="s">
        <v>5077</v>
      </c>
      <c r="C3289" s="37" t="s">
        <v>5040</v>
      </c>
      <c r="D3289" s="38" t="s">
        <v>5076</v>
      </c>
      <c r="E3289" s="39">
        <v>1</v>
      </c>
      <c r="F3289" s="40">
        <v>19.989999999999998</v>
      </c>
      <c r="G3289" s="40">
        <f t="shared" si="51"/>
        <v>19.989999999999998</v>
      </c>
      <c r="H3289" s="41" t="s">
        <v>24</v>
      </c>
      <c r="I3289" s="41" t="s">
        <v>58</v>
      </c>
      <c r="J3289" s="32"/>
    </row>
    <row r="3290" spans="1:10" x14ac:dyDescent="0.2">
      <c r="A3290" s="32"/>
      <c r="B3290" s="42" t="s">
        <v>5078</v>
      </c>
      <c r="C3290" s="43" t="s">
        <v>5040</v>
      </c>
      <c r="D3290" s="44" t="s">
        <v>5076</v>
      </c>
      <c r="E3290" s="45">
        <v>1</v>
      </c>
      <c r="F3290" s="46">
        <v>19.989999999999998</v>
      </c>
      <c r="G3290" s="46">
        <f t="shared" si="51"/>
        <v>19.989999999999998</v>
      </c>
      <c r="H3290" s="47" t="s">
        <v>24</v>
      </c>
      <c r="I3290" s="47" t="s">
        <v>58</v>
      </c>
      <c r="J3290" s="32"/>
    </row>
    <row r="3291" spans="1:10" x14ac:dyDescent="0.2">
      <c r="A3291" s="32"/>
      <c r="B3291" s="36" t="s">
        <v>5079</v>
      </c>
      <c r="C3291" s="37" t="s">
        <v>5040</v>
      </c>
      <c r="D3291" s="38" t="s">
        <v>5080</v>
      </c>
      <c r="E3291" s="39">
        <v>1</v>
      </c>
      <c r="F3291" s="40">
        <v>41.39</v>
      </c>
      <c r="G3291" s="40">
        <f t="shared" si="51"/>
        <v>41.39</v>
      </c>
      <c r="H3291" s="41" t="s">
        <v>24</v>
      </c>
      <c r="I3291" s="41" t="s">
        <v>58</v>
      </c>
      <c r="J3291" s="32"/>
    </row>
    <row r="3292" spans="1:10" x14ac:dyDescent="0.2">
      <c r="A3292" s="32"/>
      <c r="B3292" s="42" t="s">
        <v>5081</v>
      </c>
      <c r="C3292" s="43" t="s">
        <v>5040</v>
      </c>
      <c r="D3292" s="44" t="s">
        <v>5082</v>
      </c>
      <c r="E3292" s="45">
        <v>1</v>
      </c>
      <c r="F3292" s="46">
        <v>16.989999999999998</v>
      </c>
      <c r="G3292" s="46">
        <f t="shared" si="51"/>
        <v>16.989999999999998</v>
      </c>
      <c r="H3292" s="47" t="s">
        <v>24</v>
      </c>
      <c r="I3292" s="47" t="s">
        <v>58</v>
      </c>
      <c r="J3292" s="32"/>
    </row>
    <row r="3293" spans="1:10" x14ac:dyDescent="0.2">
      <c r="A3293" s="32"/>
      <c r="B3293" s="36" t="s">
        <v>5083</v>
      </c>
      <c r="C3293" s="37" t="s">
        <v>5040</v>
      </c>
      <c r="D3293" s="38" t="s">
        <v>5084</v>
      </c>
      <c r="E3293" s="39">
        <v>1</v>
      </c>
      <c r="F3293" s="40">
        <v>6.69</v>
      </c>
      <c r="G3293" s="40">
        <f t="shared" si="51"/>
        <v>6.69</v>
      </c>
      <c r="H3293" s="41" t="s">
        <v>24</v>
      </c>
      <c r="I3293" s="41" t="s">
        <v>58</v>
      </c>
      <c r="J3293" s="32"/>
    </row>
    <row r="3294" spans="1:10" x14ac:dyDescent="0.2">
      <c r="A3294" s="32"/>
      <c r="B3294" s="42" t="s">
        <v>5085</v>
      </c>
      <c r="C3294" s="43" t="s">
        <v>5040</v>
      </c>
      <c r="D3294" s="44" t="s">
        <v>5086</v>
      </c>
      <c r="E3294" s="45">
        <v>1</v>
      </c>
      <c r="F3294" s="46">
        <v>3.99</v>
      </c>
      <c r="G3294" s="46">
        <f t="shared" si="51"/>
        <v>3.99</v>
      </c>
      <c r="H3294" s="47" t="s">
        <v>24</v>
      </c>
      <c r="I3294" s="47" t="s">
        <v>58</v>
      </c>
      <c r="J3294" s="32"/>
    </row>
    <row r="3295" spans="1:10" x14ac:dyDescent="0.2">
      <c r="A3295" s="32"/>
      <c r="B3295" s="36" t="s">
        <v>5087</v>
      </c>
      <c r="C3295" s="37" t="s">
        <v>5040</v>
      </c>
      <c r="D3295" s="38" t="s">
        <v>5088</v>
      </c>
      <c r="E3295" s="39">
        <v>1</v>
      </c>
      <c r="F3295" s="40">
        <v>1.64</v>
      </c>
      <c r="G3295" s="40">
        <f t="shared" si="51"/>
        <v>1.64</v>
      </c>
      <c r="H3295" s="41" t="s">
        <v>24</v>
      </c>
      <c r="I3295" s="41" t="s">
        <v>58</v>
      </c>
      <c r="J3295" s="32"/>
    </row>
    <row r="3296" spans="1:10" x14ac:dyDescent="0.2">
      <c r="A3296" s="32"/>
      <c r="B3296" s="42" t="s">
        <v>5089</v>
      </c>
      <c r="C3296" s="43" t="s">
        <v>5040</v>
      </c>
      <c r="D3296" s="44" t="s">
        <v>5090</v>
      </c>
      <c r="E3296" s="45">
        <v>1</v>
      </c>
      <c r="F3296" s="46">
        <v>4.99</v>
      </c>
      <c r="G3296" s="46">
        <f t="shared" si="51"/>
        <v>4.99</v>
      </c>
      <c r="H3296" s="47" t="s">
        <v>28</v>
      </c>
      <c r="I3296" s="47" t="s">
        <v>58</v>
      </c>
      <c r="J3296" s="32"/>
    </row>
    <row r="3297" spans="1:10" x14ac:dyDescent="0.2">
      <c r="A3297" s="32"/>
      <c r="B3297" s="36" t="s">
        <v>5091</v>
      </c>
      <c r="C3297" s="37" t="s">
        <v>5040</v>
      </c>
      <c r="D3297" s="38" t="s">
        <v>5092</v>
      </c>
      <c r="E3297" s="39">
        <v>1</v>
      </c>
      <c r="F3297" s="40">
        <v>17.989999999999998</v>
      </c>
      <c r="G3297" s="40">
        <f t="shared" si="51"/>
        <v>17.989999999999998</v>
      </c>
      <c r="H3297" s="41" t="s">
        <v>25</v>
      </c>
      <c r="I3297" s="41" t="s">
        <v>58</v>
      </c>
      <c r="J3297" s="32"/>
    </row>
    <row r="3298" spans="1:10" x14ac:dyDescent="0.2">
      <c r="A3298" s="32"/>
      <c r="B3298" s="42" t="s">
        <v>5093</v>
      </c>
      <c r="C3298" s="43" t="s">
        <v>5040</v>
      </c>
      <c r="D3298" s="44" t="s">
        <v>5094</v>
      </c>
      <c r="E3298" s="45">
        <v>1</v>
      </c>
      <c r="F3298" s="46">
        <v>4.6900000000000004</v>
      </c>
      <c r="G3298" s="46">
        <f t="shared" si="51"/>
        <v>4.6900000000000004</v>
      </c>
      <c r="H3298" s="47" t="s">
        <v>24</v>
      </c>
      <c r="I3298" s="47" t="s">
        <v>58</v>
      </c>
      <c r="J3298" s="32"/>
    </row>
    <row r="3299" spans="1:10" x14ac:dyDescent="0.2">
      <c r="A3299" s="32"/>
      <c r="B3299" s="36" t="s">
        <v>5095</v>
      </c>
      <c r="C3299" s="37" t="s">
        <v>5040</v>
      </c>
      <c r="D3299" s="38" t="s">
        <v>5096</v>
      </c>
      <c r="E3299" s="39">
        <v>1</v>
      </c>
      <c r="F3299" s="40">
        <v>4.6900000000000004</v>
      </c>
      <c r="G3299" s="40">
        <f t="shared" si="51"/>
        <v>4.6900000000000004</v>
      </c>
      <c r="H3299" s="41" t="s">
        <v>24</v>
      </c>
      <c r="I3299" s="41" t="s">
        <v>58</v>
      </c>
      <c r="J3299" s="32"/>
    </row>
    <row r="3300" spans="1:10" x14ac:dyDescent="0.2">
      <c r="A3300" s="32"/>
      <c r="B3300" s="42" t="s">
        <v>5097</v>
      </c>
      <c r="C3300" s="43" t="s">
        <v>5040</v>
      </c>
      <c r="D3300" s="44" t="s">
        <v>5098</v>
      </c>
      <c r="E3300" s="45">
        <v>1</v>
      </c>
      <c r="F3300" s="46">
        <v>18.989999999999998</v>
      </c>
      <c r="G3300" s="46">
        <f t="shared" si="51"/>
        <v>18.989999999999998</v>
      </c>
      <c r="H3300" s="47" t="s">
        <v>25</v>
      </c>
      <c r="I3300" s="47" t="s">
        <v>58</v>
      </c>
      <c r="J3300" s="32"/>
    </row>
    <row r="3301" spans="1:10" x14ac:dyDescent="0.2">
      <c r="A3301" s="32"/>
      <c r="B3301" s="36" t="s">
        <v>5099</v>
      </c>
      <c r="C3301" s="37" t="s">
        <v>5040</v>
      </c>
      <c r="D3301" s="38" t="s">
        <v>5100</v>
      </c>
      <c r="E3301" s="39">
        <v>1</v>
      </c>
      <c r="F3301" s="40">
        <v>9.99</v>
      </c>
      <c r="G3301" s="40">
        <f t="shared" si="51"/>
        <v>9.99</v>
      </c>
      <c r="H3301" s="41" t="s">
        <v>24</v>
      </c>
      <c r="I3301" s="41" t="s">
        <v>58</v>
      </c>
      <c r="J3301" s="32"/>
    </row>
    <row r="3302" spans="1:10" x14ac:dyDescent="0.2">
      <c r="A3302" s="32"/>
      <c r="B3302" s="42" t="s">
        <v>5101</v>
      </c>
      <c r="C3302" s="43" t="s">
        <v>5040</v>
      </c>
      <c r="D3302" s="44" t="s">
        <v>5102</v>
      </c>
      <c r="E3302" s="45">
        <v>1</v>
      </c>
      <c r="F3302" s="46">
        <v>36.99</v>
      </c>
      <c r="G3302" s="46">
        <f t="shared" si="51"/>
        <v>36.99</v>
      </c>
      <c r="H3302" s="47" t="s">
        <v>24</v>
      </c>
      <c r="I3302" s="47" t="s">
        <v>58</v>
      </c>
      <c r="J3302" s="32"/>
    </row>
    <row r="3303" spans="1:10" x14ac:dyDescent="0.2">
      <c r="A3303" s="32"/>
      <c r="B3303" s="36" t="s">
        <v>5103</v>
      </c>
      <c r="C3303" s="37" t="s">
        <v>5040</v>
      </c>
      <c r="D3303" s="38" t="s">
        <v>5104</v>
      </c>
      <c r="E3303" s="39">
        <v>1</v>
      </c>
      <c r="F3303" s="40">
        <v>15.59</v>
      </c>
      <c r="G3303" s="40">
        <f t="shared" si="51"/>
        <v>15.59</v>
      </c>
      <c r="H3303" s="41" t="s">
        <v>25</v>
      </c>
      <c r="I3303" s="41" t="s">
        <v>58</v>
      </c>
      <c r="J3303" s="32"/>
    </row>
    <row r="3304" spans="1:10" x14ac:dyDescent="0.2">
      <c r="A3304" s="32"/>
      <c r="B3304" s="42" t="s">
        <v>5105</v>
      </c>
      <c r="C3304" s="43" t="s">
        <v>5040</v>
      </c>
      <c r="D3304" s="44" t="s">
        <v>5106</v>
      </c>
      <c r="E3304" s="45">
        <v>1</v>
      </c>
      <c r="F3304" s="46">
        <v>17.489999999999998</v>
      </c>
      <c r="G3304" s="46">
        <f t="shared" si="51"/>
        <v>17.489999999999998</v>
      </c>
      <c r="H3304" s="47" t="s">
        <v>24</v>
      </c>
      <c r="I3304" s="47" t="s">
        <v>58</v>
      </c>
      <c r="J3304" s="32"/>
    </row>
    <row r="3305" spans="1:10" x14ac:dyDescent="0.2">
      <c r="A3305" s="32"/>
      <c r="B3305" s="36" t="s">
        <v>5107</v>
      </c>
      <c r="C3305" s="37" t="s">
        <v>5108</v>
      </c>
      <c r="D3305" s="38" t="s">
        <v>5109</v>
      </c>
      <c r="E3305" s="39">
        <v>1</v>
      </c>
      <c r="F3305" s="40">
        <v>100</v>
      </c>
      <c r="G3305" s="40">
        <f t="shared" si="51"/>
        <v>100</v>
      </c>
      <c r="H3305" s="41" t="s">
        <v>28</v>
      </c>
      <c r="I3305" s="41" t="s">
        <v>58</v>
      </c>
      <c r="J3305" s="32"/>
    </row>
    <row r="3306" spans="1:10" x14ac:dyDescent="0.2">
      <c r="A3306" s="32"/>
      <c r="B3306" s="42" t="s">
        <v>5110</v>
      </c>
      <c r="C3306" s="43" t="s">
        <v>5108</v>
      </c>
      <c r="D3306" s="44" t="s">
        <v>5111</v>
      </c>
      <c r="E3306" s="45">
        <v>1</v>
      </c>
      <c r="F3306" s="46">
        <v>180</v>
      </c>
      <c r="G3306" s="46">
        <f t="shared" si="51"/>
        <v>180</v>
      </c>
      <c r="H3306" s="47" t="s">
        <v>28</v>
      </c>
      <c r="I3306" s="47" t="s">
        <v>58</v>
      </c>
      <c r="J3306" s="32"/>
    </row>
    <row r="3307" spans="1:10" x14ac:dyDescent="0.2">
      <c r="A3307" s="32"/>
      <c r="B3307" s="36" t="s">
        <v>5112</v>
      </c>
      <c r="C3307" s="37" t="s">
        <v>5108</v>
      </c>
      <c r="D3307" s="38" t="s">
        <v>5113</v>
      </c>
      <c r="E3307" s="39">
        <v>1</v>
      </c>
      <c r="F3307" s="40">
        <v>2.85</v>
      </c>
      <c r="G3307" s="40">
        <f t="shared" si="51"/>
        <v>2.85</v>
      </c>
      <c r="H3307" s="41" t="s">
        <v>28</v>
      </c>
      <c r="I3307" s="41" t="s">
        <v>58</v>
      </c>
      <c r="J3307" s="32"/>
    </row>
    <row r="3308" spans="1:10" x14ac:dyDescent="0.2">
      <c r="A3308" s="32"/>
      <c r="B3308" s="42" t="s">
        <v>5114</v>
      </c>
      <c r="C3308" s="43" t="s">
        <v>5108</v>
      </c>
      <c r="D3308" s="44" t="s">
        <v>5115</v>
      </c>
      <c r="E3308" s="45">
        <v>1</v>
      </c>
      <c r="F3308" s="46">
        <v>95</v>
      </c>
      <c r="G3308" s="46">
        <f t="shared" si="51"/>
        <v>95</v>
      </c>
      <c r="H3308" s="47" t="s">
        <v>28</v>
      </c>
      <c r="I3308" s="47" t="s">
        <v>3006</v>
      </c>
      <c r="J3308" s="32"/>
    </row>
    <row r="3309" spans="1:10" x14ac:dyDescent="0.2">
      <c r="A3309" s="32"/>
      <c r="B3309" s="36" t="s">
        <v>5116</v>
      </c>
      <c r="C3309" s="37" t="s">
        <v>5108</v>
      </c>
      <c r="D3309" s="38" t="s">
        <v>5117</v>
      </c>
      <c r="E3309" s="39">
        <v>1</v>
      </c>
      <c r="F3309" s="40">
        <v>5</v>
      </c>
      <c r="G3309" s="40">
        <f t="shared" si="51"/>
        <v>5</v>
      </c>
      <c r="H3309" s="41" t="s">
        <v>25</v>
      </c>
      <c r="I3309" s="41" t="s">
        <v>58</v>
      </c>
      <c r="J3309" s="32"/>
    </row>
    <row r="3310" spans="1:10" x14ac:dyDescent="0.2">
      <c r="A3310" s="32"/>
      <c r="B3310" s="42" t="s">
        <v>5118</v>
      </c>
      <c r="C3310" s="43" t="s">
        <v>5108</v>
      </c>
      <c r="D3310" s="44" t="s">
        <v>5119</v>
      </c>
      <c r="E3310" s="45">
        <v>1</v>
      </c>
      <c r="F3310" s="46">
        <v>0.9</v>
      </c>
      <c r="G3310" s="46">
        <f t="shared" si="51"/>
        <v>0.9</v>
      </c>
      <c r="H3310" s="47" t="s">
        <v>28</v>
      </c>
      <c r="I3310" s="47" t="s">
        <v>58</v>
      </c>
      <c r="J3310" s="32"/>
    </row>
    <row r="3311" spans="1:10" x14ac:dyDescent="0.2">
      <c r="A3311" s="32"/>
      <c r="B3311" s="36" t="s">
        <v>5120</v>
      </c>
      <c r="C3311" s="37" t="s">
        <v>5108</v>
      </c>
      <c r="D3311" s="38" t="s">
        <v>5121</v>
      </c>
      <c r="E3311" s="39">
        <v>1</v>
      </c>
      <c r="F3311" s="40">
        <v>3</v>
      </c>
      <c r="G3311" s="40">
        <f t="shared" si="51"/>
        <v>3</v>
      </c>
      <c r="H3311" s="41" t="s">
        <v>24</v>
      </c>
      <c r="I3311" s="41" t="s">
        <v>58</v>
      </c>
      <c r="J3311" s="32"/>
    </row>
    <row r="3312" spans="1:10" x14ac:dyDescent="0.2">
      <c r="A3312" s="32"/>
      <c r="B3312" s="42" t="s">
        <v>5122</v>
      </c>
      <c r="C3312" s="43" t="s">
        <v>5123</v>
      </c>
      <c r="D3312" s="44" t="s">
        <v>5124</v>
      </c>
      <c r="E3312" s="45">
        <v>1</v>
      </c>
      <c r="F3312" s="46">
        <v>439.82</v>
      </c>
      <c r="G3312" s="46">
        <f t="shared" si="51"/>
        <v>439.82</v>
      </c>
      <c r="H3312" s="47" t="s">
        <v>24</v>
      </c>
      <c r="I3312" s="47" t="s">
        <v>58</v>
      </c>
      <c r="J3312" s="32"/>
    </row>
    <row r="3313" spans="1:10" x14ac:dyDescent="0.2">
      <c r="A3313" s="32"/>
      <c r="B3313" s="36" t="s">
        <v>5125</v>
      </c>
      <c r="C3313" s="37" t="s">
        <v>5126</v>
      </c>
      <c r="D3313" s="38" t="s">
        <v>5127</v>
      </c>
      <c r="E3313" s="39">
        <v>1</v>
      </c>
      <c r="F3313" s="40">
        <v>2.99</v>
      </c>
      <c r="G3313" s="40">
        <f t="shared" si="51"/>
        <v>2.99</v>
      </c>
      <c r="H3313" s="41" t="s">
        <v>24</v>
      </c>
      <c r="I3313" s="41" t="s">
        <v>58</v>
      </c>
      <c r="J3313" s="32"/>
    </row>
    <row r="3314" spans="1:10" x14ac:dyDescent="0.2">
      <c r="A3314" s="32"/>
      <c r="B3314" s="42" t="s">
        <v>5128</v>
      </c>
      <c r="C3314" s="43" t="s">
        <v>5126</v>
      </c>
      <c r="D3314" s="44" t="s">
        <v>5129</v>
      </c>
      <c r="E3314" s="45">
        <v>1</v>
      </c>
      <c r="F3314" s="46">
        <v>27.99</v>
      </c>
      <c r="G3314" s="46">
        <f t="shared" si="51"/>
        <v>27.99</v>
      </c>
      <c r="H3314" s="47" t="s">
        <v>25</v>
      </c>
      <c r="I3314" s="47" t="s">
        <v>58</v>
      </c>
      <c r="J3314" s="32"/>
    </row>
    <row r="3315" spans="1:10" x14ac:dyDescent="0.2">
      <c r="A3315" s="32"/>
      <c r="B3315" s="36" t="s">
        <v>5130</v>
      </c>
      <c r="C3315" s="37" t="s">
        <v>5126</v>
      </c>
      <c r="D3315" s="38" t="s">
        <v>5131</v>
      </c>
      <c r="E3315" s="39">
        <v>1</v>
      </c>
      <c r="F3315" s="40">
        <v>31.9</v>
      </c>
      <c r="G3315" s="40">
        <f t="shared" si="51"/>
        <v>31.9</v>
      </c>
      <c r="H3315" s="41" t="s">
        <v>25</v>
      </c>
      <c r="I3315" s="41" t="s">
        <v>58</v>
      </c>
      <c r="J3315" s="32"/>
    </row>
    <row r="3316" spans="1:10" x14ac:dyDescent="0.2">
      <c r="A3316" s="32"/>
      <c r="B3316" s="42" t="s">
        <v>5132</v>
      </c>
      <c r="C3316" s="43" t="s">
        <v>5126</v>
      </c>
      <c r="D3316" s="44" t="s">
        <v>5133</v>
      </c>
      <c r="E3316" s="45">
        <v>1</v>
      </c>
      <c r="F3316" s="46">
        <v>21.99</v>
      </c>
      <c r="G3316" s="46">
        <f t="shared" si="51"/>
        <v>21.99</v>
      </c>
      <c r="H3316" s="47" t="s">
        <v>25</v>
      </c>
      <c r="I3316" s="47" t="s">
        <v>58</v>
      </c>
      <c r="J3316" s="32"/>
    </row>
    <row r="3317" spans="1:10" x14ac:dyDescent="0.2">
      <c r="A3317" s="32"/>
      <c r="B3317" s="36" t="s">
        <v>5134</v>
      </c>
      <c r="C3317" s="37" t="s">
        <v>5126</v>
      </c>
      <c r="D3317" s="38" t="s">
        <v>5135</v>
      </c>
      <c r="E3317" s="39">
        <v>1</v>
      </c>
      <c r="F3317" s="40">
        <v>61.9</v>
      </c>
      <c r="G3317" s="40">
        <f t="shared" si="51"/>
        <v>61.9</v>
      </c>
      <c r="H3317" s="41" t="s">
        <v>24</v>
      </c>
      <c r="I3317" s="41" t="s">
        <v>58</v>
      </c>
      <c r="J3317" s="32"/>
    </row>
    <row r="3318" spans="1:10" x14ac:dyDescent="0.2">
      <c r="A3318" s="32"/>
      <c r="B3318" s="42" t="s">
        <v>5136</v>
      </c>
      <c r="C3318" s="43" t="s">
        <v>5126</v>
      </c>
      <c r="D3318" s="44" t="s">
        <v>5137</v>
      </c>
      <c r="E3318" s="45">
        <v>1</v>
      </c>
      <c r="F3318" s="46">
        <v>45.9</v>
      </c>
      <c r="G3318" s="46">
        <f t="shared" si="51"/>
        <v>45.9</v>
      </c>
      <c r="H3318" s="47" t="s">
        <v>24</v>
      </c>
      <c r="I3318" s="47" t="s">
        <v>58</v>
      </c>
      <c r="J3318" s="32"/>
    </row>
    <row r="3319" spans="1:10" x14ac:dyDescent="0.2">
      <c r="A3319" s="32"/>
      <c r="B3319" s="36" t="s">
        <v>5138</v>
      </c>
      <c r="C3319" s="37" t="s">
        <v>5126</v>
      </c>
      <c r="D3319" s="38" t="s">
        <v>5139</v>
      </c>
      <c r="E3319" s="39">
        <v>1</v>
      </c>
      <c r="F3319" s="40">
        <v>6.69</v>
      </c>
      <c r="G3319" s="40">
        <f t="shared" si="51"/>
        <v>6.69</v>
      </c>
      <c r="H3319" s="41" t="s">
        <v>25</v>
      </c>
      <c r="I3319" s="41" t="s">
        <v>58</v>
      </c>
      <c r="J3319" s="32"/>
    </row>
    <row r="3320" spans="1:10" x14ac:dyDescent="0.2">
      <c r="A3320" s="32"/>
      <c r="B3320" s="42" t="s">
        <v>5140</v>
      </c>
      <c r="C3320" s="43" t="s">
        <v>5141</v>
      </c>
      <c r="D3320" s="44" t="s">
        <v>3216</v>
      </c>
      <c r="E3320" s="45">
        <v>1</v>
      </c>
      <c r="F3320" s="46">
        <v>63</v>
      </c>
      <c r="G3320" s="46">
        <f t="shared" si="51"/>
        <v>63</v>
      </c>
      <c r="H3320" s="47" t="s">
        <v>24</v>
      </c>
      <c r="I3320" s="47" t="s">
        <v>338</v>
      </c>
      <c r="J3320" s="32"/>
    </row>
    <row r="3321" spans="1:10" x14ac:dyDescent="0.2">
      <c r="A3321" s="32"/>
      <c r="B3321" s="36" t="s">
        <v>5142</v>
      </c>
      <c r="C3321" s="37" t="s">
        <v>5141</v>
      </c>
      <c r="D3321" s="38" t="s">
        <v>3218</v>
      </c>
      <c r="E3321" s="39">
        <v>1</v>
      </c>
      <c r="F3321" s="40">
        <v>74</v>
      </c>
      <c r="G3321" s="40">
        <f t="shared" si="51"/>
        <v>74</v>
      </c>
      <c r="H3321" s="41" t="s">
        <v>24</v>
      </c>
      <c r="I3321" s="41" t="s">
        <v>338</v>
      </c>
      <c r="J3321" s="32"/>
    </row>
    <row r="3322" spans="1:10" x14ac:dyDescent="0.2">
      <c r="A3322" s="32"/>
      <c r="B3322" s="42" t="s">
        <v>5143</v>
      </c>
      <c r="C3322" s="43" t="s">
        <v>5141</v>
      </c>
      <c r="D3322" s="44" t="s">
        <v>41</v>
      </c>
      <c r="E3322" s="45">
        <v>1</v>
      </c>
      <c r="F3322" s="46">
        <v>18</v>
      </c>
      <c r="G3322" s="46">
        <f t="shared" si="51"/>
        <v>18</v>
      </c>
      <c r="H3322" s="47" t="s">
        <v>26</v>
      </c>
      <c r="I3322" s="47" t="s">
        <v>58</v>
      </c>
      <c r="J3322" s="32"/>
    </row>
    <row r="3323" spans="1:10" x14ac:dyDescent="0.2">
      <c r="A3323" s="32"/>
      <c r="B3323" s="36" t="s">
        <v>5144</v>
      </c>
      <c r="C3323" s="37" t="s">
        <v>5141</v>
      </c>
      <c r="D3323" s="38" t="s">
        <v>5145</v>
      </c>
      <c r="E3323" s="39">
        <v>1</v>
      </c>
      <c r="F3323" s="40">
        <v>2.4900000000000002</v>
      </c>
      <c r="G3323" s="40">
        <f t="shared" si="51"/>
        <v>2.4900000000000002</v>
      </c>
      <c r="H3323" s="41" t="s">
        <v>26</v>
      </c>
      <c r="I3323" s="41" t="s">
        <v>58</v>
      </c>
      <c r="J3323" s="32"/>
    </row>
    <row r="3324" spans="1:10" x14ac:dyDescent="0.2">
      <c r="A3324" s="32"/>
      <c r="B3324" s="32" t="s">
        <v>5146</v>
      </c>
      <c r="C3324" s="32" t="s">
        <v>5147</v>
      </c>
      <c r="D3324" s="32" t="s">
        <v>5148</v>
      </c>
      <c r="E3324" s="32">
        <v>1</v>
      </c>
      <c r="F3324" s="32">
        <v>89.99</v>
      </c>
      <c r="G3324" s="32">
        <f t="shared" si="51"/>
        <v>89.99</v>
      </c>
      <c r="H3324" s="32" t="s">
        <v>24</v>
      </c>
      <c r="I3324" s="32" t="s">
        <v>58</v>
      </c>
      <c r="J3324" s="32"/>
    </row>
    <row r="3325" spans="1:10" x14ac:dyDescent="0.2">
      <c r="A3325" s="32"/>
      <c r="B3325" s="32" t="s">
        <v>5149</v>
      </c>
      <c r="C3325" s="32" t="s">
        <v>5147</v>
      </c>
      <c r="D3325" s="32" t="s">
        <v>5148</v>
      </c>
      <c r="E3325" s="32">
        <v>1</v>
      </c>
      <c r="F3325" s="32">
        <v>89.99</v>
      </c>
      <c r="G3325" s="32">
        <f t="shared" si="51"/>
        <v>89.99</v>
      </c>
      <c r="H3325" s="32" t="s">
        <v>24</v>
      </c>
      <c r="I3325" s="32" t="s">
        <v>58</v>
      </c>
      <c r="J3325" s="32"/>
    </row>
    <row r="3326" spans="1:10" x14ac:dyDescent="0.2">
      <c r="A3326" s="32"/>
      <c r="B3326" s="32" t="s">
        <v>5150</v>
      </c>
      <c r="C3326" s="32" t="s">
        <v>5147</v>
      </c>
      <c r="D3326" s="32" t="s">
        <v>5151</v>
      </c>
      <c r="E3326" s="32">
        <v>1</v>
      </c>
      <c r="F3326" s="32">
        <v>2.39</v>
      </c>
      <c r="G3326" s="32">
        <f t="shared" si="51"/>
        <v>2.39</v>
      </c>
      <c r="H3326" s="32" t="s">
        <v>24</v>
      </c>
      <c r="I3326" s="32" t="s">
        <v>58</v>
      </c>
      <c r="J3326" s="32"/>
    </row>
    <row r="3327" spans="1:10" x14ac:dyDescent="0.2">
      <c r="A3327" s="32"/>
      <c r="B3327" s="32" t="s">
        <v>5152</v>
      </c>
      <c r="C3327" s="32" t="s">
        <v>5147</v>
      </c>
      <c r="D3327" s="32" t="s">
        <v>5153</v>
      </c>
      <c r="E3327" s="32">
        <v>24</v>
      </c>
      <c r="F3327" s="32">
        <v>5.99</v>
      </c>
      <c r="G3327" s="32">
        <f t="shared" si="51"/>
        <v>143.76</v>
      </c>
      <c r="H3327" s="32" t="s">
        <v>24</v>
      </c>
      <c r="I3327" s="32" t="s">
        <v>58</v>
      </c>
      <c r="J3327" s="32"/>
    </row>
    <row r="3328" spans="1:10" x14ac:dyDescent="0.2">
      <c r="A3328" s="32"/>
      <c r="B3328" s="32" t="s">
        <v>5154</v>
      </c>
      <c r="C3328" s="32" t="s">
        <v>5147</v>
      </c>
      <c r="D3328" s="32" t="s">
        <v>5153</v>
      </c>
      <c r="E3328" s="32">
        <v>1</v>
      </c>
      <c r="F3328" s="32">
        <v>5.99</v>
      </c>
      <c r="G3328" s="32">
        <f t="shared" si="51"/>
        <v>5.99</v>
      </c>
      <c r="H3328" s="32" t="s">
        <v>24</v>
      </c>
      <c r="I3328" s="32" t="s">
        <v>58</v>
      </c>
      <c r="J3328" s="32"/>
    </row>
    <row r="3329" spans="1:10" x14ac:dyDescent="0.2">
      <c r="A3329" s="32"/>
      <c r="B3329" s="32" t="s">
        <v>5155</v>
      </c>
      <c r="C3329" s="32" t="s">
        <v>5147</v>
      </c>
      <c r="D3329" s="32" t="s">
        <v>5156</v>
      </c>
      <c r="E3329" s="32">
        <v>1</v>
      </c>
      <c r="F3329" s="32">
        <v>37.99</v>
      </c>
      <c r="G3329" s="32">
        <f t="shared" si="51"/>
        <v>37.99</v>
      </c>
      <c r="H3329" s="32" t="s">
        <v>24</v>
      </c>
      <c r="I3329" s="32" t="s">
        <v>58</v>
      </c>
      <c r="J3329" s="32"/>
    </row>
    <row r="3330" spans="1:10" x14ac:dyDescent="0.2">
      <c r="A3330" s="32"/>
      <c r="B3330" s="32" t="s">
        <v>5157</v>
      </c>
      <c r="C3330" s="32" t="s">
        <v>5147</v>
      </c>
      <c r="D3330" s="32" t="s">
        <v>5158</v>
      </c>
      <c r="E3330" s="32">
        <v>1</v>
      </c>
      <c r="F3330" s="32">
        <v>17.989999999999998</v>
      </c>
      <c r="G3330" s="32">
        <f t="shared" si="51"/>
        <v>17.989999999999998</v>
      </c>
      <c r="H3330" s="32" t="s">
        <v>24</v>
      </c>
      <c r="I3330" s="32" t="s">
        <v>58</v>
      </c>
      <c r="J3330" s="32"/>
    </row>
    <row r="3331" spans="1:10" x14ac:dyDescent="0.2">
      <c r="A3331" s="32"/>
      <c r="B3331" s="32" t="s">
        <v>5159</v>
      </c>
      <c r="C3331" s="32" t="s">
        <v>5147</v>
      </c>
      <c r="D3331" s="32" t="s">
        <v>5160</v>
      </c>
      <c r="E3331" s="32">
        <v>1</v>
      </c>
      <c r="F3331" s="32">
        <v>6.99</v>
      </c>
      <c r="G3331" s="32">
        <f t="shared" si="51"/>
        <v>6.99</v>
      </c>
      <c r="H3331" s="32" t="s">
        <v>24</v>
      </c>
      <c r="I3331" s="32" t="s">
        <v>58</v>
      </c>
      <c r="J3331" s="32"/>
    </row>
    <row r="3332" spans="1:10" x14ac:dyDescent="0.2">
      <c r="A3332" s="32"/>
      <c r="B3332" s="32" t="s">
        <v>5161</v>
      </c>
      <c r="C3332" s="32" t="s">
        <v>5147</v>
      </c>
      <c r="D3332" s="32" t="s">
        <v>5162</v>
      </c>
      <c r="E3332" s="32">
        <v>1</v>
      </c>
      <c r="F3332" s="32">
        <v>25.99</v>
      </c>
      <c r="G3332" s="32">
        <f t="shared" si="51"/>
        <v>25.99</v>
      </c>
      <c r="H3332" s="32" t="s">
        <v>24</v>
      </c>
      <c r="I3332" s="32" t="s">
        <v>58</v>
      </c>
      <c r="J3332" s="32"/>
    </row>
    <row r="3333" spans="1:10" x14ac:dyDescent="0.2">
      <c r="A3333" s="32"/>
      <c r="B3333" s="32" t="s">
        <v>5163</v>
      </c>
      <c r="C3333" s="32" t="s">
        <v>5147</v>
      </c>
      <c r="D3333" s="32" t="s">
        <v>5164</v>
      </c>
      <c r="E3333" s="32">
        <v>2</v>
      </c>
      <c r="F3333" s="32">
        <v>16.989999999999998</v>
      </c>
      <c r="G3333" s="32">
        <f t="shared" ref="G3333:G3396" si="52">E3333*F3333</f>
        <v>33.979999999999997</v>
      </c>
      <c r="H3333" s="32" t="s">
        <v>24</v>
      </c>
      <c r="I3333" s="32" t="s">
        <v>58</v>
      </c>
      <c r="J3333" s="32"/>
    </row>
    <row r="3334" spans="1:10" x14ac:dyDescent="0.2">
      <c r="B3334" t="s">
        <v>5165</v>
      </c>
      <c r="C3334" t="s">
        <v>5147</v>
      </c>
      <c r="D3334" t="s">
        <v>5166</v>
      </c>
      <c r="E3334">
        <v>2</v>
      </c>
      <c r="F3334">
        <v>11.89</v>
      </c>
      <c r="G3334">
        <f t="shared" si="52"/>
        <v>23.78</v>
      </c>
      <c r="H3334" t="s">
        <v>24</v>
      </c>
      <c r="I3334" t="s">
        <v>58</v>
      </c>
    </row>
    <row r="3335" spans="1:10" x14ac:dyDescent="0.2">
      <c r="B3335" t="s">
        <v>5167</v>
      </c>
      <c r="C3335" t="s">
        <v>5147</v>
      </c>
      <c r="D3335" t="s">
        <v>5168</v>
      </c>
      <c r="E3335">
        <v>1</v>
      </c>
      <c r="F3335">
        <v>20.99</v>
      </c>
      <c r="G3335">
        <f t="shared" si="52"/>
        <v>20.99</v>
      </c>
      <c r="H3335" t="s">
        <v>24</v>
      </c>
      <c r="I3335" t="s">
        <v>58</v>
      </c>
    </row>
    <row r="3336" spans="1:10" x14ac:dyDescent="0.2">
      <c r="B3336" t="s">
        <v>5169</v>
      </c>
      <c r="C3336" t="s">
        <v>5147</v>
      </c>
      <c r="D3336" t="s">
        <v>5170</v>
      </c>
      <c r="E3336">
        <v>0.4</v>
      </c>
      <c r="F3336">
        <v>41.39</v>
      </c>
      <c r="G3336">
        <f t="shared" si="52"/>
        <v>16.556000000000001</v>
      </c>
      <c r="H3336" t="s">
        <v>24</v>
      </c>
      <c r="I3336" t="s">
        <v>58</v>
      </c>
    </row>
    <row r="3337" spans="1:10" x14ac:dyDescent="0.2">
      <c r="B3337" t="s">
        <v>5171</v>
      </c>
      <c r="C3337" t="s">
        <v>5147</v>
      </c>
      <c r="D3337" t="s">
        <v>5170</v>
      </c>
      <c r="E3337">
        <v>0.36599999999999999</v>
      </c>
      <c r="F3337">
        <v>41.39</v>
      </c>
      <c r="G3337">
        <f t="shared" si="52"/>
        <v>15.14874</v>
      </c>
      <c r="H3337" t="s">
        <v>24</v>
      </c>
      <c r="I3337" t="s">
        <v>58</v>
      </c>
    </row>
    <row r="3338" spans="1:10" x14ac:dyDescent="0.2">
      <c r="B3338" t="s">
        <v>5172</v>
      </c>
      <c r="C3338" t="s">
        <v>5147</v>
      </c>
      <c r="D3338" t="s">
        <v>5170</v>
      </c>
      <c r="E3338">
        <v>0.33800000000000002</v>
      </c>
      <c r="F3338">
        <v>41.39</v>
      </c>
      <c r="G3338">
        <f t="shared" si="52"/>
        <v>13.989820000000002</v>
      </c>
      <c r="H3338" t="s">
        <v>24</v>
      </c>
      <c r="I3338" t="s">
        <v>58</v>
      </c>
    </row>
    <row r="3339" spans="1:10" x14ac:dyDescent="0.2">
      <c r="B3339" t="s">
        <v>5173</v>
      </c>
      <c r="C3339" t="s">
        <v>5147</v>
      </c>
      <c r="D3339" t="s">
        <v>5174</v>
      </c>
      <c r="E3339">
        <v>1</v>
      </c>
      <c r="F3339">
        <v>12.99</v>
      </c>
      <c r="G3339">
        <f t="shared" si="52"/>
        <v>12.99</v>
      </c>
      <c r="H3339" t="s">
        <v>24</v>
      </c>
      <c r="I3339" t="s">
        <v>58</v>
      </c>
    </row>
    <row r="3340" spans="1:10" x14ac:dyDescent="0.2">
      <c r="B3340" t="s">
        <v>5175</v>
      </c>
      <c r="C3340" t="s">
        <v>5147</v>
      </c>
      <c r="D3340" t="s">
        <v>5176</v>
      </c>
      <c r="E3340">
        <v>0.28199999999999997</v>
      </c>
      <c r="F3340">
        <v>44.99</v>
      </c>
      <c r="G3340">
        <f t="shared" si="52"/>
        <v>12.68718</v>
      </c>
      <c r="H3340" t="s">
        <v>24</v>
      </c>
      <c r="I3340" t="s">
        <v>58</v>
      </c>
    </row>
    <row r="3341" spans="1:10" x14ac:dyDescent="0.2">
      <c r="B3341" t="s">
        <v>5177</v>
      </c>
      <c r="C3341" t="s">
        <v>5147</v>
      </c>
      <c r="D3341" t="s">
        <v>5178</v>
      </c>
      <c r="E3341">
        <v>1</v>
      </c>
      <c r="F3341">
        <v>22.99</v>
      </c>
      <c r="G3341">
        <f t="shared" si="52"/>
        <v>22.99</v>
      </c>
      <c r="H3341" t="s">
        <v>24</v>
      </c>
      <c r="I3341" t="s">
        <v>58</v>
      </c>
    </row>
    <row r="3342" spans="1:10" x14ac:dyDescent="0.2">
      <c r="B3342" t="s">
        <v>5179</v>
      </c>
      <c r="C3342" t="s">
        <v>5147</v>
      </c>
      <c r="D3342" t="s">
        <v>5178</v>
      </c>
      <c r="E3342">
        <v>1</v>
      </c>
      <c r="F3342">
        <v>22.99</v>
      </c>
      <c r="G3342">
        <f t="shared" si="52"/>
        <v>22.99</v>
      </c>
      <c r="H3342" t="s">
        <v>24</v>
      </c>
      <c r="I3342" t="s">
        <v>58</v>
      </c>
    </row>
    <row r="3343" spans="1:10" x14ac:dyDescent="0.2">
      <c r="B3343" t="s">
        <v>5180</v>
      </c>
      <c r="C3343" t="s">
        <v>5147</v>
      </c>
      <c r="D3343" t="s">
        <v>5181</v>
      </c>
      <c r="E3343">
        <v>1</v>
      </c>
      <c r="F3343">
        <v>28.99</v>
      </c>
      <c r="G3343">
        <f t="shared" si="52"/>
        <v>28.99</v>
      </c>
      <c r="H3343" t="s">
        <v>24</v>
      </c>
      <c r="I3343" t="s">
        <v>58</v>
      </c>
    </row>
    <row r="3344" spans="1:10" x14ac:dyDescent="0.2">
      <c r="B3344" t="s">
        <v>5182</v>
      </c>
      <c r="C3344" t="s">
        <v>5147</v>
      </c>
      <c r="D3344" t="s">
        <v>5183</v>
      </c>
      <c r="E3344">
        <v>2</v>
      </c>
      <c r="F3344">
        <v>22.99</v>
      </c>
      <c r="G3344">
        <f t="shared" si="52"/>
        <v>45.98</v>
      </c>
      <c r="H3344" t="s">
        <v>24</v>
      </c>
      <c r="I3344" t="s">
        <v>58</v>
      </c>
    </row>
    <row r="3345" spans="2:9" x14ac:dyDescent="0.2">
      <c r="B3345" t="s">
        <v>5184</v>
      </c>
      <c r="C3345" t="s">
        <v>5147</v>
      </c>
      <c r="D3345" t="s">
        <v>5185</v>
      </c>
      <c r="E3345">
        <v>1</v>
      </c>
      <c r="F3345">
        <v>14.99</v>
      </c>
      <c r="G3345">
        <f t="shared" si="52"/>
        <v>14.99</v>
      </c>
      <c r="H3345" t="s">
        <v>24</v>
      </c>
      <c r="I3345" t="s">
        <v>58</v>
      </c>
    </row>
    <row r="3346" spans="2:9" x14ac:dyDescent="0.2">
      <c r="B3346" t="s">
        <v>5186</v>
      </c>
      <c r="C3346" t="s">
        <v>5147</v>
      </c>
      <c r="D3346" t="s">
        <v>5187</v>
      </c>
      <c r="E3346">
        <v>1</v>
      </c>
      <c r="F3346">
        <v>13.99</v>
      </c>
      <c r="G3346">
        <f t="shared" si="52"/>
        <v>13.99</v>
      </c>
      <c r="H3346" t="s">
        <v>24</v>
      </c>
      <c r="I3346" t="s">
        <v>58</v>
      </c>
    </row>
    <row r="3347" spans="2:9" x14ac:dyDescent="0.2">
      <c r="B3347" t="s">
        <v>5188</v>
      </c>
      <c r="C3347" t="s">
        <v>5147</v>
      </c>
      <c r="D3347" t="s">
        <v>5176</v>
      </c>
      <c r="E3347">
        <v>0.32400000000000001</v>
      </c>
      <c r="F3347">
        <v>44.99</v>
      </c>
      <c r="G3347">
        <f t="shared" si="52"/>
        <v>14.576760000000002</v>
      </c>
      <c r="H3347" t="s">
        <v>24</v>
      </c>
      <c r="I3347" t="s">
        <v>58</v>
      </c>
    </row>
    <row r="3348" spans="2:9" x14ac:dyDescent="0.2">
      <c r="B3348" t="s">
        <v>5189</v>
      </c>
      <c r="C3348" t="s">
        <v>5147</v>
      </c>
      <c r="D3348" t="s">
        <v>5187</v>
      </c>
      <c r="E3348">
        <v>1</v>
      </c>
      <c r="F3348">
        <v>13.99</v>
      </c>
      <c r="G3348">
        <f t="shared" si="52"/>
        <v>13.99</v>
      </c>
      <c r="H3348" t="s">
        <v>24</v>
      </c>
      <c r="I3348" t="s">
        <v>58</v>
      </c>
    </row>
    <row r="3349" spans="2:9" x14ac:dyDescent="0.2">
      <c r="B3349" t="s">
        <v>5190</v>
      </c>
      <c r="C3349" t="s">
        <v>5147</v>
      </c>
      <c r="D3349" t="s">
        <v>5191</v>
      </c>
      <c r="E3349">
        <v>1</v>
      </c>
      <c r="F3349">
        <v>5.99</v>
      </c>
      <c r="G3349">
        <f t="shared" si="52"/>
        <v>5.99</v>
      </c>
      <c r="H3349" t="s">
        <v>24</v>
      </c>
      <c r="I3349" t="s">
        <v>58</v>
      </c>
    </row>
    <row r="3350" spans="2:9" x14ac:dyDescent="0.2">
      <c r="B3350" t="s">
        <v>5192</v>
      </c>
      <c r="C3350" t="s">
        <v>5147</v>
      </c>
      <c r="D3350" t="s">
        <v>5191</v>
      </c>
      <c r="E3350">
        <v>1</v>
      </c>
      <c r="F3350">
        <v>5.99</v>
      </c>
      <c r="G3350">
        <f t="shared" si="52"/>
        <v>5.99</v>
      </c>
      <c r="H3350" t="s">
        <v>24</v>
      </c>
      <c r="I3350" t="s">
        <v>58</v>
      </c>
    </row>
    <row r="3351" spans="2:9" x14ac:dyDescent="0.2">
      <c r="B3351" t="s">
        <v>5193</v>
      </c>
      <c r="C3351" t="s">
        <v>5147</v>
      </c>
      <c r="D3351" t="s">
        <v>5194</v>
      </c>
      <c r="E3351">
        <v>1</v>
      </c>
      <c r="F3351">
        <v>18.989999999999998</v>
      </c>
      <c r="G3351">
        <f t="shared" si="52"/>
        <v>18.989999999999998</v>
      </c>
      <c r="H3351" t="s">
        <v>24</v>
      </c>
      <c r="I3351" t="s">
        <v>58</v>
      </c>
    </row>
    <row r="3352" spans="2:9" x14ac:dyDescent="0.2">
      <c r="B3352" t="s">
        <v>5195</v>
      </c>
      <c r="C3352" t="s">
        <v>5147</v>
      </c>
      <c r="D3352" t="s">
        <v>5196</v>
      </c>
      <c r="E3352">
        <v>1</v>
      </c>
      <c r="F3352">
        <v>10.49</v>
      </c>
      <c r="G3352">
        <f t="shared" si="52"/>
        <v>10.49</v>
      </c>
      <c r="H3352" t="s">
        <v>24</v>
      </c>
      <c r="I3352" t="s">
        <v>58</v>
      </c>
    </row>
    <row r="3353" spans="2:9" x14ac:dyDescent="0.2">
      <c r="B3353" t="s">
        <v>5197</v>
      </c>
      <c r="C3353" t="s">
        <v>5147</v>
      </c>
      <c r="D3353" t="s">
        <v>5198</v>
      </c>
      <c r="E3353">
        <v>1</v>
      </c>
      <c r="F3353">
        <v>19.989999999999998</v>
      </c>
      <c r="G3353">
        <f t="shared" si="52"/>
        <v>19.989999999999998</v>
      </c>
      <c r="H3353" t="s">
        <v>24</v>
      </c>
      <c r="I3353" t="s">
        <v>58</v>
      </c>
    </row>
    <row r="3354" spans="2:9" x14ac:dyDescent="0.2">
      <c r="B3354" t="s">
        <v>5199</v>
      </c>
      <c r="C3354" t="s">
        <v>5147</v>
      </c>
      <c r="D3354" t="s">
        <v>5200</v>
      </c>
      <c r="E3354">
        <v>1</v>
      </c>
      <c r="F3354">
        <v>3.29</v>
      </c>
      <c r="G3354">
        <f t="shared" si="52"/>
        <v>3.29</v>
      </c>
      <c r="H3354" t="s">
        <v>24</v>
      </c>
      <c r="I3354" t="s">
        <v>58</v>
      </c>
    </row>
    <row r="3355" spans="2:9" x14ac:dyDescent="0.2">
      <c r="B3355" t="s">
        <v>5201</v>
      </c>
      <c r="C3355" t="s">
        <v>5147</v>
      </c>
      <c r="D3355" t="s">
        <v>5200</v>
      </c>
      <c r="E3355">
        <v>1</v>
      </c>
      <c r="F3355">
        <v>3.29</v>
      </c>
      <c r="G3355">
        <f t="shared" si="52"/>
        <v>3.29</v>
      </c>
      <c r="H3355" t="s">
        <v>24</v>
      </c>
      <c r="I3355" t="s">
        <v>58</v>
      </c>
    </row>
    <row r="3356" spans="2:9" x14ac:dyDescent="0.2">
      <c r="B3356" t="s">
        <v>5202</v>
      </c>
      <c r="C3356" t="s">
        <v>5147</v>
      </c>
      <c r="D3356" t="s">
        <v>5203</v>
      </c>
      <c r="E3356">
        <v>1</v>
      </c>
      <c r="F3356">
        <v>16.59</v>
      </c>
      <c r="G3356">
        <f t="shared" si="52"/>
        <v>16.59</v>
      </c>
      <c r="H3356" t="s">
        <v>24</v>
      </c>
      <c r="I3356" t="s">
        <v>58</v>
      </c>
    </row>
    <row r="3357" spans="2:9" x14ac:dyDescent="0.2">
      <c r="B3357" t="s">
        <v>5204</v>
      </c>
      <c r="C3357" t="s">
        <v>5147</v>
      </c>
      <c r="D3357" t="s">
        <v>5205</v>
      </c>
      <c r="E3357">
        <v>1</v>
      </c>
      <c r="F3357">
        <v>4.79</v>
      </c>
      <c r="G3357">
        <f t="shared" si="52"/>
        <v>4.79</v>
      </c>
      <c r="H3357" t="s">
        <v>24</v>
      </c>
      <c r="I3357" t="s">
        <v>58</v>
      </c>
    </row>
    <row r="3358" spans="2:9" x14ac:dyDescent="0.2">
      <c r="B3358" t="s">
        <v>5206</v>
      </c>
      <c r="C3358" t="s">
        <v>5147</v>
      </c>
      <c r="D3358" t="s">
        <v>5207</v>
      </c>
      <c r="E3358">
        <v>1</v>
      </c>
      <c r="F3358">
        <v>29.99</v>
      </c>
      <c r="G3358">
        <f t="shared" si="52"/>
        <v>29.99</v>
      </c>
      <c r="H3358" t="s">
        <v>24</v>
      </c>
      <c r="I3358" t="s">
        <v>58</v>
      </c>
    </row>
    <row r="3359" spans="2:9" x14ac:dyDescent="0.2">
      <c r="B3359" t="s">
        <v>5208</v>
      </c>
      <c r="C3359" t="s">
        <v>5147</v>
      </c>
      <c r="D3359" t="s">
        <v>5209</v>
      </c>
      <c r="E3359">
        <v>2</v>
      </c>
      <c r="F3359">
        <v>4.99</v>
      </c>
      <c r="G3359">
        <f t="shared" si="52"/>
        <v>9.98</v>
      </c>
      <c r="H3359" t="s">
        <v>24</v>
      </c>
      <c r="I3359" t="s">
        <v>58</v>
      </c>
    </row>
    <row r="3360" spans="2:9" x14ac:dyDescent="0.2">
      <c r="B3360" t="s">
        <v>5210</v>
      </c>
      <c r="C3360" t="s">
        <v>5147</v>
      </c>
      <c r="D3360" t="s">
        <v>5211</v>
      </c>
      <c r="E3360">
        <v>1</v>
      </c>
      <c r="F3360">
        <v>7.99</v>
      </c>
      <c r="G3360">
        <f t="shared" si="52"/>
        <v>7.99</v>
      </c>
      <c r="H3360" t="s">
        <v>24</v>
      </c>
      <c r="I3360" t="s">
        <v>58</v>
      </c>
    </row>
    <row r="3361" spans="2:9" x14ac:dyDescent="0.2">
      <c r="B3361" t="s">
        <v>5212</v>
      </c>
      <c r="C3361" t="s">
        <v>5147</v>
      </c>
      <c r="D3361" t="s">
        <v>5211</v>
      </c>
      <c r="E3361">
        <v>1</v>
      </c>
      <c r="F3361">
        <v>7.99</v>
      </c>
      <c r="G3361">
        <f t="shared" si="52"/>
        <v>7.99</v>
      </c>
      <c r="H3361" t="s">
        <v>24</v>
      </c>
      <c r="I3361" t="s">
        <v>58</v>
      </c>
    </row>
    <row r="3362" spans="2:9" x14ac:dyDescent="0.2">
      <c r="B3362" t="s">
        <v>5213</v>
      </c>
      <c r="C3362" t="s">
        <v>5147</v>
      </c>
      <c r="D3362" t="s">
        <v>5214</v>
      </c>
      <c r="E3362">
        <v>1</v>
      </c>
      <c r="F3362">
        <v>6.69</v>
      </c>
      <c r="G3362">
        <f t="shared" si="52"/>
        <v>6.69</v>
      </c>
      <c r="H3362" t="s">
        <v>24</v>
      </c>
      <c r="I3362" t="s">
        <v>58</v>
      </c>
    </row>
    <row r="3363" spans="2:9" x14ac:dyDescent="0.2">
      <c r="B3363" t="s">
        <v>5215</v>
      </c>
      <c r="C3363" t="s">
        <v>5147</v>
      </c>
      <c r="D3363" t="s">
        <v>5214</v>
      </c>
      <c r="E3363">
        <v>1</v>
      </c>
      <c r="F3363">
        <v>6.69</v>
      </c>
      <c r="G3363">
        <f t="shared" si="52"/>
        <v>6.69</v>
      </c>
      <c r="H3363" t="s">
        <v>24</v>
      </c>
      <c r="I3363" t="s">
        <v>58</v>
      </c>
    </row>
    <row r="3364" spans="2:9" x14ac:dyDescent="0.2">
      <c r="B3364" t="s">
        <v>5216</v>
      </c>
      <c r="C3364" t="s">
        <v>5147</v>
      </c>
      <c r="D3364" t="s">
        <v>5217</v>
      </c>
      <c r="E3364">
        <v>3</v>
      </c>
      <c r="F3364">
        <v>3.99</v>
      </c>
      <c r="G3364">
        <f t="shared" si="52"/>
        <v>11.97</v>
      </c>
      <c r="H3364" t="s">
        <v>24</v>
      </c>
      <c r="I3364" t="s">
        <v>58</v>
      </c>
    </row>
    <row r="3365" spans="2:9" x14ac:dyDescent="0.2">
      <c r="B3365" t="s">
        <v>5218</v>
      </c>
      <c r="C3365" t="s">
        <v>5147</v>
      </c>
      <c r="D3365" t="s">
        <v>5219</v>
      </c>
      <c r="E3365">
        <v>1</v>
      </c>
      <c r="F3365">
        <v>7.99</v>
      </c>
      <c r="G3365">
        <f t="shared" si="52"/>
        <v>7.99</v>
      </c>
      <c r="H3365" t="s">
        <v>24</v>
      </c>
      <c r="I3365" t="s">
        <v>58</v>
      </c>
    </row>
    <row r="3366" spans="2:9" x14ac:dyDescent="0.2">
      <c r="B3366" t="s">
        <v>5220</v>
      </c>
      <c r="C3366" t="s">
        <v>5147</v>
      </c>
      <c r="D3366" t="s">
        <v>5219</v>
      </c>
      <c r="E3366">
        <v>1</v>
      </c>
      <c r="F3366">
        <v>7.99</v>
      </c>
      <c r="G3366">
        <f t="shared" si="52"/>
        <v>7.99</v>
      </c>
      <c r="H3366" t="s">
        <v>24</v>
      </c>
      <c r="I3366" t="s">
        <v>58</v>
      </c>
    </row>
    <row r="3367" spans="2:9" x14ac:dyDescent="0.2">
      <c r="B3367" t="s">
        <v>5221</v>
      </c>
      <c r="C3367" t="s">
        <v>5147</v>
      </c>
      <c r="D3367" t="s">
        <v>5222</v>
      </c>
      <c r="E3367">
        <v>1</v>
      </c>
      <c r="F3367">
        <v>2.89</v>
      </c>
      <c r="G3367">
        <f t="shared" si="52"/>
        <v>2.89</v>
      </c>
      <c r="H3367" t="s">
        <v>24</v>
      </c>
      <c r="I3367" t="s">
        <v>58</v>
      </c>
    </row>
    <row r="3368" spans="2:9" x14ac:dyDescent="0.2">
      <c r="B3368" t="s">
        <v>5223</v>
      </c>
      <c r="C3368" t="s">
        <v>5147</v>
      </c>
      <c r="D3368" t="s">
        <v>5224</v>
      </c>
      <c r="E3368">
        <v>1</v>
      </c>
      <c r="F3368">
        <v>23.99</v>
      </c>
      <c r="G3368">
        <f t="shared" si="52"/>
        <v>23.99</v>
      </c>
      <c r="H3368" t="s">
        <v>24</v>
      </c>
      <c r="I3368" t="s">
        <v>58</v>
      </c>
    </row>
    <row r="3369" spans="2:9" x14ac:dyDescent="0.2">
      <c r="B3369" t="s">
        <v>5225</v>
      </c>
      <c r="C3369" t="s">
        <v>5147</v>
      </c>
      <c r="D3369" t="s">
        <v>5226</v>
      </c>
      <c r="E3369">
        <v>1</v>
      </c>
      <c r="F3369">
        <v>23.99</v>
      </c>
      <c r="G3369">
        <f t="shared" si="52"/>
        <v>23.99</v>
      </c>
      <c r="H3369" t="s">
        <v>24</v>
      </c>
      <c r="I3369" t="s">
        <v>58</v>
      </c>
    </row>
    <row r="3370" spans="2:9" x14ac:dyDescent="0.2">
      <c r="B3370" t="s">
        <v>5227</v>
      </c>
      <c r="C3370" t="s">
        <v>5147</v>
      </c>
      <c r="D3370" t="s">
        <v>5228</v>
      </c>
      <c r="E3370">
        <v>1</v>
      </c>
      <c r="F3370">
        <v>23.99</v>
      </c>
      <c r="G3370">
        <f t="shared" si="52"/>
        <v>23.99</v>
      </c>
      <c r="H3370" t="s">
        <v>24</v>
      </c>
      <c r="I3370" t="s">
        <v>58</v>
      </c>
    </row>
    <row r="3371" spans="2:9" x14ac:dyDescent="0.2">
      <c r="B3371" t="s">
        <v>5229</v>
      </c>
      <c r="C3371" t="s">
        <v>5147</v>
      </c>
      <c r="D3371" t="s">
        <v>5230</v>
      </c>
      <c r="E3371">
        <v>1</v>
      </c>
      <c r="F3371">
        <v>23.99</v>
      </c>
      <c r="G3371">
        <f t="shared" si="52"/>
        <v>23.99</v>
      </c>
      <c r="H3371" t="s">
        <v>24</v>
      </c>
      <c r="I3371" t="s">
        <v>58</v>
      </c>
    </row>
    <row r="3372" spans="2:9" x14ac:dyDescent="0.2">
      <c r="B3372" t="s">
        <v>5231</v>
      </c>
      <c r="C3372" t="s">
        <v>5147</v>
      </c>
      <c r="D3372" t="s">
        <v>5232</v>
      </c>
      <c r="E3372">
        <v>1</v>
      </c>
      <c r="F3372">
        <v>23.99</v>
      </c>
      <c r="G3372">
        <f t="shared" si="52"/>
        <v>23.99</v>
      </c>
      <c r="H3372" t="s">
        <v>24</v>
      </c>
      <c r="I3372" t="s">
        <v>58</v>
      </c>
    </row>
    <row r="3373" spans="2:9" x14ac:dyDescent="0.2">
      <c r="B3373" t="s">
        <v>5233</v>
      </c>
      <c r="C3373" t="s">
        <v>5147</v>
      </c>
      <c r="D3373" t="s">
        <v>5234</v>
      </c>
      <c r="E3373">
        <v>1</v>
      </c>
      <c r="F3373">
        <v>23.99</v>
      </c>
      <c r="G3373">
        <f t="shared" si="52"/>
        <v>23.99</v>
      </c>
      <c r="H3373" t="s">
        <v>24</v>
      </c>
      <c r="I3373" t="s">
        <v>58</v>
      </c>
    </row>
    <row r="3374" spans="2:9" x14ac:dyDescent="0.2">
      <c r="B3374" t="s">
        <v>5235</v>
      </c>
      <c r="C3374" t="s">
        <v>5147</v>
      </c>
      <c r="D3374" t="s">
        <v>5236</v>
      </c>
      <c r="E3374">
        <v>1</v>
      </c>
      <c r="F3374">
        <v>23.99</v>
      </c>
      <c r="G3374">
        <f t="shared" si="52"/>
        <v>23.99</v>
      </c>
      <c r="H3374" t="s">
        <v>24</v>
      </c>
      <c r="I3374" t="s">
        <v>58</v>
      </c>
    </row>
    <row r="3375" spans="2:9" x14ac:dyDescent="0.2">
      <c r="B3375" t="s">
        <v>5237</v>
      </c>
      <c r="C3375" t="s">
        <v>5147</v>
      </c>
      <c r="D3375" t="s">
        <v>5232</v>
      </c>
      <c r="E3375">
        <v>1</v>
      </c>
      <c r="F3375">
        <v>23.99</v>
      </c>
      <c r="G3375">
        <f t="shared" si="52"/>
        <v>23.99</v>
      </c>
      <c r="H3375" t="s">
        <v>24</v>
      </c>
      <c r="I3375" t="s">
        <v>58</v>
      </c>
    </row>
    <row r="3376" spans="2:9" x14ac:dyDescent="0.2">
      <c r="B3376" t="s">
        <v>5238</v>
      </c>
      <c r="C3376" t="s">
        <v>5147</v>
      </c>
      <c r="D3376" t="s">
        <v>5239</v>
      </c>
      <c r="E3376">
        <v>1</v>
      </c>
      <c r="F3376">
        <v>2.4900000000000002</v>
      </c>
      <c r="G3376">
        <f t="shared" si="52"/>
        <v>2.4900000000000002</v>
      </c>
      <c r="H3376" t="s">
        <v>24</v>
      </c>
      <c r="I3376" t="s">
        <v>58</v>
      </c>
    </row>
    <row r="3377" spans="2:9" x14ac:dyDescent="0.2">
      <c r="B3377" t="s">
        <v>5240</v>
      </c>
      <c r="C3377" t="s">
        <v>5147</v>
      </c>
      <c r="D3377" t="s">
        <v>5241</v>
      </c>
      <c r="E3377">
        <v>1</v>
      </c>
      <c r="F3377">
        <v>3.99</v>
      </c>
      <c r="G3377">
        <f t="shared" si="52"/>
        <v>3.99</v>
      </c>
      <c r="H3377" t="s">
        <v>24</v>
      </c>
      <c r="I3377" t="s">
        <v>58</v>
      </c>
    </row>
    <row r="3378" spans="2:9" x14ac:dyDescent="0.2">
      <c r="B3378" t="s">
        <v>5242</v>
      </c>
      <c r="C3378" t="s">
        <v>5147</v>
      </c>
      <c r="D3378" t="s">
        <v>81</v>
      </c>
      <c r="E3378">
        <v>0.58499999999999996</v>
      </c>
      <c r="F3378">
        <v>3.99</v>
      </c>
      <c r="G3378">
        <f t="shared" si="52"/>
        <v>2.3341500000000002</v>
      </c>
      <c r="H3378" t="s">
        <v>24</v>
      </c>
      <c r="I3378" t="s">
        <v>58</v>
      </c>
    </row>
    <row r="3379" spans="2:9" x14ac:dyDescent="0.2">
      <c r="B3379" t="s">
        <v>5243</v>
      </c>
      <c r="C3379" t="s">
        <v>5147</v>
      </c>
      <c r="D3379" t="s">
        <v>5244</v>
      </c>
      <c r="E3379">
        <v>1</v>
      </c>
      <c r="F3379">
        <v>23.49</v>
      </c>
      <c r="G3379">
        <f t="shared" si="52"/>
        <v>23.49</v>
      </c>
      <c r="H3379" t="s">
        <v>24</v>
      </c>
      <c r="I3379" t="s">
        <v>58</v>
      </c>
    </row>
    <row r="3380" spans="2:9" x14ac:dyDescent="0.2">
      <c r="B3380" t="s">
        <v>5245</v>
      </c>
      <c r="C3380" t="s">
        <v>5147</v>
      </c>
      <c r="D3380" t="s">
        <v>5151</v>
      </c>
      <c r="E3380">
        <v>2</v>
      </c>
      <c r="F3380">
        <v>2.39</v>
      </c>
      <c r="G3380">
        <f t="shared" si="52"/>
        <v>4.78</v>
      </c>
      <c r="H3380" t="s">
        <v>24</v>
      </c>
      <c r="I3380" t="s">
        <v>58</v>
      </c>
    </row>
    <row r="3381" spans="2:9" x14ac:dyDescent="0.2">
      <c r="B3381" t="s">
        <v>5246</v>
      </c>
      <c r="C3381" t="s">
        <v>5147</v>
      </c>
      <c r="D3381" t="s">
        <v>5247</v>
      </c>
      <c r="E3381">
        <v>1</v>
      </c>
      <c r="F3381">
        <v>21.69</v>
      </c>
      <c r="G3381">
        <f t="shared" si="52"/>
        <v>21.69</v>
      </c>
      <c r="H3381" t="s">
        <v>24</v>
      </c>
      <c r="I3381" t="s">
        <v>58</v>
      </c>
    </row>
    <row r="3382" spans="2:9" x14ac:dyDescent="0.2">
      <c r="B3382" t="s">
        <v>5248</v>
      </c>
      <c r="C3382" t="s">
        <v>5147</v>
      </c>
      <c r="D3382" t="s">
        <v>5247</v>
      </c>
      <c r="E3382">
        <v>1</v>
      </c>
      <c r="F3382">
        <v>21.69</v>
      </c>
      <c r="G3382">
        <f t="shared" si="52"/>
        <v>21.69</v>
      </c>
      <c r="H3382" t="s">
        <v>24</v>
      </c>
      <c r="I3382" t="s">
        <v>58</v>
      </c>
    </row>
    <row r="3383" spans="2:9" x14ac:dyDescent="0.2">
      <c r="B3383" t="s">
        <v>5249</v>
      </c>
      <c r="C3383" t="s">
        <v>5147</v>
      </c>
      <c r="D3383" t="s">
        <v>5250</v>
      </c>
      <c r="E3383">
        <v>1</v>
      </c>
      <c r="F3383">
        <v>15.59</v>
      </c>
      <c r="G3383">
        <f t="shared" si="52"/>
        <v>15.59</v>
      </c>
      <c r="H3383" t="s">
        <v>25</v>
      </c>
      <c r="I3383" t="s">
        <v>58</v>
      </c>
    </row>
    <row r="3384" spans="2:9" x14ac:dyDescent="0.2">
      <c r="B3384" t="s">
        <v>5251</v>
      </c>
      <c r="C3384" t="s">
        <v>5147</v>
      </c>
      <c r="D3384" t="s">
        <v>5252</v>
      </c>
      <c r="E3384">
        <v>1</v>
      </c>
      <c r="F3384">
        <v>15.99</v>
      </c>
      <c r="G3384">
        <f t="shared" si="52"/>
        <v>15.99</v>
      </c>
      <c r="H3384" t="s">
        <v>24</v>
      </c>
      <c r="I3384" t="s">
        <v>58</v>
      </c>
    </row>
    <row r="3385" spans="2:9" x14ac:dyDescent="0.2">
      <c r="B3385" t="s">
        <v>5253</v>
      </c>
      <c r="C3385" t="s">
        <v>5147</v>
      </c>
      <c r="D3385" t="s">
        <v>5254</v>
      </c>
      <c r="E3385">
        <v>1</v>
      </c>
      <c r="F3385">
        <v>19.989999999999998</v>
      </c>
      <c r="G3385">
        <f t="shared" si="52"/>
        <v>19.989999999999998</v>
      </c>
      <c r="H3385" t="s">
        <v>24</v>
      </c>
      <c r="I3385" t="s">
        <v>58</v>
      </c>
    </row>
    <row r="3386" spans="2:9" x14ac:dyDescent="0.2">
      <c r="B3386" t="s">
        <v>5255</v>
      </c>
      <c r="C3386" t="s">
        <v>5147</v>
      </c>
      <c r="D3386" t="s">
        <v>5256</v>
      </c>
      <c r="E3386">
        <v>1</v>
      </c>
      <c r="F3386">
        <v>4.3899999999999997</v>
      </c>
      <c r="G3386">
        <f t="shared" si="52"/>
        <v>4.3899999999999997</v>
      </c>
      <c r="H3386" t="s">
        <v>24</v>
      </c>
      <c r="I3386" t="s">
        <v>58</v>
      </c>
    </row>
    <row r="3387" spans="2:9" x14ac:dyDescent="0.2">
      <c r="B3387" t="s">
        <v>5257</v>
      </c>
      <c r="C3387" t="s">
        <v>5147</v>
      </c>
      <c r="D3387" t="s">
        <v>5258</v>
      </c>
      <c r="E3387">
        <v>1</v>
      </c>
      <c r="F3387">
        <v>12.99</v>
      </c>
      <c r="G3387">
        <f t="shared" si="52"/>
        <v>12.99</v>
      </c>
      <c r="H3387" t="s">
        <v>25</v>
      </c>
      <c r="I3387" t="s">
        <v>58</v>
      </c>
    </row>
    <row r="3388" spans="2:9" x14ac:dyDescent="0.2">
      <c r="B3388" t="s">
        <v>5259</v>
      </c>
      <c r="C3388" t="s">
        <v>5147</v>
      </c>
      <c r="D3388" t="s">
        <v>5260</v>
      </c>
      <c r="E3388">
        <v>1</v>
      </c>
      <c r="F3388">
        <v>3.99</v>
      </c>
      <c r="G3388">
        <f t="shared" si="52"/>
        <v>3.99</v>
      </c>
      <c r="H3388" t="s">
        <v>24</v>
      </c>
      <c r="I3388" t="s">
        <v>58</v>
      </c>
    </row>
    <row r="3389" spans="2:9" x14ac:dyDescent="0.2">
      <c r="B3389" t="s">
        <v>5261</v>
      </c>
      <c r="C3389" t="s">
        <v>5147</v>
      </c>
      <c r="D3389" t="s">
        <v>5262</v>
      </c>
      <c r="E3389">
        <v>1</v>
      </c>
      <c r="F3389">
        <v>14.99</v>
      </c>
      <c r="G3389">
        <f t="shared" si="52"/>
        <v>14.99</v>
      </c>
      <c r="H3389" t="s">
        <v>24</v>
      </c>
      <c r="I3389" t="s">
        <v>58</v>
      </c>
    </row>
    <row r="3390" spans="2:9" x14ac:dyDescent="0.2">
      <c r="B3390" t="s">
        <v>5263</v>
      </c>
      <c r="C3390" t="s">
        <v>5264</v>
      </c>
      <c r="D3390" t="s">
        <v>5148</v>
      </c>
      <c r="E3390">
        <v>1</v>
      </c>
      <c r="F3390">
        <v>89.99</v>
      </c>
      <c r="G3390">
        <f t="shared" si="52"/>
        <v>89.99</v>
      </c>
      <c r="H3390" t="s">
        <v>24</v>
      </c>
      <c r="I3390" t="s">
        <v>58</v>
      </c>
    </row>
    <row r="3391" spans="2:9" x14ac:dyDescent="0.2">
      <c r="B3391" t="s">
        <v>5265</v>
      </c>
      <c r="C3391" t="s">
        <v>5264</v>
      </c>
      <c r="D3391" t="s">
        <v>5266</v>
      </c>
      <c r="E3391">
        <v>6</v>
      </c>
      <c r="F3391">
        <v>9.89</v>
      </c>
      <c r="G3391">
        <f t="shared" si="52"/>
        <v>59.34</v>
      </c>
      <c r="H3391" t="s">
        <v>24</v>
      </c>
      <c r="I3391" t="s">
        <v>58</v>
      </c>
    </row>
    <row r="3392" spans="2:9" x14ac:dyDescent="0.2">
      <c r="B3392" t="s">
        <v>5267</v>
      </c>
      <c r="C3392" t="s">
        <v>5264</v>
      </c>
      <c r="D3392" t="s">
        <v>5158</v>
      </c>
      <c r="E3392">
        <v>1</v>
      </c>
      <c r="F3392">
        <v>17.989999999999998</v>
      </c>
      <c r="G3392">
        <f t="shared" si="52"/>
        <v>17.989999999999998</v>
      </c>
      <c r="H3392" t="s">
        <v>24</v>
      </c>
      <c r="I3392" t="s">
        <v>58</v>
      </c>
    </row>
    <row r="3393" spans="2:9" x14ac:dyDescent="0.2">
      <c r="B3393" t="s">
        <v>5268</v>
      </c>
      <c r="C3393" t="s">
        <v>5264</v>
      </c>
      <c r="D3393" t="s">
        <v>5211</v>
      </c>
      <c r="E3393">
        <v>1</v>
      </c>
      <c r="F3393">
        <v>7.99</v>
      </c>
      <c r="G3393">
        <f t="shared" si="52"/>
        <v>7.99</v>
      </c>
      <c r="H3393" t="s">
        <v>24</v>
      </c>
      <c r="I3393" t="s">
        <v>58</v>
      </c>
    </row>
    <row r="3394" spans="2:9" x14ac:dyDescent="0.2">
      <c r="B3394" t="s">
        <v>5269</v>
      </c>
      <c r="C3394" t="s">
        <v>5264</v>
      </c>
      <c r="D3394" t="s">
        <v>5211</v>
      </c>
      <c r="E3394">
        <v>1</v>
      </c>
      <c r="F3394">
        <v>7.99</v>
      </c>
      <c r="G3394">
        <f t="shared" si="52"/>
        <v>7.99</v>
      </c>
      <c r="H3394" t="s">
        <v>24</v>
      </c>
      <c r="I3394" t="s">
        <v>58</v>
      </c>
    </row>
    <row r="3395" spans="2:9" x14ac:dyDescent="0.2">
      <c r="B3395" t="s">
        <v>5270</v>
      </c>
      <c r="C3395" t="s">
        <v>5264</v>
      </c>
      <c r="D3395" t="s">
        <v>5271</v>
      </c>
      <c r="E3395">
        <v>1</v>
      </c>
      <c r="F3395">
        <v>4.99</v>
      </c>
      <c r="G3395">
        <f t="shared" si="52"/>
        <v>4.99</v>
      </c>
      <c r="H3395" t="s">
        <v>24</v>
      </c>
      <c r="I3395" t="s">
        <v>58</v>
      </c>
    </row>
    <row r="3396" spans="2:9" x14ac:dyDescent="0.2">
      <c r="B3396" t="s">
        <v>5272</v>
      </c>
      <c r="C3396" t="s">
        <v>5264</v>
      </c>
      <c r="D3396" t="s">
        <v>5273</v>
      </c>
      <c r="E3396">
        <v>1</v>
      </c>
      <c r="F3396">
        <v>13.99</v>
      </c>
      <c r="G3396">
        <f t="shared" si="52"/>
        <v>13.99</v>
      </c>
      <c r="H3396" t="s">
        <v>24</v>
      </c>
      <c r="I3396" t="s">
        <v>58</v>
      </c>
    </row>
    <row r="3397" spans="2:9" x14ac:dyDescent="0.2">
      <c r="B3397" t="s">
        <v>5274</v>
      </c>
      <c r="C3397" t="s">
        <v>5264</v>
      </c>
      <c r="D3397" t="s">
        <v>5187</v>
      </c>
      <c r="E3397">
        <v>1</v>
      </c>
      <c r="F3397">
        <v>13.99</v>
      </c>
      <c r="G3397">
        <f t="shared" ref="G3397:G3460" si="53">E3397*F3397</f>
        <v>13.99</v>
      </c>
      <c r="H3397" t="s">
        <v>24</v>
      </c>
      <c r="I3397" t="s">
        <v>58</v>
      </c>
    </row>
    <row r="3398" spans="2:9" x14ac:dyDescent="0.2">
      <c r="B3398" t="s">
        <v>5275</v>
      </c>
      <c r="C3398" t="s">
        <v>5264</v>
      </c>
      <c r="D3398" t="s">
        <v>3967</v>
      </c>
      <c r="E3398">
        <v>1</v>
      </c>
      <c r="F3398">
        <v>8.99</v>
      </c>
      <c r="G3398">
        <f t="shared" si="53"/>
        <v>8.99</v>
      </c>
      <c r="H3398" t="s">
        <v>24</v>
      </c>
      <c r="I3398" t="s">
        <v>58</v>
      </c>
    </row>
    <row r="3399" spans="2:9" x14ac:dyDescent="0.2">
      <c r="B3399" t="s">
        <v>5276</v>
      </c>
      <c r="C3399" t="s">
        <v>5264</v>
      </c>
      <c r="D3399" t="s">
        <v>5277</v>
      </c>
      <c r="E3399">
        <v>1</v>
      </c>
      <c r="F3399">
        <v>12.49</v>
      </c>
      <c r="G3399">
        <f t="shared" si="53"/>
        <v>12.49</v>
      </c>
      <c r="H3399" t="s">
        <v>24</v>
      </c>
      <c r="I3399" t="s">
        <v>58</v>
      </c>
    </row>
    <row r="3400" spans="2:9" x14ac:dyDescent="0.2">
      <c r="B3400" t="s">
        <v>5278</v>
      </c>
      <c r="C3400" t="s">
        <v>5264</v>
      </c>
      <c r="D3400" t="s">
        <v>5277</v>
      </c>
      <c r="E3400">
        <v>1</v>
      </c>
      <c r="F3400">
        <v>12.49</v>
      </c>
      <c r="G3400">
        <f t="shared" si="53"/>
        <v>12.49</v>
      </c>
      <c r="H3400" t="s">
        <v>24</v>
      </c>
      <c r="I3400" t="s">
        <v>58</v>
      </c>
    </row>
    <row r="3401" spans="2:9" x14ac:dyDescent="0.2">
      <c r="B3401" t="s">
        <v>5279</v>
      </c>
      <c r="C3401" t="s">
        <v>5264</v>
      </c>
      <c r="D3401" t="s">
        <v>5280</v>
      </c>
      <c r="E3401">
        <v>1</v>
      </c>
      <c r="F3401">
        <v>23.99</v>
      </c>
      <c r="G3401">
        <f t="shared" si="53"/>
        <v>23.99</v>
      </c>
      <c r="H3401" t="s">
        <v>24</v>
      </c>
      <c r="I3401" t="s">
        <v>58</v>
      </c>
    </row>
    <row r="3402" spans="2:9" x14ac:dyDescent="0.2">
      <c r="B3402" t="s">
        <v>5281</v>
      </c>
      <c r="C3402" t="s">
        <v>5264</v>
      </c>
      <c r="D3402" t="s">
        <v>5282</v>
      </c>
      <c r="E3402">
        <v>1</v>
      </c>
      <c r="F3402">
        <v>29.5</v>
      </c>
      <c r="G3402">
        <f t="shared" si="53"/>
        <v>29.5</v>
      </c>
      <c r="H3402" t="s">
        <v>24</v>
      </c>
      <c r="I3402" t="s">
        <v>58</v>
      </c>
    </row>
    <row r="3403" spans="2:9" x14ac:dyDescent="0.2">
      <c r="B3403" t="s">
        <v>5283</v>
      </c>
      <c r="C3403" t="s">
        <v>5264</v>
      </c>
      <c r="D3403" t="s">
        <v>5170</v>
      </c>
      <c r="E3403">
        <v>0.35199999999999998</v>
      </c>
      <c r="F3403">
        <v>43.99</v>
      </c>
      <c r="G3403">
        <f t="shared" si="53"/>
        <v>15.48448</v>
      </c>
      <c r="H3403" t="s">
        <v>24</v>
      </c>
      <c r="I3403" t="s">
        <v>58</v>
      </c>
    </row>
    <row r="3404" spans="2:9" x14ac:dyDescent="0.2">
      <c r="B3404" t="s">
        <v>5284</v>
      </c>
      <c r="C3404" t="s">
        <v>5264</v>
      </c>
      <c r="D3404" t="s">
        <v>5166</v>
      </c>
      <c r="E3404">
        <v>1</v>
      </c>
      <c r="F3404">
        <v>11.89</v>
      </c>
      <c r="G3404">
        <f t="shared" si="53"/>
        <v>11.89</v>
      </c>
      <c r="H3404" t="s">
        <v>24</v>
      </c>
      <c r="I3404" t="s">
        <v>58</v>
      </c>
    </row>
    <row r="3405" spans="2:9" x14ac:dyDescent="0.2">
      <c r="B3405" t="s">
        <v>5285</v>
      </c>
      <c r="C3405" t="s">
        <v>5264</v>
      </c>
      <c r="D3405" t="s">
        <v>5286</v>
      </c>
      <c r="E3405">
        <v>1</v>
      </c>
      <c r="F3405">
        <v>19.989999999999998</v>
      </c>
      <c r="G3405">
        <f t="shared" si="53"/>
        <v>19.989999999999998</v>
      </c>
      <c r="H3405" t="s">
        <v>24</v>
      </c>
      <c r="I3405" t="s">
        <v>58</v>
      </c>
    </row>
    <row r="3406" spans="2:9" x14ac:dyDescent="0.2">
      <c r="B3406" t="s">
        <v>5287</v>
      </c>
      <c r="C3406" t="s">
        <v>5264</v>
      </c>
      <c r="D3406" t="s">
        <v>5194</v>
      </c>
      <c r="E3406">
        <v>1</v>
      </c>
      <c r="F3406">
        <v>18.989999999999998</v>
      </c>
      <c r="G3406">
        <f t="shared" si="53"/>
        <v>18.989999999999998</v>
      </c>
      <c r="H3406" t="s">
        <v>24</v>
      </c>
      <c r="I3406" t="s">
        <v>58</v>
      </c>
    </row>
    <row r="3407" spans="2:9" x14ac:dyDescent="0.2">
      <c r="B3407" t="s">
        <v>5288</v>
      </c>
      <c r="C3407" t="s">
        <v>5264</v>
      </c>
      <c r="D3407" t="s">
        <v>5203</v>
      </c>
      <c r="E3407">
        <v>1</v>
      </c>
      <c r="F3407">
        <v>16.59</v>
      </c>
      <c r="G3407">
        <f t="shared" si="53"/>
        <v>16.59</v>
      </c>
      <c r="H3407" t="s">
        <v>24</v>
      </c>
      <c r="I3407" t="s">
        <v>58</v>
      </c>
    </row>
    <row r="3408" spans="2:9" x14ac:dyDescent="0.2">
      <c r="B3408" t="s">
        <v>5289</v>
      </c>
      <c r="C3408" t="s">
        <v>5264</v>
      </c>
      <c r="D3408" t="s">
        <v>5290</v>
      </c>
      <c r="E3408">
        <v>1</v>
      </c>
      <c r="F3408">
        <v>17.29</v>
      </c>
      <c r="G3408">
        <f t="shared" si="53"/>
        <v>17.29</v>
      </c>
      <c r="H3408" t="s">
        <v>24</v>
      </c>
      <c r="I3408" t="s">
        <v>58</v>
      </c>
    </row>
    <row r="3409" spans="2:9" x14ac:dyDescent="0.2">
      <c r="B3409" t="s">
        <v>5291</v>
      </c>
      <c r="C3409" t="s">
        <v>5264</v>
      </c>
      <c r="D3409" t="s">
        <v>5164</v>
      </c>
      <c r="E3409">
        <v>2</v>
      </c>
      <c r="F3409">
        <v>16.989999999999998</v>
      </c>
      <c r="G3409">
        <f t="shared" si="53"/>
        <v>33.979999999999997</v>
      </c>
      <c r="H3409" t="s">
        <v>24</v>
      </c>
      <c r="I3409" t="s">
        <v>58</v>
      </c>
    </row>
    <row r="3410" spans="2:9" x14ac:dyDescent="0.2">
      <c r="B3410" t="s">
        <v>5292</v>
      </c>
      <c r="C3410" t="s">
        <v>5264</v>
      </c>
      <c r="D3410" t="s">
        <v>5293</v>
      </c>
      <c r="E3410">
        <v>1</v>
      </c>
      <c r="F3410">
        <v>10.49</v>
      </c>
      <c r="G3410">
        <f t="shared" si="53"/>
        <v>10.49</v>
      </c>
      <c r="H3410" t="s">
        <v>24</v>
      </c>
      <c r="I3410" t="s">
        <v>58</v>
      </c>
    </row>
    <row r="3411" spans="2:9" x14ac:dyDescent="0.2">
      <c r="B3411" t="s">
        <v>5294</v>
      </c>
      <c r="C3411" t="s">
        <v>5264</v>
      </c>
      <c r="D3411" t="s">
        <v>5295</v>
      </c>
      <c r="E3411">
        <v>1</v>
      </c>
      <c r="F3411">
        <v>3.99</v>
      </c>
      <c r="G3411">
        <f t="shared" si="53"/>
        <v>3.99</v>
      </c>
      <c r="H3411" t="s">
        <v>24</v>
      </c>
      <c r="I3411" t="s">
        <v>58</v>
      </c>
    </row>
    <row r="3412" spans="2:9" x14ac:dyDescent="0.2">
      <c r="B3412" t="s">
        <v>5296</v>
      </c>
      <c r="C3412" t="s">
        <v>5264</v>
      </c>
      <c r="D3412" t="s">
        <v>5217</v>
      </c>
      <c r="E3412">
        <v>1</v>
      </c>
      <c r="F3412">
        <v>3.99</v>
      </c>
      <c r="G3412">
        <f t="shared" si="53"/>
        <v>3.99</v>
      </c>
      <c r="H3412" t="s">
        <v>24</v>
      </c>
      <c r="I3412" t="s">
        <v>58</v>
      </c>
    </row>
    <row r="3413" spans="2:9" x14ac:dyDescent="0.2">
      <c r="B3413" t="s">
        <v>5297</v>
      </c>
      <c r="C3413" t="s">
        <v>5264</v>
      </c>
      <c r="D3413" t="s">
        <v>5298</v>
      </c>
      <c r="E3413">
        <v>1</v>
      </c>
      <c r="F3413">
        <v>4.49</v>
      </c>
      <c r="G3413">
        <f t="shared" si="53"/>
        <v>4.49</v>
      </c>
      <c r="H3413" t="s">
        <v>24</v>
      </c>
      <c r="I3413" t="s">
        <v>58</v>
      </c>
    </row>
    <row r="3414" spans="2:9" x14ac:dyDescent="0.2">
      <c r="B3414" t="s">
        <v>5299</v>
      </c>
      <c r="C3414" t="s">
        <v>5264</v>
      </c>
      <c r="D3414" t="s">
        <v>5298</v>
      </c>
      <c r="E3414">
        <v>1</v>
      </c>
      <c r="F3414">
        <v>4.49</v>
      </c>
      <c r="G3414">
        <f t="shared" si="53"/>
        <v>4.49</v>
      </c>
      <c r="H3414" t="s">
        <v>24</v>
      </c>
      <c r="I3414" t="s">
        <v>58</v>
      </c>
    </row>
    <row r="3415" spans="2:9" x14ac:dyDescent="0.2">
      <c r="B3415" t="s">
        <v>5300</v>
      </c>
      <c r="C3415" t="s">
        <v>5264</v>
      </c>
      <c r="D3415" t="s">
        <v>5301</v>
      </c>
      <c r="E3415">
        <v>1</v>
      </c>
      <c r="F3415">
        <v>5.29</v>
      </c>
      <c r="G3415">
        <f t="shared" si="53"/>
        <v>5.29</v>
      </c>
      <c r="H3415" t="s">
        <v>24</v>
      </c>
      <c r="I3415" t="s">
        <v>58</v>
      </c>
    </row>
    <row r="3416" spans="2:9" x14ac:dyDescent="0.2">
      <c r="B3416" t="s">
        <v>5302</v>
      </c>
      <c r="C3416" t="s">
        <v>5264</v>
      </c>
      <c r="D3416" t="s">
        <v>5217</v>
      </c>
      <c r="E3416">
        <v>1</v>
      </c>
      <c r="F3416">
        <v>3.99</v>
      </c>
      <c r="G3416">
        <f t="shared" si="53"/>
        <v>3.99</v>
      </c>
      <c r="H3416" t="s">
        <v>24</v>
      </c>
      <c r="I3416" t="s">
        <v>58</v>
      </c>
    </row>
    <row r="3417" spans="2:9" x14ac:dyDescent="0.2">
      <c r="B3417" t="s">
        <v>5303</v>
      </c>
      <c r="C3417" t="s">
        <v>5264</v>
      </c>
      <c r="D3417" t="s">
        <v>5217</v>
      </c>
      <c r="E3417">
        <v>1</v>
      </c>
      <c r="F3417">
        <v>3.99</v>
      </c>
      <c r="G3417">
        <f t="shared" si="53"/>
        <v>3.99</v>
      </c>
      <c r="H3417" t="s">
        <v>24</v>
      </c>
      <c r="I3417" t="s">
        <v>58</v>
      </c>
    </row>
    <row r="3418" spans="2:9" x14ac:dyDescent="0.2">
      <c r="B3418" t="s">
        <v>5304</v>
      </c>
      <c r="C3418" t="s">
        <v>5264</v>
      </c>
      <c r="D3418" t="s">
        <v>5214</v>
      </c>
      <c r="E3418">
        <v>1</v>
      </c>
      <c r="F3418">
        <v>8.2899999999999991</v>
      </c>
      <c r="G3418">
        <f t="shared" si="53"/>
        <v>8.2899999999999991</v>
      </c>
      <c r="H3418" t="s">
        <v>24</v>
      </c>
      <c r="I3418" t="s">
        <v>58</v>
      </c>
    </row>
    <row r="3419" spans="2:9" x14ac:dyDescent="0.2">
      <c r="B3419" t="s">
        <v>5305</v>
      </c>
      <c r="C3419" t="s">
        <v>5264</v>
      </c>
      <c r="D3419" t="s">
        <v>5214</v>
      </c>
      <c r="E3419">
        <v>1</v>
      </c>
      <c r="F3419">
        <v>8.2899999999999991</v>
      </c>
      <c r="G3419">
        <f t="shared" si="53"/>
        <v>8.2899999999999991</v>
      </c>
      <c r="H3419" t="s">
        <v>24</v>
      </c>
      <c r="I3419" t="s">
        <v>58</v>
      </c>
    </row>
    <row r="3420" spans="2:9" x14ac:dyDescent="0.2">
      <c r="B3420" t="s">
        <v>5306</v>
      </c>
      <c r="C3420" t="s">
        <v>5264</v>
      </c>
      <c r="D3420" t="s">
        <v>5214</v>
      </c>
      <c r="E3420">
        <v>1</v>
      </c>
      <c r="F3420">
        <v>8.2899999999999991</v>
      </c>
      <c r="G3420">
        <f t="shared" si="53"/>
        <v>8.2899999999999991</v>
      </c>
      <c r="H3420" t="s">
        <v>24</v>
      </c>
      <c r="I3420" t="s">
        <v>58</v>
      </c>
    </row>
    <row r="3421" spans="2:9" x14ac:dyDescent="0.2">
      <c r="B3421" t="s">
        <v>5307</v>
      </c>
      <c r="C3421" t="s">
        <v>5264</v>
      </c>
      <c r="D3421" t="s">
        <v>5308</v>
      </c>
      <c r="E3421">
        <v>1</v>
      </c>
      <c r="F3421">
        <v>2.59</v>
      </c>
      <c r="G3421">
        <f t="shared" si="53"/>
        <v>2.59</v>
      </c>
      <c r="H3421" t="s">
        <v>24</v>
      </c>
      <c r="I3421" t="s">
        <v>58</v>
      </c>
    </row>
    <row r="3422" spans="2:9" x14ac:dyDescent="0.2">
      <c r="B3422" t="s">
        <v>5309</v>
      </c>
      <c r="C3422" t="s">
        <v>5264</v>
      </c>
      <c r="D3422" t="s">
        <v>5209</v>
      </c>
      <c r="E3422">
        <v>1</v>
      </c>
      <c r="F3422">
        <v>4.99</v>
      </c>
      <c r="G3422">
        <f t="shared" si="53"/>
        <v>4.99</v>
      </c>
      <c r="H3422" t="s">
        <v>24</v>
      </c>
      <c r="I3422" t="s">
        <v>58</v>
      </c>
    </row>
    <row r="3423" spans="2:9" x14ac:dyDescent="0.2">
      <c r="B3423" t="s">
        <v>5310</v>
      </c>
      <c r="C3423" t="s">
        <v>5264</v>
      </c>
      <c r="D3423" t="s">
        <v>5209</v>
      </c>
      <c r="E3423">
        <v>1</v>
      </c>
      <c r="F3423">
        <v>4.99</v>
      </c>
      <c r="G3423">
        <f t="shared" si="53"/>
        <v>4.99</v>
      </c>
      <c r="H3423" t="s">
        <v>24</v>
      </c>
      <c r="I3423" t="s">
        <v>58</v>
      </c>
    </row>
    <row r="3424" spans="2:9" x14ac:dyDescent="0.2">
      <c r="B3424" t="s">
        <v>5311</v>
      </c>
      <c r="C3424" t="s">
        <v>5264</v>
      </c>
      <c r="D3424" t="s">
        <v>5312</v>
      </c>
      <c r="E3424">
        <v>8</v>
      </c>
      <c r="F3424">
        <v>2.89</v>
      </c>
      <c r="G3424">
        <f t="shared" si="53"/>
        <v>23.12</v>
      </c>
      <c r="H3424" t="s">
        <v>24</v>
      </c>
      <c r="I3424" t="s">
        <v>58</v>
      </c>
    </row>
    <row r="3425" spans="2:9" x14ac:dyDescent="0.2">
      <c r="B3425" t="s">
        <v>5313</v>
      </c>
      <c r="C3425" t="s">
        <v>5264</v>
      </c>
      <c r="D3425" t="s">
        <v>5244</v>
      </c>
      <c r="E3425">
        <v>1</v>
      </c>
      <c r="F3425">
        <v>23.49</v>
      </c>
      <c r="G3425">
        <f t="shared" si="53"/>
        <v>23.49</v>
      </c>
      <c r="H3425" t="s">
        <v>24</v>
      </c>
      <c r="I3425" t="s">
        <v>58</v>
      </c>
    </row>
    <row r="3426" spans="2:9" x14ac:dyDescent="0.2">
      <c r="B3426" t="s">
        <v>5314</v>
      </c>
      <c r="C3426" t="s">
        <v>5264</v>
      </c>
      <c r="D3426" t="s">
        <v>5247</v>
      </c>
      <c r="E3426">
        <v>1</v>
      </c>
      <c r="F3426">
        <v>21.69</v>
      </c>
      <c r="G3426">
        <f t="shared" si="53"/>
        <v>21.69</v>
      </c>
      <c r="H3426" t="s">
        <v>24</v>
      </c>
      <c r="I3426" t="s">
        <v>58</v>
      </c>
    </row>
    <row r="3427" spans="2:9" x14ac:dyDescent="0.2">
      <c r="B3427" t="s">
        <v>5315</v>
      </c>
      <c r="C3427" t="s">
        <v>5264</v>
      </c>
      <c r="D3427" t="s">
        <v>5200</v>
      </c>
      <c r="E3427">
        <v>1</v>
      </c>
      <c r="F3427">
        <v>3.29</v>
      </c>
      <c r="G3427">
        <f t="shared" si="53"/>
        <v>3.29</v>
      </c>
      <c r="H3427" t="s">
        <v>24</v>
      </c>
      <c r="I3427" t="s">
        <v>58</v>
      </c>
    </row>
    <row r="3428" spans="2:9" x14ac:dyDescent="0.2">
      <c r="B3428" t="s">
        <v>5316</v>
      </c>
      <c r="C3428" t="s">
        <v>5264</v>
      </c>
      <c r="D3428" t="s">
        <v>5200</v>
      </c>
      <c r="E3428">
        <v>1</v>
      </c>
      <c r="F3428">
        <v>3.29</v>
      </c>
      <c r="G3428">
        <f t="shared" si="53"/>
        <v>3.29</v>
      </c>
      <c r="H3428" t="s">
        <v>24</v>
      </c>
      <c r="I3428" t="s">
        <v>58</v>
      </c>
    </row>
    <row r="3429" spans="2:9" x14ac:dyDescent="0.2">
      <c r="B3429" t="s">
        <v>5317</v>
      </c>
      <c r="C3429" t="s">
        <v>5264</v>
      </c>
      <c r="D3429" t="s">
        <v>5308</v>
      </c>
      <c r="E3429">
        <v>1</v>
      </c>
      <c r="F3429">
        <v>2.59</v>
      </c>
      <c r="G3429">
        <f t="shared" si="53"/>
        <v>2.59</v>
      </c>
      <c r="H3429" t="s">
        <v>24</v>
      </c>
      <c r="I3429" t="s">
        <v>58</v>
      </c>
    </row>
    <row r="3430" spans="2:9" x14ac:dyDescent="0.2">
      <c r="B3430" t="s">
        <v>5318</v>
      </c>
      <c r="C3430" t="s">
        <v>5264</v>
      </c>
      <c r="D3430" t="s">
        <v>5319</v>
      </c>
      <c r="E3430">
        <v>1</v>
      </c>
      <c r="F3430">
        <v>12.99</v>
      </c>
      <c r="G3430">
        <f t="shared" si="53"/>
        <v>12.99</v>
      </c>
      <c r="H3430" t="s">
        <v>24</v>
      </c>
      <c r="I3430" t="s">
        <v>58</v>
      </c>
    </row>
    <row r="3431" spans="2:9" x14ac:dyDescent="0.2">
      <c r="B3431" t="s">
        <v>5320</v>
      </c>
      <c r="C3431" t="s">
        <v>5264</v>
      </c>
      <c r="D3431" t="s">
        <v>5224</v>
      </c>
      <c r="E3431">
        <v>1</v>
      </c>
      <c r="F3431">
        <v>23.99</v>
      </c>
      <c r="G3431">
        <f t="shared" si="53"/>
        <v>23.99</v>
      </c>
      <c r="H3431" t="s">
        <v>24</v>
      </c>
      <c r="I3431" t="s">
        <v>58</v>
      </c>
    </row>
    <row r="3432" spans="2:9" x14ac:dyDescent="0.2">
      <c r="B3432" t="s">
        <v>5321</v>
      </c>
      <c r="C3432" t="s">
        <v>5264</v>
      </c>
      <c r="D3432" t="s">
        <v>5322</v>
      </c>
      <c r="E3432">
        <v>1</v>
      </c>
      <c r="F3432">
        <v>23.99</v>
      </c>
      <c r="G3432">
        <f t="shared" si="53"/>
        <v>23.99</v>
      </c>
      <c r="H3432" t="s">
        <v>24</v>
      </c>
      <c r="I3432" t="s">
        <v>58</v>
      </c>
    </row>
    <row r="3433" spans="2:9" x14ac:dyDescent="0.2">
      <c r="B3433" t="s">
        <v>5323</v>
      </c>
      <c r="C3433" t="s">
        <v>5264</v>
      </c>
      <c r="D3433" t="s">
        <v>5322</v>
      </c>
      <c r="E3433">
        <v>1</v>
      </c>
      <c r="F3433">
        <v>23.99</v>
      </c>
      <c r="G3433">
        <f t="shared" si="53"/>
        <v>23.99</v>
      </c>
      <c r="H3433" t="s">
        <v>24</v>
      </c>
      <c r="I3433" t="s">
        <v>58</v>
      </c>
    </row>
    <row r="3434" spans="2:9" x14ac:dyDescent="0.2">
      <c r="B3434" t="s">
        <v>5324</v>
      </c>
      <c r="C3434" t="s">
        <v>5264</v>
      </c>
      <c r="D3434" t="s">
        <v>5325</v>
      </c>
      <c r="E3434">
        <v>1</v>
      </c>
      <c r="F3434">
        <v>23.99</v>
      </c>
      <c r="G3434">
        <f t="shared" si="53"/>
        <v>23.99</v>
      </c>
      <c r="H3434" t="s">
        <v>24</v>
      </c>
      <c r="I3434" t="s">
        <v>58</v>
      </c>
    </row>
    <row r="3435" spans="2:9" x14ac:dyDescent="0.2">
      <c r="B3435" t="s">
        <v>5326</v>
      </c>
      <c r="C3435" t="s">
        <v>5264</v>
      </c>
      <c r="D3435" t="s">
        <v>5327</v>
      </c>
      <c r="E3435">
        <v>1</v>
      </c>
      <c r="F3435">
        <v>23.99</v>
      </c>
      <c r="G3435">
        <f t="shared" si="53"/>
        <v>23.99</v>
      </c>
      <c r="H3435" t="s">
        <v>24</v>
      </c>
      <c r="I3435" t="s">
        <v>58</v>
      </c>
    </row>
    <row r="3436" spans="2:9" x14ac:dyDescent="0.2">
      <c r="B3436" t="s">
        <v>5328</v>
      </c>
      <c r="C3436" t="s">
        <v>5264</v>
      </c>
      <c r="D3436" t="s">
        <v>5236</v>
      </c>
      <c r="E3436">
        <v>1</v>
      </c>
      <c r="F3436">
        <v>23.99</v>
      </c>
      <c r="G3436">
        <f t="shared" si="53"/>
        <v>23.99</v>
      </c>
      <c r="H3436" t="s">
        <v>24</v>
      </c>
      <c r="I3436" t="s">
        <v>58</v>
      </c>
    </row>
    <row r="3437" spans="2:9" x14ac:dyDescent="0.2">
      <c r="B3437" t="s">
        <v>5329</v>
      </c>
      <c r="C3437" t="s">
        <v>5264</v>
      </c>
      <c r="D3437" t="s">
        <v>5236</v>
      </c>
      <c r="E3437">
        <v>1</v>
      </c>
      <c r="F3437">
        <v>23.99</v>
      </c>
      <c r="G3437">
        <f t="shared" si="53"/>
        <v>23.99</v>
      </c>
      <c r="H3437" t="s">
        <v>24</v>
      </c>
      <c r="I3437" t="s">
        <v>58</v>
      </c>
    </row>
    <row r="3438" spans="2:9" x14ac:dyDescent="0.2">
      <c r="B3438" t="s">
        <v>5330</v>
      </c>
      <c r="C3438" t="s">
        <v>5264</v>
      </c>
      <c r="D3438" t="s">
        <v>5325</v>
      </c>
      <c r="E3438">
        <v>1</v>
      </c>
      <c r="F3438">
        <v>23.99</v>
      </c>
      <c r="G3438">
        <f t="shared" si="53"/>
        <v>23.99</v>
      </c>
      <c r="H3438" t="s">
        <v>24</v>
      </c>
      <c r="I3438" t="s">
        <v>58</v>
      </c>
    </row>
    <row r="3439" spans="2:9" x14ac:dyDescent="0.2">
      <c r="B3439" t="s">
        <v>5331</v>
      </c>
      <c r="C3439" t="s">
        <v>5264</v>
      </c>
      <c r="D3439" t="s">
        <v>5332</v>
      </c>
      <c r="E3439">
        <v>1</v>
      </c>
      <c r="F3439">
        <v>11.99</v>
      </c>
      <c r="G3439">
        <f t="shared" si="53"/>
        <v>11.99</v>
      </c>
      <c r="H3439" t="s">
        <v>24</v>
      </c>
      <c r="I3439" t="s">
        <v>58</v>
      </c>
    </row>
    <row r="3440" spans="2:9" x14ac:dyDescent="0.2">
      <c r="B3440" t="s">
        <v>5333</v>
      </c>
      <c r="C3440" t="s">
        <v>5264</v>
      </c>
      <c r="D3440" t="s">
        <v>5334</v>
      </c>
      <c r="E3440">
        <v>3</v>
      </c>
      <c r="F3440">
        <v>4.79</v>
      </c>
      <c r="G3440">
        <f t="shared" si="53"/>
        <v>14.370000000000001</v>
      </c>
      <c r="H3440" t="s">
        <v>24</v>
      </c>
      <c r="I3440" t="s">
        <v>58</v>
      </c>
    </row>
    <row r="3441" spans="2:9" x14ac:dyDescent="0.2">
      <c r="B3441" t="s">
        <v>5335</v>
      </c>
      <c r="C3441" t="s">
        <v>5264</v>
      </c>
      <c r="D3441" t="s">
        <v>5334</v>
      </c>
      <c r="E3441">
        <v>1</v>
      </c>
      <c r="F3441">
        <v>4.79</v>
      </c>
      <c r="G3441">
        <f t="shared" si="53"/>
        <v>4.79</v>
      </c>
      <c r="H3441" t="s">
        <v>24</v>
      </c>
      <c r="I3441" t="s">
        <v>58</v>
      </c>
    </row>
    <row r="3442" spans="2:9" x14ac:dyDescent="0.2">
      <c r="B3442" t="s">
        <v>5336</v>
      </c>
      <c r="C3442" t="s">
        <v>5264</v>
      </c>
      <c r="D3442" t="s">
        <v>5337</v>
      </c>
      <c r="E3442">
        <v>1</v>
      </c>
      <c r="F3442">
        <v>3.99</v>
      </c>
      <c r="G3442">
        <f t="shared" si="53"/>
        <v>3.99</v>
      </c>
      <c r="H3442" t="s">
        <v>24</v>
      </c>
      <c r="I3442" t="s">
        <v>58</v>
      </c>
    </row>
    <row r="3443" spans="2:9" x14ac:dyDescent="0.2">
      <c r="B3443" t="s">
        <v>5338</v>
      </c>
      <c r="C3443" t="s">
        <v>5264</v>
      </c>
      <c r="D3443" t="s">
        <v>5337</v>
      </c>
      <c r="E3443">
        <v>1</v>
      </c>
      <c r="F3443">
        <v>3.99</v>
      </c>
      <c r="G3443">
        <f t="shared" si="53"/>
        <v>3.99</v>
      </c>
      <c r="H3443" t="s">
        <v>24</v>
      </c>
      <c r="I3443" t="s">
        <v>58</v>
      </c>
    </row>
    <row r="3444" spans="2:9" x14ac:dyDescent="0.2">
      <c r="B3444" t="s">
        <v>5339</v>
      </c>
      <c r="C3444" t="s">
        <v>5264</v>
      </c>
      <c r="D3444" t="s">
        <v>5340</v>
      </c>
      <c r="E3444">
        <v>1</v>
      </c>
      <c r="F3444">
        <v>5.49</v>
      </c>
      <c r="G3444">
        <f t="shared" si="53"/>
        <v>5.49</v>
      </c>
      <c r="H3444" t="s">
        <v>24</v>
      </c>
      <c r="I3444" t="s">
        <v>58</v>
      </c>
    </row>
    <row r="3445" spans="2:9" x14ac:dyDescent="0.2">
      <c r="B3445" t="s">
        <v>5341</v>
      </c>
      <c r="C3445" t="s">
        <v>5264</v>
      </c>
      <c r="D3445" t="s">
        <v>5340</v>
      </c>
      <c r="E3445">
        <v>1</v>
      </c>
      <c r="F3445">
        <v>5.49</v>
      </c>
      <c r="G3445">
        <f t="shared" si="53"/>
        <v>5.49</v>
      </c>
      <c r="H3445" t="s">
        <v>24</v>
      </c>
      <c r="I3445" t="s">
        <v>58</v>
      </c>
    </row>
    <row r="3446" spans="2:9" x14ac:dyDescent="0.2">
      <c r="B3446" t="s">
        <v>5342</v>
      </c>
      <c r="C3446" t="s">
        <v>5264</v>
      </c>
      <c r="D3446" t="s">
        <v>38</v>
      </c>
      <c r="E3446">
        <v>1.0249999999999999</v>
      </c>
      <c r="F3446">
        <v>9.99</v>
      </c>
      <c r="G3446">
        <f t="shared" si="53"/>
        <v>10.239749999999999</v>
      </c>
      <c r="H3446" t="s">
        <v>24</v>
      </c>
      <c r="I3446" t="s">
        <v>58</v>
      </c>
    </row>
    <row r="3447" spans="2:9" x14ac:dyDescent="0.2">
      <c r="B3447" t="s">
        <v>5343</v>
      </c>
      <c r="C3447" t="s">
        <v>5264</v>
      </c>
      <c r="D3447" t="s">
        <v>42</v>
      </c>
      <c r="E3447">
        <v>0.97</v>
      </c>
      <c r="F3447">
        <v>13.99</v>
      </c>
      <c r="G3447">
        <f t="shared" si="53"/>
        <v>13.5703</v>
      </c>
      <c r="H3447" t="s">
        <v>24</v>
      </c>
      <c r="I3447" t="s">
        <v>58</v>
      </c>
    </row>
    <row r="3448" spans="2:9" x14ac:dyDescent="0.2">
      <c r="B3448" t="s">
        <v>5344</v>
      </c>
      <c r="C3448" t="s">
        <v>5264</v>
      </c>
      <c r="D3448" t="s">
        <v>5345</v>
      </c>
      <c r="E3448">
        <v>1</v>
      </c>
      <c r="F3448">
        <v>11.79</v>
      </c>
      <c r="G3448">
        <f t="shared" si="53"/>
        <v>11.79</v>
      </c>
      <c r="H3448" t="s">
        <v>24</v>
      </c>
      <c r="I3448" t="s">
        <v>58</v>
      </c>
    </row>
    <row r="3449" spans="2:9" x14ac:dyDescent="0.2">
      <c r="B3449" t="s">
        <v>5346</v>
      </c>
      <c r="C3449" t="s">
        <v>5264</v>
      </c>
      <c r="D3449" t="s">
        <v>5347</v>
      </c>
      <c r="E3449">
        <v>1</v>
      </c>
      <c r="F3449">
        <v>3.99</v>
      </c>
      <c r="G3449">
        <f t="shared" si="53"/>
        <v>3.99</v>
      </c>
      <c r="H3449" t="s">
        <v>24</v>
      </c>
      <c r="I3449" t="s">
        <v>58</v>
      </c>
    </row>
    <row r="3450" spans="2:9" x14ac:dyDescent="0.2">
      <c r="B3450" t="s">
        <v>5348</v>
      </c>
      <c r="C3450" t="s">
        <v>5264</v>
      </c>
      <c r="D3450" t="s">
        <v>5349</v>
      </c>
      <c r="E3450">
        <v>1</v>
      </c>
      <c r="F3450">
        <v>9.59</v>
      </c>
      <c r="G3450">
        <f t="shared" si="53"/>
        <v>9.59</v>
      </c>
      <c r="H3450" t="s">
        <v>24</v>
      </c>
      <c r="I3450" t="s">
        <v>58</v>
      </c>
    </row>
    <row r="3451" spans="2:9" x14ac:dyDescent="0.2">
      <c r="B3451" t="s">
        <v>5350</v>
      </c>
      <c r="C3451" t="s">
        <v>5264</v>
      </c>
      <c r="D3451" t="s">
        <v>5351</v>
      </c>
      <c r="E3451">
        <v>1</v>
      </c>
      <c r="F3451">
        <v>5.99</v>
      </c>
      <c r="G3451">
        <f t="shared" si="53"/>
        <v>5.99</v>
      </c>
      <c r="H3451" t="s">
        <v>24</v>
      </c>
      <c r="I3451" t="s">
        <v>58</v>
      </c>
    </row>
    <row r="3452" spans="2:9" x14ac:dyDescent="0.2">
      <c r="B3452" t="s">
        <v>5352</v>
      </c>
      <c r="C3452" t="s">
        <v>5264</v>
      </c>
      <c r="D3452" t="s">
        <v>5353</v>
      </c>
      <c r="E3452">
        <v>1</v>
      </c>
      <c r="F3452">
        <v>11.99</v>
      </c>
      <c r="G3452">
        <f t="shared" si="53"/>
        <v>11.99</v>
      </c>
      <c r="H3452" t="s">
        <v>24</v>
      </c>
      <c r="I3452" t="s">
        <v>58</v>
      </c>
    </row>
    <row r="3453" spans="2:9" x14ac:dyDescent="0.2">
      <c r="B3453" t="s">
        <v>5354</v>
      </c>
      <c r="C3453" t="s">
        <v>5264</v>
      </c>
      <c r="D3453" t="s">
        <v>76</v>
      </c>
      <c r="E3453">
        <v>1.55</v>
      </c>
      <c r="F3453">
        <v>7.99</v>
      </c>
      <c r="G3453">
        <f t="shared" si="53"/>
        <v>12.384500000000001</v>
      </c>
      <c r="H3453" t="s">
        <v>24</v>
      </c>
      <c r="I3453" t="s">
        <v>58</v>
      </c>
    </row>
    <row r="3454" spans="2:9" x14ac:dyDescent="0.2">
      <c r="B3454" t="s">
        <v>5355</v>
      </c>
      <c r="C3454" t="s">
        <v>5264</v>
      </c>
      <c r="D3454" t="s">
        <v>5356</v>
      </c>
      <c r="E3454">
        <v>1</v>
      </c>
      <c r="F3454">
        <v>10.99</v>
      </c>
      <c r="G3454">
        <f t="shared" si="53"/>
        <v>10.99</v>
      </c>
      <c r="H3454" t="s">
        <v>24</v>
      </c>
      <c r="I3454" t="s">
        <v>58</v>
      </c>
    </row>
    <row r="3455" spans="2:9" x14ac:dyDescent="0.2">
      <c r="B3455" t="s">
        <v>5357</v>
      </c>
      <c r="C3455" t="s">
        <v>5264</v>
      </c>
      <c r="D3455" t="s">
        <v>81</v>
      </c>
      <c r="E3455">
        <v>0.56999999999999995</v>
      </c>
      <c r="F3455">
        <v>4.3899999999999997</v>
      </c>
      <c r="G3455">
        <f t="shared" si="53"/>
        <v>2.5022999999999995</v>
      </c>
      <c r="H3455" t="s">
        <v>24</v>
      </c>
      <c r="I3455" t="s">
        <v>58</v>
      </c>
    </row>
    <row r="3456" spans="2:9" x14ac:dyDescent="0.2">
      <c r="B3456" t="s">
        <v>5358</v>
      </c>
      <c r="C3456" t="s">
        <v>5264</v>
      </c>
      <c r="D3456" t="s">
        <v>5359</v>
      </c>
      <c r="E3456">
        <v>1</v>
      </c>
      <c r="F3456">
        <v>5.39</v>
      </c>
      <c r="G3456">
        <f t="shared" si="53"/>
        <v>5.39</v>
      </c>
      <c r="H3456" t="s">
        <v>24</v>
      </c>
      <c r="I3456" t="s">
        <v>58</v>
      </c>
    </row>
    <row r="3457" spans="2:9" x14ac:dyDescent="0.2">
      <c r="B3457" t="s">
        <v>5360</v>
      </c>
      <c r="C3457" t="s">
        <v>5264</v>
      </c>
      <c r="D3457" t="s">
        <v>5361</v>
      </c>
      <c r="E3457">
        <v>1</v>
      </c>
      <c r="F3457">
        <v>4.29</v>
      </c>
      <c r="G3457">
        <f t="shared" si="53"/>
        <v>4.29</v>
      </c>
      <c r="H3457" t="s">
        <v>24</v>
      </c>
      <c r="I3457" t="s">
        <v>58</v>
      </c>
    </row>
    <row r="3458" spans="2:9" x14ac:dyDescent="0.2">
      <c r="B3458" t="s">
        <v>5362</v>
      </c>
      <c r="C3458" t="s">
        <v>5264</v>
      </c>
      <c r="D3458" t="s">
        <v>5363</v>
      </c>
      <c r="E3458">
        <v>1</v>
      </c>
      <c r="F3458">
        <v>35.99</v>
      </c>
      <c r="G3458">
        <f t="shared" si="53"/>
        <v>35.99</v>
      </c>
      <c r="H3458" t="s">
        <v>24</v>
      </c>
      <c r="I3458" t="s">
        <v>58</v>
      </c>
    </row>
    <row r="3459" spans="2:9" x14ac:dyDescent="0.2">
      <c r="B3459" t="s">
        <v>5364</v>
      </c>
      <c r="C3459" t="s">
        <v>5264</v>
      </c>
      <c r="D3459" t="s">
        <v>5365</v>
      </c>
      <c r="E3459">
        <v>1</v>
      </c>
      <c r="F3459">
        <v>16.989999999999998</v>
      </c>
      <c r="G3459">
        <f t="shared" si="53"/>
        <v>16.989999999999998</v>
      </c>
      <c r="H3459" t="s">
        <v>25</v>
      </c>
      <c r="I3459" t="s">
        <v>58</v>
      </c>
    </row>
    <row r="3460" spans="2:9" x14ac:dyDescent="0.2">
      <c r="B3460" t="s">
        <v>5366</v>
      </c>
      <c r="C3460" t="s">
        <v>5264</v>
      </c>
      <c r="D3460" t="s">
        <v>5365</v>
      </c>
      <c r="E3460">
        <v>1</v>
      </c>
      <c r="F3460">
        <v>16.989999999999998</v>
      </c>
      <c r="G3460">
        <f t="shared" si="53"/>
        <v>16.989999999999998</v>
      </c>
      <c r="H3460" t="s">
        <v>25</v>
      </c>
      <c r="I3460" t="s">
        <v>58</v>
      </c>
    </row>
    <row r="3461" spans="2:9" x14ac:dyDescent="0.2">
      <c r="B3461" t="s">
        <v>5367</v>
      </c>
      <c r="C3461" t="s">
        <v>5264</v>
      </c>
      <c r="D3461" t="s">
        <v>5151</v>
      </c>
      <c r="E3461">
        <v>1</v>
      </c>
      <c r="F3461">
        <v>2.39</v>
      </c>
      <c r="G3461">
        <f t="shared" ref="G3461:G3524" si="54">E3461*F3461</f>
        <v>2.39</v>
      </c>
      <c r="H3461" t="s">
        <v>24</v>
      </c>
      <c r="I3461" t="s">
        <v>58</v>
      </c>
    </row>
    <row r="3462" spans="2:9" x14ac:dyDescent="0.2">
      <c r="B3462" t="s">
        <v>5368</v>
      </c>
      <c r="C3462" t="s">
        <v>5264</v>
      </c>
      <c r="D3462" t="s">
        <v>5151</v>
      </c>
      <c r="E3462">
        <v>1</v>
      </c>
      <c r="F3462">
        <v>2.39</v>
      </c>
      <c r="G3462">
        <f t="shared" si="54"/>
        <v>2.39</v>
      </c>
      <c r="H3462" t="s">
        <v>24</v>
      </c>
      <c r="I3462" t="s">
        <v>58</v>
      </c>
    </row>
    <row r="3463" spans="2:9" x14ac:dyDescent="0.2">
      <c r="B3463" t="s">
        <v>5369</v>
      </c>
      <c r="C3463" t="s">
        <v>5264</v>
      </c>
      <c r="D3463" t="s">
        <v>5151</v>
      </c>
      <c r="E3463">
        <v>1</v>
      </c>
      <c r="F3463">
        <v>2.39</v>
      </c>
      <c r="G3463">
        <f t="shared" si="54"/>
        <v>2.39</v>
      </c>
      <c r="H3463" t="s">
        <v>24</v>
      </c>
      <c r="I3463" t="s">
        <v>58</v>
      </c>
    </row>
    <row r="3464" spans="2:9" x14ac:dyDescent="0.2">
      <c r="B3464" t="s">
        <v>5370</v>
      </c>
      <c r="C3464" t="s">
        <v>5264</v>
      </c>
      <c r="D3464" t="s">
        <v>5151</v>
      </c>
      <c r="E3464">
        <v>1</v>
      </c>
      <c r="F3464">
        <v>2.39</v>
      </c>
      <c r="G3464">
        <f t="shared" si="54"/>
        <v>2.39</v>
      </c>
      <c r="H3464" t="s">
        <v>24</v>
      </c>
      <c r="I3464" t="s">
        <v>58</v>
      </c>
    </row>
    <row r="3465" spans="2:9" x14ac:dyDescent="0.2">
      <c r="B3465" t="s">
        <v>5371</v>
      </c>
      <c r="C3465" t="s">
        <v>5264</v>
      </c>
      <c r="D3465" t="s">
        <v>5372</v>
      </c>
      <c r="E3465">
        <v>1</v>
      </c>
      <c r="F3465">
        <v>7.39</v>
      </c>
      <c r="G3465">
        <f t="shared" si="54"/>
        <v>7.39</v>
      </c>
      <c r="H3465" t="s">
        <v>25</v>
      </c>
      <c r="I3465" t="s">
        <v>58</v>
      </c>
    </row>
    <row r="3466" spans="2:9" x14ac:dyDescent="0.2">
      <c r="B3466" t="s">
        <v>5373</v>
      </c>
      <c r="C3466" t="s">
        <v>5264</v>
      </c>
      <c r="D3466" t="s">
        <v>5374</v>
      </c>
      <c r="E3466">
        <v>1</v>
      </c>
      <c r="F3466">
        <v>25.99</v>
      </c>
      <c r="G3466">
        <f t="shared" si="54"/>
        <v>25.99</v>
      </c>
      <c r="H3466" t="s">
        <v>25</v>
      </c>
      <c r="I3466" t="s">
        <v>58</v>
      </c>
    </row>
    <row r="3467" spans="2:9" x14ac:dyDescent="0.2">
      <c r="B3467" t="s">
        <v>5375</v>
      </c>
      <c r="C3467" t="s">
        <v>5264</v>
      </c>
      <c r="D3467" t="s">
        <v>5376</v>
      </c>
      <c r="E3467">
        <v>1</v>
      </c>
      <c r="F3467">
        <v>11.39</v>
      </c>
      <c r="G3467">
        <f t="shared" si="54"/>
        <v>11.39</v>
      </c>
      <c r="H3467" t="s">
        <v>24</v>
      </c>
      <c r="I3467" t="s">
        <v>58</v>
      </c>
    </row>
    <row r="3468" spans="2:9" x14ac:dyDescent="0.2">
      <c r="B3468" t="s">
        <v>5377</v>
      </c>
      <c r="C3468" t="s">
        <v>5264</v>
      </c>
      <c r="D3468" t="s">
        <v>5378</v>
      </c>
      <c r="E3468">
        <v>1</v>
      </c>
      <c r="F3468">
        <v>11.39</v>
      </c>
      <c r="G3468">
        <f t="shared" si="54"/>
        <v>11.39</v>
      </c>
      <c r="H3468" t="s">
        <v>24</v>
      </c>
      <c r="I3468" t="s">
        <v>58</v>
      </c>
    </row>
    <row r="3469" spans="2:9" x14ac:dyDescent="0.2">
      <c r="B3469" t="s">
        <v>5379</v>
      </c>
      <c r="C3469" t="s">
        <v>5264</v>
      </c>
      <c r="D3469" t="s">
        <v>5380</v>
      </c>
      <c r="E3469">
        <v>1</v>
      </c>
      <c r="F3469">
        <v>17.989999999999998</v>
      </c>
      <c r="G3469">
        <f t="shared" si="54"/>
        <v>17.989999999999998</v>
      </c>
      <c r="H3469" t="s">
        <v>24</v>
      </c>
      <c r="I3469" t="s">
        <v>58</v>
      </c>
    </row>
    <row r="3470" spans="2:9" x14ac:dyDescent="0.2">
      <c r="B3470" t="s">
        <v>5381</v>
      </c>
      <c r="C3470" t="s">
        <v>5382</v>
      </c>
      <c r="D3470" t="s">
        <v>5383</v>
      </c>
      <c r="E3470">
        <v>1</v>
      </c>
      <c r="F3470">
        <v>54.99</v>
      </c>
      <c r="G3470">
        <f t="shared" si="54"/>
        <v>54.99</v>
      </c>
      <c r="H3470" t="s">
        <v>24</v>
      </c>
      <c r="I3470" t="s">
        <v>58</v>
      </c>
    </row>
    <row r="3471" spans="2:9" x14ac:dyDescent="0.2">
      <c r="B3471" t="s">
        <v>5384</v>
      </c>
      <c r="C3471" t="s">
        <v>5382</v>
      </c>
      <c r="D3471" t="s">
        <v>5385</v>
      </c>
      <c r="E3471">
        <v>1</v>
      </c>
      <c r="F3471">
        <v>59.99</v>
      </c>
      <c r="G3471">
        <f t="shared" si="54"/>
        <v>59.99</v>
      </c>
      <c r="H3471" t="s">
        <v>24</v>
      </c>
      <c r="I3471" t="s">
        <v>58</v>
      </c>
    </row>
    <row r="3472" spans="2:9" x14ac:dyDescent="0.2">
      <c r="B3472" t="s">
        <v>5386</v>
      </c>
      <c r="C3472" t="s">
        <v>5382</v>
      </c>
      <c r="D3472" t="s">
        <v>5200</v>
      </c>
      <c r="E3472">
        <v>1</v>
      </c>
      <c r="F3472">
        <v>3.29</v>
      </c>
      <c r="G3472">
        <f t="shared" si="54"/>
        <v>3.29</v>
      </c>
      <c r="H3472" t="s">
        <v>24</v>
      </c>
      <c r="I3472" t="s">
        <v>58</v>
      </c>
    </row>
    <row r="3473" spans="2:9" x14ac:dyDescent="0.2">
      <c r="B3473" t="s">
        <v>5387</v>
      </c>
      <c r="C3473" t="s">
        <v>5382</v>
      </c>
      <c r="D3473" t="s">
        <v>5200</v>
      </c>
      <c r="E3473">
        <v>1</v>
      </c>
      <c r="F3473">
        <v>3.29</v>
      </c>
      <c r="G3473">
        <f t="shared" si="54"/>
        <v>3.29</v>
      </c>
      <c r="H3473" t="s">
        <v>24</v>
      </c>
      <c r="I3473" t="s">
        <v>58</v>
      </c>
    </row>
    <row r="3474" spans="2:9" x14ac:dyDescent="0.2">
      <c r="B3474" t="s">
        <v>5388</v>
      </c>
      <c r="C3474" t="s">
        <v>5382</v>
      </c>
      <c r="D3474" t="s">
        <v>5389</v>
      </c>
      <c r="E3474">
        <v>4</v>
      </c>
      <c r="F3474">
        <v>2.39</v>
      </c>
      <c r="G3474">
        <f t="shared" si="54"/>
        <v>9.56</v>
      </c>
      <c r="H3474" t="s">
        <v>24</v>
      </c>
      <c r="I3474" t="s">
        <v>58</v>
      </c>
    </row>
    <row r="3475" spans="2:9" x14ac:dyDescent="0.2">
      <c r="B3475" t="s">
        <v>5390</v>
      </c>
      <c r="C3475" t="s">
        <v>5382</v>
      </c>
      <c r="D3475" t="s">
        <v>5211</v>
      </c>
      <c r="E3475">
        <v>4</v>
      </c>
      <c r="F3475">
        <v>7.99</v>
      </c>
      <c r="G3475">
        <f t="shared" si="54"/>
        <v>31.96</v>
      </c>
      <c r="H3475" t="s">
        <v>24</v>
      </c>
      <c r="I3475" t="s">
        <v>58</v>
      </c>
    </row>
    <row r="3476" spans="2:9" x14ac:dyDescent="0.2">
      <c r="B3476" t="s">
        <v>5391</v>
      </c>
      <c r="C3476" t="s">
        <v>5382</v>
      </c>
      <c r="D3476" t="s">
        <v>5266</v>
      </c>
      <c r="E3476">
        <v>4</v>
      </c>
      <c r="F3476">
        <v>9.89</v>
      </c>
      <c r="G3476">
        <f t="shared" si="54"/>
        <v>39.56</v>
      </c>
      <c r="H3476" t="s">
        <v>24</v>
      </c>
      <c r="I3476" t="s">
        <v>58</v>
      </c>
    </row>
    <row r="3477" spans="2:9" x14ac:dyDescent="0.2">
      <c r="B3477" t="s">
        <v>5392</v>
      </c>
      <c r="C3477" t="s">
        <v>5382</v>
      </c>
      <c r="D3477" t="s">
        <v>5393</v>
      </c>
      <c r="E3477">
        <v>6</v>
      </c>
      <c r="F3477">
        <v>5.79</v>
      </c>
      <c r="G3477">
        <f t="shared" si="54"/>
        <v>34.74</v>
      </c>
      <c r="H3477" t="s">
        <v>24</v>
      </c>
      <c r="I3477" t="s">
        <v>58</v>
      </c>
    </row>
    <row r="3478" spans="2:9" x14ac:dyDescent="0.2">
      <c r="B3478" t="s">
        <v>5394</v>
      </c>
      <c r="C3478" t="s">
        <v>5382</v>
      </c>
      <c r="D3478" t="s">
        <v>5395</v>
      </c>
      <c r="E3478">
        <v>8</v>
      </c>
      <c r="F3478">
        <v>5.99</v>
      </c>
      <c r="G3478">
        <f t="shared" si="54"/>
        <v>47.92</v>
      </c>
      <c r="H3478" t="s">
        <v>24</v>
      </c>
      <c r="I3478" t="s">
        <v>58</v>
      </c>
    </row>
    <row r="3479" spans="2:9" x14ac:dyDescent="0.2">
      <c r="B3479" t="s">
        <v>5396</v>
      </c>
      <c r="C3479" t="s">
        <v>5382</v>
      </c>
      <c r="D3479" t="s">
        <v>5397</v>
      </c>
      <c r="E3479">
        <v>1</v>
      </c>
      <c r="F3479">
        <v>4.3899999999999997</v>
      </c>
      <c r="G3479">
        <f t="shared" si="54"/>
        <v>4.3899999999999997</v>
      </c>
      <c r="H3479" t="s">
        <v>24</v>
      </c>
      <c r="I3479" t="s">
        <v>58</v>
      </c>
    </row>
    <row r="3480" spans="2:9" x14ac:dyDescent="0.2">
      <c r="B3480" t="s">
        <v>5398</v>
      </c>
      <c r="C3480" t="s">
        <v>5382</v>
      </c>
      <c r="D3480" t="s">
        <v>5399</v>
      </c>
      <c r="E3480">
        <v>1</v>
      </c>
      <c r="F3480">
        <v>4.49</v>
      </c>
      <c r="G3480">
        <f t="shared" si="54"/>
        <v>4.49</v>
      </c>
      <c r="H3480" t="s">
        <v>24</v>
      </c>
      <c r="I3480" t="s">
        <v>58</v>
      </c>
    </row>
    <row r="3481" spans="2:9" x14ac:dyDescent="0.2">
      <c r="B3481" t="s">
        <v>5400</v>
      </c>
      <c r="C3481" t="s">
        <v>5382</v>
      </c>
      <c r="D3481" t="s">
        <v>5271</v>
      </c>
      <c r="E3481">
        <v>1</v>
      </c>
      <c r="F3481">
        <v>4.99</v>
      </c>
      <c r="G3481">
        <f t="shared" si="54"/>
        <v>4.99</v>
      </c>
      <c r="H3481" t="s">
        <v>24</v>
      </c>
      <c r="I3481" t="s">
        <v>58</v>
      </c>
    </row>
    <row r="3482" spans="2:9" x14ac:dyDescent="0.2">
      <c r="B3482" t="s">
        <v>5401</v>
      </c>
      <c r="C3482" t="s">
        <v>5382</v>
      </c>
      <c r="D3482" t="s">
        <v>5164</v>
      </c>
      <c r="E3482">
        <v>1</v>
      </c>
      <c r="F3482">
        <v>17.489999999999998</v>
      </c>
      <c r="G3482">
        <f t="shared" si="54"/>
        <v>17.489999999999998</v>
      </c>
      <c r="H3482" t="s">
        <v>24</v>
      </c>
      <c r="I3482" t="s">
        <v>58</v>
      </c>
    </row>
    <row r="3483" spans="2:9" x14ac:dyDescent="0.2">
      <c r="B3483" t="s">
        <v>5402</v>
      </c>
      <c r="C3483" t="s">
        <v>5382</v>
      </c>
      <c r="D3483" t="s">
        <v>5164</v>
      </c>
      <c r="E3483">
        <v>1</v>
      </c>
      <c r="F3483">
        <v>17.489999999999998</v>
      </c>
      <c r="G3483">
        <f t="shared" si="54"/>
        <v>17.489999999999998</v>
      </c>
      <c r="H3483" t="s">
        <v>24</v>
      </c>
      <c r="I3483" t="s">
        <v>58</v>
      </c>
    </row>
    <row r="3484" spans="2:9" x14ac:dyDescent="0.2">
      <c r="B3484" t="s">
        <v>5403</v>
      </c>
      <c r="C3484" t="s">
        <v>5382</v>
      </c>
      <c r="D3484" t="s">
        <v>5404</v>
      </c>
      <c r="E3484">
        <v>1</v>
      </c>
      <c r="F3484">
        <v>16.989999999999998</v>
      </c>
      <c r="G3484">
        <f t="shared" si="54"/>
        <v>16.989999999999998</v>
      </c>
      <c r="H3484" t="s">
        <v>24</v>
      </c>
      <c r="I3484" t="s">
        <v>58</v>
      </c>
    </row>
    <row r="3485" spans="2:9" x14ac:dyDescent="0.2">
      <c r="B3485" t="s">
        <v>5405</v>
      </c>
      <c r="C3485" t="s">
        <v>5382</v>
      </c>
      <c r="D3485" t="s">
        <v>5406</v>
      </c>
      <c r="E3485">
        <v>1</v>
      </c>
      <c r="F3485">
        <v>24.49</v>
      </c>
      <c r="G3485">
        <f t="shared" si="54"/>
        <v>24.49</v>
      </c>
      <c r="H3485" t="s">
        <v>24</v>
      </c>
      <c r="I3485" t="s">
        <v>58</v>
      </c>
    </row>
    <row r="3486" spans="2:9" x14ac:dyDescent="0.2">
      <c r="B3486" t="s">
        <v>5407</v>
      </c>
      <c r="C3486" t="s">
        <v>5382</v>
      </c>
      <c r="D3486" t="s">
        <v>5408</v>
      </c>
      <c r="E3486">
        <v>1</v>
      </c>
      <c r="F3486">
        <v>19.989999999999998</v>
      </c>
      <c r="G3486">
        <f t="shared" si="54"/>
        <v>19.989999999999998</v>
      </c>
      <c r="H3486" t="s">
        <v>24</v>
      </c>
      <c r="I3486" t="s">
        <v>58</v>
      </c>
    </row>
    <row r="3487" spans="2:9" x14ac:dyDescent="0.2">
      <c r="B3487" t="s">
        <v>5409</v>
      </c>
      <c r="C3487" t="s">
        <v>5382</v>
      </c>
      <c r="D3487" t="s">
        <v>5410</v>
      </c>
      <c r="E3487">
        <v>1</v>
      </c>
      <c r="F3487">
        <v>2.89</v>
      </c>
      <c r="G3487">
        <f t="shared" si="54"/>
        <v>2.89</v>
      </c>
      <c r="H3487" t="s">
        <v>24</v>
      </c>
      <c r="I3487" t="s">
        <v>58</v>
      </c>
    </row>
    <row r="3488" spans="2:9" x14ac:dyDescent="0.2">
      <c r="B3488" t="s">
        <v>5411</v>
      </c>
      <c r="C3488" t="s">
        <v>5382</v>
      </c>
      <c r="D3488" t="s">
        <v>5412</v>
      </c>
      <c r="E3488">
        <v>1</v>
      </c>
      <c r="F3488">
        <v>12.99</v>
      </c>
      <c r="G3488">
        <f t="shared" si="54"/>
        <v>12.99</v>
      </c>
      <c r="H3488" t="s">
        <v>24</v>
      </c>
      <c r="I3488" t="s">
        <v>58</v>
      </c>
    </row>
    <row r="3489" spans="2:9" x14ac:dyDescent="0.2">
      <c r="B3489" t="s">
        <v>5413</v>
      </c>
      <c r="C3489" t="s">
        <v>5382</v>
      </c>
      <c r="D3489" t="s">
        <v>5203</v>
      </c>
      <c r="E3489">
        <v>1</v>
      </c>
      <c r="F3489">
        <v>18.489999999999998</v>
      </c>
      <c r="G3489">
        <f t="shared" si="54"/>
        <v>18.489999999999998</v>
      </c>
      <c r="H3489" t="s">
        <v>24</v>
      </c>
      <c r="I3489" t="s">
        <v>58</v>
      </c>
    </row>
    <row r="3490" spans="2:9" x14ac:dyDescent="0.2">
      <c r="B3490" t="s">
        <v>5414</v>
      </c>
      <c r="C3490" t="s">
        <v>5382</v>
      </c>
      <c r="D3490" t="s">
        <v>5408</v>
      </c>
      <c r="E3490">
        <v>1</v>
      </c>
      <c r="F3490">
        <v>19.989999999999998</v>
      </c>
      <c r="G3490">
        <f t="shared" si="54"/>
        <v>19.989999999999998</v>
      </c>
      <c r="H3490" t="s">
        <v>24</v>
      </c>
      <c r="I3490" t="s">
        <v>58</v>
      </c>
    </row>
    <row r="3491" spans="2:9" x14ac:dyDescent="0.2">
      <c r="B3491" t="s">
        <v>5415</v>
      </c>
      <c r="C3491" t="s">
        <v>5382</v>
      </c>
      <c r="D3491" t="s">
        <v>5170</v>
      </c>
      <c r="E3491">
        <v>0.438</v>
      </c>
      <c r="F3491">
        <v>45.99</v>
      </c>
      <c r="G3491">
        <f t="shared" si="54"/>
        <v>20.143620000000002</v>
      </c>
      <c r="H3491" t="s">
        <v>24</v>
      </c>
      <c r="I3491" t="s">
        <v>58</v>
      </c>
    </row>
    <row r="3492" spans="2:9" x14ac:dyDescent="0.2">
      <c r="B3492" t="s">
        <v>5416</v>
      </c>
      <c r="C3492" t="s">
        <v>5382</v>
      </c>
      <c r="D3492" t="s">
        <v>5187</v>
      </c>
      <c r="E3492">
        <v>1</v>
      </c>
      <c r="F3492">
        <v>13.99</v>
      </c>
      <c r="G3492">
        <f t="shared" si="54"/>
        <v>13.99</v>
      </c>
      <c r="H3492" t="s">
        <v>24</v>
      </c>
      <c r="I3492" t="s">
        <v>58</v>
      </c>
    </row>
    <row r="3493" spans="2:9" x14ac:dyDescent="0.2">
      <c r="B3493" t="s">
        <v>5417</v>
      </c>
      <c r="C3493" t="s">
        <v>5382</v>
      </c>
      <c r="D3493" t="s">
        <v>5187</v>
      </c>
      <c r="E3493">
        <v>1</v>
      </c>
      <c r="F3493">
        <v>13.99</v>
      </c>
      <c r="G3493">
        <f t="shared" si="54"/>
        <v>13.99</v>
      </c>
      <c r="H3493" t="s">
        <v>24</v>
      </c>
      <c r="I3493" t="s">
        <v>58</v>
      </c>
    </row>
    <row r="3494" spans="2:9" x14ac:dyDescent="0.2">
      <c r="B3494" t="s">
        <v>5418</v>
      </c>
      <c r="C3494" t="s">
        <v>5382</v>
      </c>
      <c r="D3494" t="s">
        <v>5293</v>
      </c>
      <c r="E3494">
        <v>1</v>
      </c>
      <c r="F3494">
        <v>10.49</v>
      </c>
      <c r="G3494">
        <f t="shared" si="54"/>
        <v>10.49</v>
      </c>
      <c r="H3494" t="s">
        <v>24</v>
      </c>
      <c r="I3494" t="s">
        <v>58</v>
      </c>
    </row>
    <row r="3495" spans="2:9" x14ac:dyDescent="0.2">
      <c r="B3495" t="s">
        <v>5419</v>
      </c>
      <c r="C3495" t="s">
        <v>5382</v>
      </c>
      <c r="D3495" t="s">
        <v>5420</v>
      </c>
      <c r="E3495">
        <v>1</v>
      </c>
      <c r="F3495">
        <v>12.99</v>
      </c>
      <c r="G3495">
        <f t="shared" si="54"/>
        <v>12.99</v>
      </c>
      <c r="H3495" t="s">
        <v>24</v>
      </c>
      <c r="I3495" t="s">
        <v>58</v>
      </c>
    </row>
    <row r="3496" spans="2:9" x14ac:dyDescent="0.2">
      <c r="B3496" t="s">
        <v>5421</v>
      </c>
      <c r="C3496" t="s">
        <v>5382</v>
      </c>
      <c r="D3496" t="s">
        <v>5422</v>
      </c>
      <c r="E3496">
        <v>2</v>
      </c>
      <c r="F3496">
        <v>19.989999999999998</v>
      </c>
      <c r="G3496">
        <f t="shared" si="54"/>
        <v>39.979999999999997</v>
      </c>
      <c r="H3496" t="s">
        <v>24</v>
      </c>
      <c r="I3496" t="s">
        <v>58</v>
      </c>
    </row>
    <row r="3497" spans="2:9" x14ac:dyDescent="0.2">
      <c r="B3497" t="s">
        <v>5423</v>
      </c>
      <c r="C3497" t="s">
        <v>5382</v>
      </c>
      <c r="D3497" t="s">
        <v>5420</v>
      </c>
      <c r="E3497">
        <v>1</v>
      </c>
      <c r="F3497">
        <v>12.99</v>
      </c>
      <c r="G3497">
        <f t="shared" si="54"/>
        <v>12.99</v>
      </c>
      <c r="H3497" t="s">
        <v>24</v>
      </c>
      <c r="I3497" t="s">
        <v>58</v>
      </c>
    </row>
    <row r="3498" spans="2:9" x14ac:dyDescent="0.2">
      <c r="B3498" t="s">
        <v>5424</v>
      </c>
      <c r="C3498" t="s">
        <v>5382</v>
      </c>
      <c r="D3498" t="s">
        <v>5425</v>
      </c>
      <c r="E3498">
        <v>2</v>
      </c>
      <c r="F3498">
        <v>26.99</v>
      </c>
      <c r="G3498">
        <f t="shared" si="54"/>
        <v>53.98</v>
      </c>
      <c r="H3498" t="s">
        <v>24</v>
      </c>
      <c r="I3498" t="s">
        <v>58</v>
      </c>
    </row>
    <row r="3499" spans="2:9" x14ac:dyDescent="0.2">
      <c r="B3499" t="s">
        <v>5426</v>
      </c>
      <c r="C3499" t="s">
        <v>5382</v>
      </c>
      <c r="D3499" t="s">
        <v>5427</v>
      </c>
      <c r="E3499">
        <v>2</v>
      </c>
      <c r="F3499">
        <v>23.69</v>
      </c>
      <c r="G3499">
        <f t="shared" si="54"/>
        <v>47.38</v>
      </c>
      <c r="H3499" t="s">
        <v>24</v>
      </c>
      <c r="I3499" t="s">
        <v>58</v>
      </c>
    </row>
    <row r="3500" spans="2:9" x14ac:dyDescent="0.2">
      <c r="B3500" t="s">
        <v>5428</v>
      </c>
      <c r="C3500" t="s">
        <v>5382</v>
      </c>
      <c r="D3500" t="s">
        <v>5290</v>
      </c>
      <c r="E3500">
        <v>1</v>
      </c>
      <c r="F3500">
        <v>16.690000000000001</v>
      </c>
      <c r="G3500">
        <f t="shared" si="54"/>
        <v>16.690000000000001</v>
      </c>
      <c r="H3500" t="s">
        <v>24</v>
      </c>
      <c r="I3500" t="s">
        <v>58</v>
      </c>
    </row>
    <row r="3501" spans="2:9" x14ac:dyDescent="0.2">
      <c r="B3501" t="s">
        <v>5429</v>
      </c>
      <c r="C3501" t="s">
        <v>5382</v>
      </c>
      <c r="D3501" t="s">
        <v>5430</v>
      </c>
      <c r="E3501">
        <v>1</v>
      </c>
      <c r="F3501">
        <v>9.49</v>
      </c>
      <c r="G3501">
        <f t="shared" si="54"/>
        <v>9.49</v>
      </c>
      <c r="H3501" t="s">
        <v>24</v>
      </c>
      <c r="I3501" t="s">
        <v>58</v>
      </c>
    </row>
    <row r="3502" spans="2:9" x14ac:dyDescent="0.2">
      <c r="B3502" t="s">
        <v>5431</v>
      </c>
      <c r="C3502" t="s">
        <v>5382</v>
      </c>
      <c r="D3502" t="s">
        <v>5214</v>
      </c>
      <c r="E3502">
        <v>1</v>
      </c>
      <c r="F3502">
        <v>8.2899999999999991</v>
      </c>
      <c r="G3502">
        <f t="shared" si="54"/>
        <v>8.2899999999999991</v>
      </c>
      <c r="H3502" t="s">
        <v>24</v>
      </c>
      <c r="I3502" t="s">
        <v>58</v>
      </c>
    </row>
    <row r="3503" spans="2:9" x14ac:dyDescent="0.2">
      <c r="B3503" t="s">
        <v>5432</v>
      </c>
      <c r="C3503" t="s">
        <v>5382</v>
      </c>
      <c r="D3503" t="s">
        <v>5214</v>
      </c>
      <c r="E3503">
        <v>1</v>
      </c>
      <c r="F3503">
        <v>8.2899999999999991</v>
      </c>
      <c r="G3503">
        <f t="shared" si="54"/>
        <v>8.2899999999999991</v>
      </c>
      <c r="H3503" t="s">
        <v>24</v>
      </c>
      <c r="I3503" t="s">
        <v>58</v>
      </c>
    </row>
    <row r="3504" spans="2:9" x14ac:dyDescent="0.2">
      <c r="B3504" t="s">
        <v>5433</v>
      </c>
      <c r="C3504" t="s">
        <v>5382</v>
      </c>
      <c r="D3504" t="s">
        <v>5434</v>
      </c>
      <c r="E3504">
        <v>1</v>
      </c>
      <c r="F3504">
        <v>5.39</v>
      </c>
      <c r="G3504">
        <f t="shared" si="54"/>
        <v>5.39</v>
      </c>
      <c r="H3504" t="s">
        <v>24</v>
      </c>
      <c r="I3504" t="s">
        <v>58</v>
      </c>
    </row>
    <row r="3505" spans="2:9" x14ac:dyDescent="0.2">
      <c r="B3505" t="s">
        <v>5435</v>
      </c>
      <c r="C3505" t="s">
        <v>5382</v>
      </c>
      <c r="D3505" t="s">
        <v>5209</v>
      </c>
      <c r="E3505">
        <v>1</v>
      </c>
      <c r="F3505">
        <v>4.99</v>
      </c>
      <c r="G3505">
        <f t="shared" si="54"/>
        <v>4.99</v>
      </c>
      <c r="H3505" t="s">
        <v>24</v>
      </c>
      <c r="I3505" t="s">
        <v>58</v>
      </c>
    </row>
    <row r="3506" spans="2:9" x14ac:dyDescent="0.2">
      <c r="B3506" t="s">
        <v>5436</v>
      </c>
      <c r="C3506" t="s">
        <v>5382</v>
      </c>
      <c r="D3506" t="s">
        <v>5209</v>
      </c>
      <c r="E3506">
        <v>1</v>
      </c>
      <c r="F3506">
        <v>4.99</v>
      </c>
      <c r="G3506">
        <f t="shared" si="54"/>
        <v>4.99</v>
      </c>
      <c r="H3506" t="s">
        <v>24</v>
      </c>
      <c r="I3506" t="s">
        <v>58</v>
      </c>
    </row>
    <row r="3507" spans="2:9" x14ac:dyDescent="0.2">
      <c r="B3507" t="s">
        <v>5437</v>
      </c>
      <c r="C3507" t="s">
        <v>5382</v>
      </c>
      <c r="D3507" t="s">
        <v>5209</v>
      </c>
      <c r="E3507">
        <v>1</v>
      </c>
      <c r="F3507">
        <v>4.99</v>
      </c>
      <c r="G3507">
        <f t="shared" si="54"/>
        <v>4.99</v>
      </c>
      <c r="H3507" t="s">
        <v>24</v>
      </c>
      <c r="I3507" t="s">
        <v>58</v>
      </c>
    </row>
    <row r="3508" spans="2:9" x14ac:dyDescent="0.2">
      <c r="B3508" t="s">
        <v>5438</v>
      </c>
      <c r="C3508" t="s">
        <v>5382</v>
      </c>
      <c r="D3508" t="s">
        <v>5209</v>
      </c>
      <c r="E3508">
        <v>1</v>
      </c>
      <c r="F3508">
        <v>4.99</v>
      </c>
      <c r="G3508">
        <f t="shared" si="54"/>
        <v>4.99</v>
      </c>
      <c r="H3508" t="s">
        <v>24</v>
      </c>
      <c r="I3508" t="s">
        <v>58</v>
      </c>
    </row>
    <row r="3509" spans="2:9" x14ac:dyDescent="0.2">
      <c r="B3509" t="s">
        <v>5439</v>
      </c>
      <c r="C3509" t="s">
        <v>5382</v>
      </c>
      <c r="D3509" t="s">
        <v>5312</v>
      </c>
      <c r="E3509">
        <v>10</v>
      </c>
      <c r="F3509">
        <v>2.89</v>
      </c>
      <c r="G3509">
        <f t="shared" si="54"/>
        <v>28.900000000000002</v>
      </c>
      <c r="H3509" t="s">
        <v>24</v>
      </c>
      <c r="I3509" t="s">
        <v>58</v>
      </c>
    </row>
    <row r="3510" spans="2:9" x14ac:dyDescent="0.2">
      <c r="B3510" t="s">
        <v>5440</v>
      </c>
      <c r="C3510" t="s">
        <v>5382</v>
      </c>
      <c r="D3510" t="s">
        <v>5162</v>
      </c>
      <c r="E3510">
        <v>1</v>
      </c>
      <c r="F3510">
        <v>26.99</v>
      </c>
      <c r="G3510">
        <f t="shared" si="54"/>
        <v>26.99</v>
      </c>
      <c r="H3510" t="s">
        <v>24</v>
      </c>
      <c r="I3510" t="s">
        <v>58</v>
      </c>
    </row>
    <row r="3511" spans="2:9" x14ac:dyDescent="0.2">
      <c r="B3511" t="s">
        <v>5441</v>
      </c>
      <c r="C3511" t="s">
        <v>5382</v>
      </c>
      <c r="D3511" t="s">
        <v>5214</v>
      </c>
      <c r="E3511">
        <v>1</v>
      </c>
      <c r="F3511">
        <v>8.2899999999999991</v>
      </c>
      <c r="G3511">
        <f t="shared" si="54"/>
        <v>8.2899999999999991</v>
      </c>
      <c r="H3511" t="s">
        <v>24</v>
      </c>
      <c r="I3511" t="s">
        <v>58</v>
      </c>
    </row>
    <row r="3512" spans="2:9" x14ac:dyDescent="0.2">
      <c r="B3512" t="s">
        <v>5442</v>
      </c>
      <c r="C3512" t="s">
        <v>5382</v>
      </c>
      <c r="D3512" t="s">
        <v>5214</v>
      </c>
      <c r="E3512">
        <v>1</v>
      </c>
      <c r="F3512">
        <v>8.2899999999999991</v>
      </c>
      <c r="G3512">
        <f t="shared" si="54"/>
        <v>8.2899999999999991</v>
      </c>
      <c r="H3512" t="s">
        <v>24</v>
      </c>
      <c r="I3512" t="s">
        <v>58</v>
      </c>
    </row>
    <row r="3513" spans="2:9" x14ac:dyDescent="0.2">
      <c r="B3513" t="s">
        <v>5443</v>
      </c>
      <c r="C3513" t="s">
        <v>5382</v>
      </c>
      <c r="D3513" t="s">
        <v>5214</v>
      </c>
      <c r="E3513">
        <v>1</v>
      </c>
      <c r="F3513">
        <v>8.2899999999999991</v>
      </c>
      <c r="G3513">
        <f t="shared" si="54"/>
        <v>8.2899999999999991</v>
      </c>
      <c r="H3513" t="s">
        <v>24</v>
      </c>
      <c r="I3513" t="s">
        <v>58</v>
      </c>
    </row>
    <row r="3514" spans="2:9" x14ac:dyDescent="0.2">
      <c r="B3514" t="s">
        <v>5444</v>
      </c>
      <c r="C3514" t="s">
        <v>5382</v>
      </c>
      <c r="D3514" t="s">
        <v>5295</v>
      </c>
      <c r="E3514">
        <v>1</v>
      </c>
      <c r="F3514">
        <v>3.99</v>
      </c>
      <c r="G3514">
        <f t="shared" si="54"/>
        <v>3.99</v>
      </c>
      <c r="H3514" t="s">
        <v>24</v>
      </c>
      <c r="I3514" t="s">
        <v>58</v>
      </c>
    </row>
    <row r="3515" spans="2:9" x14ac:dyDescent="0.2">
      <c r="B3515" t="s">
        <v>5445</v>
      </c>
      <c r="C3515" t="s">
        <v>5382</v>
      </c>
      <c r="D3515" t="s">
        <v>5217</v>
      </c>
      <c r="E3515">
        <v>1</v>
      </c>
      <c r="F3515">
        <v>3.99</v>
      </c>
      <c r="G3515">
        <f t="shared" si="54"/>
        <v>3.99</v>
      </c>
      <c r="H3515" t="s">
        <v>24</v>
      </c>
      <c r="I3515" t="s">
        <v>58</v>
      </c>
    </row>
    <row r="3516" spans="2:9" x14ac:dyDescent="0.2">
      <c r="B3516" t="s">
        <v>5446</v>
      </c>
      <c r="C3516" t="s">
        <v>5382</v>
      </c>
      <c r="D3516" t="s">
        <v>5295</v>
      </c>
      <c r="E3516">
        <v>1</v>
      </c>
      <c r="F3516">
        <v>3.99</v>
      </c>
      <c r="G3516">
        <f t="shared" si="54"/>
        <v>3.99</v>
      </c>
      <c r="H3516" t="s">
        <v>24</v>
      </c>
      <c r="I3516" t="s">
        <v>58</v>
      </c>
    </row>
    <row r="3517" spans="2:9" x14ac:dyDescent="0.2">
      <c r="B3517" t="s">
        <v>5447</v>
      </c>
      <c r="C3517" t="s">
        <v>5382</v>
      </c>
      <c r="D3517" t="s">
        <v>5217</v>
      </c>
      <c r="E3517">
        <v>1</v>
      </c>
      <c r="F3517">
        <v>3.99</v>
      </c>
      <c r="G3517">
        <f t="shared" si="54"/>
        <v>3.99</v>
      </c>
      <c r="H3517" t="s">
        <v>24</v>
      </c>
      <c r="I3517" t="s">
        <v>58</v>
      </c>
    </row>
    <row r="3518" spans="2:9" x14ac:dyDescent="0.2">
      <c r="B3518" t="s">
        <v>5448</v>
      </c>
      <c r="C3518" t="s">
        <v>5382</v>
      </c>
      <c r="D3518" t="s">
        <v>5295</v>
      </c>
      <c r="E3518">
        <v>1</v>
      </c>
      <c r="F3518">
        <v>3.99</v>
      </c>
      <c r="G3518">
        <f t="shared" si="54"/>
        <v>3.99</v>
      </c>
      <c r="H3518" t="s">
        <v>24</v>
      </c>
      <c r="I3518" t="s">
        <v>58</v>
      </c>
    </row>
    <row r="3519" spans="2:9" x14ac:dyDescent="0.2">
      <c r="B3519" t="s">
        <v>5449</v>
      </c>
      <c r="C3519" t="s">
        <v>5382</v>
      </c>
      <c r="D3519" t="s">
        <v>5450</v>
      </c>
      <c r="E3519">
        <v>1</v>
      </c>
      <c r="F3519">
        <v>23.99</v>
      </c>
      <c r="G3519">
        <f t="shared" si="54"/>
        <v>23.99</v>
      </c>
      <c r="H3519" t="s">
        <v>24</v>
      </c>
      <c r="I3519" t="s">
        <v>58</v>
      </c>
    </row>
    <row r="3520" spans="2:9" x14ac:dyDescent="0.2">
      <c r="B3520" t="s">
        <v>5451</v>
      </c>
      <c r="C3520" t="s">
        <v>5382</v>
      </c>
      <c r="D3520" t="s">
        <v>5232</v>
      </c>
      <c r="E3520">
        <v>1</v>
      </c>
      <c r="F3520">
        <v>23.99</v>
      </c>
      <c r="G3520">
        <f t="shared" si="54"/>
        <v>23.99</v>
      </c>
      <c r="H3520" t="s">
        <v>24</v>
      </c>
      <c r="I3520" t="s">
        <v>58</v>
      </c>
    </row>
    <row r="3521" spans="2:9" x14ac:dyDescent="0.2">
      <c r="B3521" t="s">
        <v>5452</v>
      </c>
      <c r="C3521" t="s">
        <v>5382</v>
      </c>
      <c r="D3521" t="s">
        <v>5224</v>
      </c>
      <c r="E3521">
        <v>1</v>
      </c>
      <c r="F3521">
        <v>23.99</v>
      </c>
      <c r="G3521">
        <f t="shared" si="54"/>
        <v>23.99</v>
      </c>
      <c r="H3521" t="s">
        <v>24</v>
      </c>
      <c r="I3521" t="s">
        <v>58</v>
      </c>
    </row>
    <row r="3522" spans="2:9" x14ac:dyDescent="0.2">
      <c r="B3522" t="s">
        <v>5453</v>
      </c>
      <c r="C3522" t="s">
        <v>5382</v>
      </c>
      <c r="D3522" t="s">
        <v>5232</v>
      </c>
      <c r="E3522">
        <v>1</v>
      </c>
      <c r="F3522">
        <v>23.99</v>
      </c>
      <c r="G3522">
        <f t="shared" si="54"/>
        <v>23.99</v>
      </c>
      <c r="H3522" t="s">
        <v>24</v>
      </c>
      <c r="I3522" t="s">
        <v>58</v>
      </c>
    </row>
    <row r="3523" spans="2:9" x14ac:dyDescent="0.2">
      <c r="B3523" t="s">
        <v>5454</v>
      </c>
      <c r="C3523" t="s">
        <v>5382</v>
      </c>
      <c r="D3523" t="s">
        <v>5224</v>
      </c>
      <c r="E3523">
        <v>1</v>
      </c>
      <c r="F3523">
        <v>23.99</v>
      </c>
      <c r="G3523">
        <f t="shared" si="54"/>
        <v>23.99</v>
      </c>
      <c r="H3523" t="s">
        <v>24</v>
      </c>
      <c r="I3523" t="s">
        <v>58</v>
      </c>
    </row>
    <row r="3524" spans="2:9" x14ac:dyDescent="0.2">
      <c r="B3524" t="s">
        <v>5455</v>
      </c>
      <c r="C3524" t="s">
        <v>5382</v>
      </c>
      <c r="D3524" t="s">
        <v>5456</v>
      </c>
      <c r="E3524">
        <v>1</v>
      </c>
      <c r="F3524">
        <v>23.99</v>
      </c>
      <c r="G3524">
        <f t="shared" si="54"/>
        <v>23.99</v>
      </c>
      <c r="H3524" t="s">
        <v>24</v>
      </c>
      <c r="I3524" t="s">
        <v>58</v>
      </c>
    </row>
    <row r="3525" spans="2:9" x14ac:dyDescent="0.2">
      <c r="B3525" t="s">
        <v>5457</v>
      </c>
      <c r="C3525" t="s">
        <v>5382</v>
      </c>
      <c r="D3525" t="s">
        <v>5458</v>
      </c>
      <c r="E3525">
        <v>0.184</v>
      </c>
      <c r="F3525">
        <v>124.99</v>
      </c>
      <c r="G3525">
        <f t="shared" ref="G3525:G3588" si="55">E3525*F3525</f>
        <v>22.998159999999999</v>
      </c>
      <c r="H3525" t="s">
        <v>24</v>
      </c>
      <c r="I3525" t="s">
        <v>58</v>
      </c>
    </row>
    <row r="3526" spans="2:9" x14ac:dyDescent="0.2">
      <c r="B3526" t="s">
        <v>5459</v>
      </c>
      <c r="C3526" t="s">
        <v>5382</v>
      </c>
      <c r="D3526" t="s">
        <v>982</v>
      </c>
      <c r="E3526">
        <v>0.93</v>
      </c>
      <c r="F3526">
        <v>7.99</v>
      </c>
      <c r="G3526">
        <f t="shared" si="55"/>
        <v>7.4307000000000007</v>
      </c>
      <c r="H3526" t="s">
        <v>24</v>
      </c>
      <c r="I3526" t="s">
        <v>58</v>
      </c>
    </row>
    <row r="3527" spans="2:9" x14ac:dyDescent="0.2">
      <c r="B3527" t="s">
        <v>5460</v>
      </c>
      <c r="C3527" t="s">
        <v>5382</v>
      </c>
      <c r="D3527" t="s">
        <v>982</v>
      </c>
      <c r="E3527">
        <v>1.165</v>
      </c>
      <c r="F3527">
        <v>7.99</v>
      </c>
      <c r="G3527">
        <f t="shared" si="55"/>
        <v>9.3083500000000008</v>
      </c>
      <c r="H3527" t="s">
        <v>24</v>
      </c>
      <c r="I3527" t="s">
        <v>58</v>
      </c>
    </row>
    <row r="3528" spans="2:9" x14ac:dyDescent="0.2">
      <c r="B3528" t="s">
        <v>5461</v>
      </c>
      <c r="C3528" t="s">
        <v>5382</v>
      </c>
      <c r="D3528" t="s">
        <v>5462</v>
      </c>
      <c r="E3528">
        <v>1</v>
      </c>
      <c r="F3528">
        <v>5.99</v>
      </c>
      <c r="G3528">
        <f t="shared" si="55"/>
        <v>5.99</v>
      </c>
      <c r="H3528" t="s">
        <v>24</v>
      </c>
      <c r="I3528" t="s">
        <v>58</v>
      </c>
    </row>
    <row r="3529" spans="2:9" x14ac:dyDescent="0.2">
      <c r="B3529" t="s">
        <v>5463</v>
      </c>
      <c r="C3529" t="s">
        <v>5382</v>
      </c>
      <c r="D3529" t="s">
        <v>5462</v>
      </c>
      <c r="E3529">
        <v>1</v>
      </c>
      <c r="F3529">
        <v>5.99</v>
      </c>
      <c r="G3529">
        <f t="shared" si="55"/>
        <v>5.99</v>
      </c>
      <c r="H3529" t="s">
        <v>24</v>
      </c>
      <c r="I3529" t="s">
        <v>58</v>
      </c>
    </row>
    <row r="3530" spans="2:9" x14ac:dyDescent="0.2">
      <c r="B3530" t="s">
        <v>5464</v>
      </c>
      <c r="C3530" t="s">
        <v>5382</v>
      </c>
      <c r="D3530" t="s">
        <v>5465</v>
      </c>
      <c r="E3530">
        <v>1</v>
      </c>
      <c r="F3530">
        <v>22.99</v>
      </c>
      <c r="G3530">
        <f t="shared" si="55"/>
        <v>22.99</v>
      </c>
      <c r="H3530" t="s">
        <v>24</v>
      </c>
      <c r="I3530" t="s">
        <v>58</v>
      </c>
    </row>
    <row r="3531" spans="2:9" x14ac:dyDescent="0.2">
      <c r="B3531" t="s">
        <v>5466</v>
      </c>
      <c r="C3531" t="s">
        <v>5382</v>
      </c>
      <c r="D3531" t="s">
        <v>5467</v>
      </c>
      <c r="E3531">
        <v>1</v>
      </c>
      <c r="F3531">
        <v>7.99</v>
      </c>
      <c r="G3531">
        <f t="shared" si="55"/>
        <v>7.99</v>
      </c>
      <c r="H3531" t="s">
        <v>24</v>
      </c>
      <c r="I3531" t="s">
        <v>58</v>
      </c>
    </row>
    <row r="3532" spans="2:9" x14ac:dyDescent="0.2">
      <c r="B3532" t="s">
        <v>5468</v>
      </c>
      <c r="C3532" t="s">
        <v>5382</v>
      </c>
      <c r="D3532" t="s">
        <v>5467</v>
      </c>
      <c r="E3532">
        <v>1</v>
      </c>
      <c r="F3532">
        <v>7.99</v>
      </c>
      <c r="G3532">
        <f t="shared" si="55"/>
        <v>7.99</v>
      </c>
      <c r="H3532" t="s">
        <v>24</v>
      </c>
      <c r="I3532" t="s">
        <v>58</v>
      </c>
    </row>
    <row r="3533" spans="2:9" x14ac:dyDescent="0.2">
      <c r="B3533" t="s">
        <v>5469</v>
      </c>
      <c r="C3533" t="s">
        <v>5382</v>
      </c>
      <c r="D3533" t="s">
        <v>5470</v>
      </c>
      <c r="E3533">
        <v>1</v>
      </c>
      <c r="F3533">
        <v>4.6900000000000004</v>
      </c>
      <c r="G3533">
        <f t="shared" si="55"/>
        <v>4.6900000000000004</v>
      </c>
      <c r="H3533" t="s">
        <v>24</v>
      </c>
      <c r="I3533" t="s">
        <v>58</v>
      </c>
    </row>
    <row r="3534" spans="2:9" x14ac:dyDescent="0.2">
      <c r="B3534" t="s">
        <v>5471</v>
      </c>
      <c r="C3534" t="s">
        <v>5382</v>
      </c>
      <c r="D3534" t="s">
        <v>5470</v>
      </c>
      <c r="E3534">
        <v>1</v>
      </c>
      <c r="F3534">
        <v>4.6900000000000004</v>
      </c>
      <c r="G3534">
        <f t="shared" si="55"/>
        <v>4.6900000000000004</v>
      </c>
      <c r="H3534" t="s">
        <v>24</v>
      </c>
      <c r="I3534" t="s">
        <v>58</v>
      </c>
    </row>
    <row r="3535" spans="2:9" x14ac:dyDescent="0.2">
      <c r="B3535" t="s">
        <v>5472</v>
      </c>
      <c r="C3535" t="s">
        <v>5382</v>
      </c>
      <c r="D3535" t="s">
        <v>5456</v>
      </c>
      <c r="E3535">
        <v>1</v>
      </c>
      <c r="F3535">
        <v>23.99</v>
      </c>
      <c r="G3535">
        <f t="shared" si="55"/>
        <v>23.99</v>
      </c>
      <c r="H3535" t="s">
        <v>24</v>
      </c>
      <c r="I3535" t="s">
        <v>58</v>
      </c>
    </row>
    <row r="3536" spans="2:9" x14ac:dyDescent="0.2">
      <c r="B3536" t="s">
        <v>5473</v>
      </c>
      <c r="C3536" t="s">
        <v>5382</v>
      </c>
      <c r="D3536" t="s">
        <v>5232</v>
      </c>
      <c r="E3536">
        <v>1</v>
      </c>
      <c r="F3536">
        <v>23.99</v>
      </c>
      <c r="G3536">
        <f t="shared" si="55"/>
        <v>23.99</v>
      </c>
      <c r="H3536" t="s">
        <v>24</v>
      </c>
      <c r="I3536" t="s">
        <v>58</v>
      </c>
    </row>
    <row r="3537" spans="2:9" x14ac:dyDescent="0.2">
      <c r="B3537" t="s">
        <v>5474</v>
      </c>
      <c r="C3537" t="s">
        <v>5382</v>
      </c>
      <c r="D3537" t="s">
        <v>4668</v>
      </c>
      <c r="E3537">
        <v>8.5000000000000006E-2</v>
      </c>
      <c r="F3537">
        <v>14.99</v>
      </c>
      <c r="G3537">
        <f t="shared" si="55"/>
        <v>1.2741500000000001</v>
      </c>
      <c r="H3537" t="s">
        <v>24</v>
      </c>
      <c r="I3537" t="s">
        <v>58</v>
      </c>
    </row>
    <row r="3538" spans="2:9" x14ac:dyDescent="0.2">
      <c r="B3538" t="s">
        <v>5475</v>
      </c>
      <c r="C3538" t="s">
        <v>5382</v>
      </c>
      <c r="D3538" t="s">
        <v>42</v>
      </c>
      <c r="E3538">
        <v>1.02</v>
      </c>
      <c r="F3538">
        <v>10.99</v>
      </c>
      <c r="G3538">
        <f t="shared" si="55"/>
        <v>11.2098</v>
      </c>
      <c r="H3538" t="s">
        <v>24</v>
      </c>
      <c r="I3538" t="s">
        <v>58</v>
      </c>
    </row>
    <row r="3539" spans="2:9" x14ac:dyDescent="0.2">
      <c r="B3539" t="s">
        <v>5476</v>
      </c>
      <c r="C3539" t="s">
        <v>5382</v>
      </c>
      <c r="D3539" t="s">
        <v>81</v>
      </c>
      <c r="E3539">
        <v>1.1950000000000001</v>
      </c>
      <c r="F3539">
        <v>9.49</v>
      </c>
      <c r="G3539">
        <f t="shared" si="55"/>
        <v>11.34055</v>
      </c>
      <c r="H3539" t="s">
        <v>24</v>
      </c>
      <c r="I3539" t="s">
        <v>58</v>
      </c>
    </row>
    <row r="3540" spans="2:9" x14ac:dyDescent="0.2">
      <c r="B3540" t="s">
        <v>5477</v>
      </c>
      <c r="C3540" t="s">
        <v>5382</v>
      </c>
      <c r="D3540" t="s">
        <v>81</v>
      </c>
      <c r="E3540">
        <v>0.93500000000000005</v>
      </c>
      <c r="F3540">
        <v>9.49</v>
      </c>
      <c r="G3540">
        <f t="shared" si="55"/>
        <v>8.8731500000000008</v>
      </c>
      <c r="H3540" t="s">
        <v>24</v>
      </c>
      <c r="I3540" t="s">
        <v>58</v>
      </c>
    </row>
    <row r="3541" spans="2:9" x14ac:dyDescent="0.2">
      <c r="B3541" t="s">
        <v>5478</v>
      </c>
      <c r="C3541" t="s">
        <v>5382</v>
      </c>
      <c r="D3541" t="s">
        <v>5479</v>
      </c>
      <c r="E3541">
        <v>1</v>
      </c>
      <c r="F3541">
        <v>3.29</v>
      </c>
      <c r="G3541">
        <f t="shared" si="55"/>
        <v>3.29</v>
      </c>
      <c r="H3541" t="s">
        <v>24</v>
      </c>
      <c r="I3541" t="s">
        <v>58</v>
      </c>
    </row>
    <row r="3542" spans="2:9" x14ac:dyDescent="0.2">
      <c r="B3542" t="s">
        <v>5480</v>
      </c>
      <c r="C3542" t="s">
        <v>5382</v>
      </c>
      <c r="D3542" t="s">
        <v>76</v>
      </c>
      <c r="E3542">
        <v>1.58</v>
      </c>
      <c r="F3542">
        <v>7.99</v>
      </c>
      <c r="G3542">
        <f t="shared" si="55"/>
        <v>12.6242</v>
      </c>
      <c r="H3542" t="s">
        <v>24</v>
      </c>
      <c r="I3542" t="s">
        <v>58</v>
      </c>
    </row>
    <row r="3543" spans="2:9" x14ac:dyDescent="0.2">
      <c r="B3543" t="s">
        <v>5481</v>
      </c>
      <c r="C3543" t="s">
        <v>5382</v>
      </c>
      <c r="D3543" t="s">
        <v>38</v>
      </c>
      <c r="E3543">
        <v>1.675</v>
      </c>
      <c r="F3543">
        <v>6.99</v>
      </c>
      <c r="G3543">
        <f t="shared" si="55"/>
        <v>11.708250000000001</v>
      </c>
      <c r="H3543" t="s">
        <v>24</v>
      </c>
      <c r="I3543" t="s">
        <v>58</v>
      </c>
    </row>
    <row r="3544" spans="2:9" x14ac:dyDescent="0.2">
      <c r="B3544" t="s">
        <v>5482</v>
      </c>
      <c r="C3544" t="s">
        <v>5382</v>
      </c>
      <c r="D3544" t="s">
        <v>5483</v>
      </c>
      <c r="E3544">
        <v>0.53400000000000003</v>
      </c>
      <c r="F3544">
        <v>36.99</v>
      </c>
      <c r="G3544">
        <f t="shared" si="55"/>
        <v>19.752660000000002</v>
      </c>
      <c r="H3544" t="s">
        <v>24</v>
      </c>
      <c r="I3544" t="s">
        <v>58</v>
      </c>
    </row>
    <row r="3545" spans="2:9" x14ac:dyDescent="0.2">
      <c r="B3545" t="s">
        <v>5484</v>
      </c>
      <c r="C3545" t="s">
        <v>5382</v>
      </c>
      <c r="D3545" t="s">
        <v>5485</v>
      </c>
      <c r="E3545">
        <v>1.08</v>
      </c>
      <c r="F3545">
        <v>4.99</v>
      </c>
      <c r="G3545">
        <f t="shared" si="55"/>
        <v>5.3892000000000007</v>
      </c>
      <c r="H3545" t="s">
        <v>24</v>
      </c>
      <c r="I3545" t="s">
        <v>58</v>
      </c>
    </row>
    <row r="3546" spans="2:9" x14ac:dyDescent="0.2">
      <c r="B3546" t="s">
        <v>5486</v>
      </c>
      <c r="C3546" t="s">
        <v>5382</v>
      </c>
      <c r="D3546" t="s">
        <v>5487</v>
      </c>
      <c r="E3546">
        <v>1</v>
      </c>
      <c r="F3546">
        <v>14.49</v>
      </c>
      <c r="G3546">
        <f t="shared" si="55"/>
        <v>14.49</v>
      </c>
      <c r="H3546" t="s">
        <v>24</v>
      </c>
      <c r="I3546" t="s">
        <v>58</v>
      </c>
    </row>
    <row r="3547" spans="2:9" x14ac:dyDescent="0.2">
      <c r="B3547" t="s">
        <v>5488</v>
      </c>
      <c r="C3547" t="s">
        <v>5382</v>
      </c>
      <c r="D3547" t="s">
        <v>5489</v>
      </c>
      <c r="E3547">
        <v>1</v>
      </c>
      <c r="F3547">
        <v>21.59</v>
      </c>
      <c r="G3547">
        <f t="shared" si="55"/>
        <v>21.59</v>
      </c>
      <c r="H3547" t="s">
        <v>24</v>
      </c>
      <c r="I3547" t="s">
        <v>58</v>
      </c>
    </row>
    <row r="3548" spans="2:9" x14ac:dyDescent="0.2">
      <c r="B3548" t="s">
        <v>5490</v>
      </c>
      <c r="C3548" t="s">
        <v>5382</v>
      </c>
      <c r="D3548" t="s">
        <v>5491</v>
      </c>
      <c r="E3548">
        <v>1</v>
      </c>
      <c r="F3548">
        <v>12.99</v>
      </c>
      <c r="G3548">
        <f t="shared" si="55"/>
        <v>12.99</v>
      </c>
      <c r="H3548" t="s">
        <v>24</v>
      </c>
      <c r="I3548" t="s">
        <v>58</v>
      </c>
    </row>
    <row r="3549" spans="2:9" x14ac:dyDescent="0.2">
      <c r="B3549" t="s">
        <v>5492</v>
      </c>
      <c r="C3549" t="s">
        <v>5382</v>
      </c>
      <c r="D3549" t="s">
        <v>5493</v>
      </c>
      <c r="E3549">
        <v>1</v>
      </c>
      <c r="F3549">
        <v>9.99</v>
      </c>
      <c r="G3549">
        <f t="shared" si="55"/>
        <v>9.99</v>
      </c>
      <c r="H3549" t="s">
        <v>25</v>
      </c>
      <c r="I3549" t="s">
        <v>58</v>
      </c>
    </row>
    <row r="3550" spans="2:9" x14ac:dyDescent="0.2">
      <c r="B3550" t="s">
        <v>5494</v>
      </c>
      <c r="C3550" t="s">
        <v>5382</v>
      </c>
      <c r="D3550" t="s">
        <v>5487</v>
      </c>
      <c r="E3550">
        <v>1</v>
      </c>
      <c r="F3550">
        <v>14.49</v>
      </c>
      <c r="G3550">
        <f t="shared" si="55"/>
        <v>14.49</v>
      </c>
      <c r="H3550" t="s">
        <v>24</v>
      </c>
      <c r="I3550" t="s">
        <v>58</v>
      </c>
    </row>
    <row r="3551" spans="2:9" x14ac:dyDescent="0.2">
      <c r="B3551" t="s">
        <v>5495</v>
      </c>
      <c r="C3551" t="s">
        <v>5382</v>
      </c>
      <c r="D3551" t="s">
        <v>5487</v>
      </c>
      <c r="E3551">
        <v>1</v>
      </c>
      <c r="F3551">
        <v>14.49</v>
      </c>
      <c r="G3551">
        <f t="shared" si="55"/>
        <v>14.49</v>
      </c>
      <c r="H3551" t="s">
        <v>24</v>
      </c>
      <c r="I3551" t="s">
        <v>58</v>
      </c>
    </row>
    <row r="3552" spans="2:9" x14ac:dyDescent="0.2">
      <c r="B3552" t="s">
        <v>5496</v>
      </c>
      <c r="C3552" t="s">
        <v>5382</v>
      </c>
      <c r="D3552" t="s">
        <v>2582</v>
      </c>
      <c r="E3552">
        <v>3.33</v>
      </c>
      <c r="F3552">
        <v>1.99</v>
      </c>
      <c r="G3552">
        <f t="shared" si="55"/>
        <v>6.6267000000000005</v>
      </c>
      <c r="H3552" t="s">
        <v>24</v>
      </c>
      <c r="I3552" t="s">
        <v>58</v>
      </c>
    </row>
    <row r="3553" spans="2:9" x14ac:dyDescent="0.2">
      <c r="B3553" t="s">
        <v>5497</v>
      </c>
      <c r="C3553" t="s">
        <v>5382</v>
      </c>
      <c r="D3553" t="s">
        <v>5498</v>
      </c>
      <c r="E3553">
        <v>1</v>
      </c>
      <c r="F3553">
        <v>8.2899999999999991</v>
      </c>
      <c r="G3553">
        <f t="shared" si="55"/>
        <v>8.2899999999999991</v>
      </c>
      <c r="H3553" t="s">
        <v>25</v>
      </c>
      <c r="I3553" t="s">
        <v>58</v>
      </c>
    </row>
    <row r="3554" spans="2:9" x14ac:dyDescent="0.2">
      <c r="B3554" t="s">
        <v>5499</v>
      </c>
      <c r="C3554" t="s">
        <v>5382</v>
      </c>
      <c r="D3554" t="s">
        <v>5500</v>
      </c>
      <c r="E3554">
        <v>1</v>
      </c>
      <c r="F3554">
        <v>24.99</v>
      </c>
      <c r="G3554">
        <f t="shared" si="55"/>
        <v>24.99</v>
      </c>
      <c r="H3554" t="s">
        <v>25</v>
      </c>
      <c r="I3554" t="s">
        <v>58</v>
      </c>
    </row>
    <row r="3555" spans="2:9" x14ac:dyDescent="0.2">
      <c r="B3555" t="s">
        <v>5501</v>
      </c>
      <c r="C3555" t="s">
        <v>5382</v>
      </c>
      <c r="D3555" t="s">
        <v>5502</v>
      </c>
      <c r="E3555">
        <v>1</v>
      </c>
      <c r="F3555">
        <v>14.99</v>
      </c>
      <c r="G3555">
        <f t="shared" si="55"/>
        <v>14.99</v>
      </c>
      <c r="H3555" t="s">
        <v>24</v>
      </c>
      <c r="I3555" t="s">
        <v>58</v>
      </c>
    </row>
    <row r="3556" spans="2:9" x14ac:dyDescent="0.2">
      <c r="B3556" t="s">
        <v>5503</v>
      </c>
      <c r="C3556" t="s">
        <v>5382</v>
      </c>
      <c r="D3556" t="s">
        <v>5504</v>
      </c>
      <c r="E3556">
        <v>1</v>
      </c>
      <c r="F3556">
        <v>27.89</v>
      </c>
      <c r="G3556">
        <f t="shared" si="55"/>
        <v>27.89</v>
      </c>
      <c r="H3556" t="s">
        <v>24</v>
      </c>
      <c r="I3556" t="s">
        <v>58</v>
      </c>
    </row>
    <row r="3557" spans="2:9" x14ac:dyDescent="0.2">
      <c r="B3557" t="s">
        <v>5505</v>
      </c>
      <c r="C3557" t="s">
        <v>5382</v>
      </c>
      <c r="D3557" t="s">
        <v>5374</v>
      </c>
      <c r="E3557">
        <v>1</v>
      </c>
      <c r="F3557">
        <v>21.99</v>
      </c>
      <c r="G3557">
        <f t="shared" si="55"/>
        <v>21.99</v>
      </c>
      <c r="H3557" t="s">
        <v>25</v>
      </c>
      <c r="I3557" t="s">
        <v>58</v>
      </c>
    </row>
    <row r="3558" spans="2:9" x14ac:dyDescent="0.2">
      <c r="B3558" t="s">
        <v>5506</v>
      </c>
      <c r="C3558" t="s">
        <v>5382</v>
      </c>
      <c r="D3558" t="s">
        <v>5507</v>
      </c>
      <c r="E3558">
        <v>1</v>
      </c>
      <c r="F3558">
        <v>5.49</v>
      </c>
      <c r="G3558">
        <f t="shared" si="55"/>
        <v>5.49</v>
      </c>
      <c r="H3558" t="s">
        <v>25</v>
      </c>
      <c r="I3558" t="s">
        <v>58</v>
      </c>
    </row>
    <row r="3559" spans="2:9" x14ac:dyDescent="0.2">
      <c r="B3559" t="s">
        <v>5508</v>
      </c>
      <c r="C3559" t="s">
        <v>5382</v>
      </c>
      <c r="D3559" t="s">
        <v>5509</v>
      </c>
      <c r="E3559">
        <v>1</v>
      </c>
      <c r="F3559">
        <v>15.59</v>
      </c>
      <c r="G3559">
        <f t="shared" si="55"/>
        <v>15.59</v>
      </c>
      <c r="H3559" t="s">
        <v>25</v>
      </c>
      <c r="I3559" t="s">
        <v>58</v>
      </c>
    </row>
    <row r="3560" spans="2:9" x14ac:dyDescent="0.2">
      <c r="B3560" t="s">
        <v>5510</v>
      </c>
      <c r="C3560" t="s">
        <v>5382</v>
      </c>
      <c r="D3560" t="s">
        <v>5511</v>
      </c>
      <c r="E3560">
        <v>1</v>
      </c>
      <c r="F3560">
        <v>46.99</v>
      </c>
      <c r="G3560">
        <f t="shared" si="55"/>
        <v>46.99</v>
      </c>
      <c r="H3560" t="s">
        <v>24</v>
      </c>
      <c r="I3560" t="s">
        <v>58</v>
      </c>
    </row>
    <row r="3561" spans="2:9" x14ac:dyDescent="0.2">
      <c r="B3561" t="s">
        <v>5512</v>
      </c>
      <c r="C3561" t="s">
        <v>5382</v>
      </c>
      <c r="D3561" t="s">
        <v>5513</v>
      </c>
      <c r="E3561">
        <v>1</v>
      </c>
      <c r="F3561">
        <v>17.989999999999998</v>
      </c>
      <c r="G3561">
        <f t="shared" si="55"/>
        <v>17.989999999999998</v>
      </c>
      <c r="H3561" t="s">
        <v>25</v>
      </c>
      <c r="I3561" t="s">
        <v>58</v>
      </c>
    </row>
    <row r="3562" spans="2:9" x14ac:dyDescent="0.2">
      <c r="B3562" t="s">
        <v>5514</v>
      </c>
      <c r="C3562" t="s">
        <v>5382</v>
      </c>
      <c r="D3562" t="s">
        <v>5515</v>
      </c>
      <c r="E3562">
        <v>1</v>
      </c>
      <c r="F3562">
        <v>21.59</v>
      </c>
      <c r="G3562">
        <f t="shared" si="55"/>
        <v>21.59</v>
      </c>
      <c r="H3562" t="s">
        <v>24</v>
      </c>
      <c r="I3562" t="s">
        <v>5516</v>
      </c>
    </row>
    <row r="3563" spans="2:9" x14ac:dyDescent="0.2">
      <c r="B3563" t="s">
        <v>5517</v>
      </c>
      <c r="C3563" t="s">
        <v>5382</v>
      </c>
      <c r="D3563" t="s">
        <v>5518</v>
      </c>
      <c r="E3563">
        <v>1</v>
      </c>
      <c r="F3563">
        <v>23.39</v>
      </c>
      <c r="G3563">
        <f t="shared" si="55"/>
        <v>23.39</v>
      </c>
      <c r="H3563" t="s">
        <v>24</v>
      </c>
      <c r="I3563" t="s">
        <v>5516</v>
      </c>
    </row>
    <row r="3564" spans="2:9" x14ac:dyDescent="0.2">
      <c r="B3564" t="s">
        <v>5519</v>
      </c>
      <c r="C3564" t="s">
        <v>5382</v>
      </c>
      <c r="D3564" t="s">
        <v>5520</v>
      </c>
      <c r="E3564">
        <v>1</v>
      </c>
      <c r="F3564">
        <v>14.99</v>
      </c>
      <c r="G3564">
        <f t="shared" si="55"/>
        <v>14.99</v>
      </c>
      <c r="H3564" t="s">
        <v>24</v>
      </c>
      <c r="I3564" t="s">
        <v>5516</v>
      </c>
    </row>
    <row r="3565" spans="2:9" x14ac:dyDescent="0.2">
      <c r="B3565" t="s">
        <v>5521</v>
      </c>
      <c r="C3565" t="s">
        <v>5382</v>
      </c>
      <c r="D3565" t="s">
        <v>5522</v>
      </c>
      <c r="E3565">
        <v>1</v>
      </c>
      <c r="F3565">
        <v>24.39</v>
      </c>
      <c r="G3565">
        <f t="shared" si="55"/>
        <v>24.39</v>
      </c>
      <c r="H3565" t="s">
        <v>24</v>
      </c>
      <c r="I3565" t="s">
        <v>5516</v>
      </c>
    </row>
    <row r="3566" spans="2:9" x14ac:dyDescent="0.2">
      <c r="B3566" t="s">
        <v>5523</v>
      </c>
      <c r="C3566" t="s">
        <v>5382</v>
      </c>
      <c r="D3566" t="s">
        <v>5524</v>
      </c>
      <c r="E3566">
        <v>1</v>
      </c>
      <c r="F3566">
        <v>18.989999999999998</v>
      </c>
      <c r="G3566">
        <f t="shared" si="55"/>
        <v>18.989999999999998</v>
      </c>
      <c r="H3566" t="s">
        <v>24</v>
      </c>
      <c r="I3566" t="s">
        <v>5516</v>
      </c>
    </row>
    <row r="3567" spans="2:9" x14ac:dyDescent="0.2">
      <c r="B3567" t="s">
        <v>5525</v>
      </c>
      <c r="C3567" t="s">
        <v>5382</v>
      </c>
      <c r="D3567" t="s">
        <v>5526</v>
      </c>
      <c r="E3567">
        <v>1.194</v>
      </c>
      <c r="F3567">
        <v>38.99</v>
      </c>
      <c r="G3567">
        <f t="shared" si="55"/>
        <v>46.55406</v>
      </c>
      <c r="H3567" t="s">
        <v>24</v>
      </c>
      <c r="I3567" t="s">
        <v>5516</v>
      </c>
    </row>
    <row r="3568" spans="2:9" x14ac:dyDescent="0.2">
      <c r="B3568" t="s">
        <v>5527</v>
      </c>
      <c r="C3568" t="s">
        <v>5382</v>
      </c>
      <c r="D3568" t="s">
        <v>5528</v>
      </c>
      <c r="E3568">
        <v>1.0640000000000001</v>
      </c>
      <c r="F3568">
        <v>42.99</v>
      </c>
      <c r="G3568">
        <f t="shared" si="55"/>
        <v>45.741360000000007</v>
      </c>
      <c r="H3568" t="s">
        <v>24</v>
      </c>
      <c r="I3568" t="s">
        <v>5516</v>
      </c>
    </row>
    <row r="3569" spans="2:9" x14ac:dyDescent="0.2">
      <c r="B3569" t="s">
        <v>5529</v>
      </c>
      <c r="C3569" t="s">
        <v>5382</v>
      </c>
      <c r="D3569" t="s">
        <v>5530</v>
      </c>
      <c r="E3569">
        <v>3.09</v>
      </c>
      <c r="F3569">
        <v>8.99</v>
      </c>
      <c r="G3569">
        <f t="shared" si="55"/>
        <v>27.7791</v>
      </c>
      <c r="H3569" t="s">
        <v>24</v>
      </c>
      <c r="I3569" t="s">
        <v>5516</v>
      </c>
    </row>
    <row r="3570" spans="2:9" x14ac:dyDescent="0.2">
      <c r="B3570" t="s">
        <v>5531</v>
      </c>
      <c r="C3570" t="s">
        <v>5382</v>
      </c>
      <c r="D3570" t="s">
        <v>5532</v>
      </c>
      <c r="E3570">
        <v>1.0660000000000001</v>
      </c>
      <c r="F3570">
        <v>28.99</v>
      </c>
      <c r="G3570">
        <f t="shared" si="55"/>
        <v>30.90334</v>
      </c>
      <c r="H3570" t="s">
        <v>24</v>
      </c>
      <c r="I3570" t="s">
        <v>5516</v>
      </c>
    </row>
    <row r="3571" spans="2:9" x14ac:dyDescent="0.2">
      <c r="B3571" t="s">
        <v>5533</v>
      </c>
      <c r="C3571" t="s">
        <v>5382</v>
      </c>
      <c r="D3571" t="s">
        <v>5004</v>
      </c>
      <c r="E3571">
        <v>0.53200000000000003</v>
      </c>
      <c r="F3571">
        <v>45.49</v>
      </c>
      <c r="G3571">
        <f t="shared" si="55"/>
        <v>24.200680000000002</v>
      </c>
      <c r="H3571" t="s">
        <v>24</v>
      </c>
      <c r="I3571" t="s">
        <v>5516</v>
      </c>
    </row>
    <row r="3572" spans="2:9" x14ac:dyDescent="0.2">
      <c r="B3572" t="s">
        <v>5534</v>
      </c>
      <c r="C3572" t="s">
        <v>5382</v>
      </c>
      <c r="D3572" t="s">
        <v>5000</v>
      </c>
      <c r="E3572">
        <v>1.042</v>
      </c>
      <c r="F3572">
        <v>19.489999999999998</v>
      </c>
      <c r="G3572">
        <f t="shared" si="55"/>
        <v>20.308579999999999</v>
      </c>
      <c r="H3572" t="s">
        <v>24</v>
      </c>
      <c r="I3572" t="s">
        <v>5516</v>
      </c>
    </row>
    <row r="3573" spans="2:9" x14ac:dyDescent="0.2">
      <c r="B3573" t="s">
        <v>5535</v>
      </c>
      <c r="C3573" t="s">
        <v>5382</v>
      </c>
      <c r="D3573" t="s">
        <v>5536</v>
      </c>
      <c r="E3573">
        <v>2.6560000000000001</v>
      </c>
      <c r="F3573">
        <v>120.99</v>
      </c>
      <c r="G3573">
        <f t="shared" si="55"/>
        <v>321.34944000000002</v>
      </c>
      <c r="H3573" t="s">
        <v>24</v>
      </c>
      <c r="I3573" t="s">
        <v>5516</v>
      </c>
    </row>
    <row r="3574" spans="2:9" x14ac:dyDescent="0.2">
      <c r="B3574" t="s">
        <v>5537</v>
      </c>
      <c r="C3574" t="s">
        <v>5382</v>
      </c>
      <c r="D3574" t="s">
        <v>5538</v>
      </c>
      <c r="E3574">
        <v>0.69799999999999995</v>
      </c>
      <c r="F3574">
        <v>29.99</v>
      </c>
      <c r="G3574">
        <f t="shared" si="55"/>
        <v>20.933019999999999</v>
      </c>
      <c r="H3574" t="s">
        <v>24</v>
      </c>
      <c r="I3574" t="s">
        <v>5516</v>
      </c>
    </row>
    <row r="3575" spans="2:9" x14ac:dyDescent="0.2">
      <c r="B3575" t="s">
        <v>5539</v>
      </c>
      <c r="C3575" t="s">
        <v>5382</v>
      </c>
      <c r="D3575" t="s">
        <v>5540</v>
      </c>
      <c r="E3575">
        <v>1.798</v>
      </c>
      <c r="F3575">
        <v>60.49</v>
      </c>
      <c r="G3575">
        <f t="shared" si="55"/>
        <v>108.76102</v>
      </c>
      <c r="H3575" t="s">
        <v>24</v>
      </c>
      <c r="I3575" t="s">
        <v>5516</v>
      </c>
    </row>
    <row r="3576" spans="2:9" x14ac:dyDescent="0.2">
      <c r="B3576" t="s">
        <v>5541</v>
      </c>
      <c r="C3576" t="s">
        <v>5382</v>
      </c>
      <c r="D3576" t="s">
        <v>5542</v>
      </c>
      <c r="E3576">
        <v>1</v>
      </c>
      <c r="F3576">
        <v>3.29</v>
      </c>
      <c r="G3576">
        <f t="shared" si="55"/>
        <v>3.29</v>
      </c>
      <c r="H3576" t="s">
        <v>24</v>
      </c>
      <c r="I3576" t="s">
        <v>5516</v>
      </c>
    </row>
  </sheetData>
  <mergeCells count="2">
    <mergeCell ref="B3:I3"/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40D47-AA91-9641-B9D5-E25B36EB74D5}">
  <dimension ref="A1:B16"/>
  <sheetViews>
    <sheetView tabSelected="1" workbookViewId="0">
      <selection activeCell="B25" sqref="B25"/>
    </sheetView>
  </sheetViews>
  <sheetFormatPr baseColWidth="10" defaultRowHeight="15" x14ac:dyDescent="0.2"/>
  <cols>
    <col min="1" max="1" width="33.33203125" customWidth="1"/>
    <col min="2" max="2" width="58.33203125" customWidth="1"/>
  </cols>
  <sheetData>
    <row r="1" spans="1:2" ht="48" customHeight="1" x14ac:dyDescent="0.2">
      <c r="A1" s="63" t="s">
        <v>5543</v>
      </c>
      <c r="B1" s="63"/>
    </row>
    <row r="2" spans="1:2" ht="24" customHeight="1" x14ac:dyDescent="0.2">
      <c r="A2" s="64" t="s">
        <v>5544</v>
      </c>
      <c r="B2" s="64"/>
    </row>
    <row r="3" spans="1:2" ht="5" customHeight="1" x14ac:dyDescent="0.2">
      <c r="A3" s="65"/>
      <c r="B3" s="65"/>
    </row>
    <row r="5" spans="1:2" ht="24" customHeight="1" x14ac:dyDescent="0.2">
      <c r="A5" s="66" t="s">
        <v>5545</v>
      </c>
      <c r="B5" s="66"/>
    </row>
    <row r="6" spans="1:2" x14ac:dyDescent="0.2">
      <c r="A6" s="67" t="s">
        <v>5546</v>
      </c>
      <c r="B6" s="67" t="s">
        <v>5547</v>
      </c>
    </row>
    <row r="7" spans="1:2" ht="32" x14ac:dyDescent="0.2">
      <c r="A7" s="68" t="s">
        <v>5548</v>
      </c>
      <c r="B7" s="69" t="s">
        <v>5549</v>
      </c>
    </row>
    <row r="8" spans="1:2" ht="32" x14ac:dyDescent="0.2">
      <c r="A8" s="68" t="s">
        <v>5550</v>
      </c>
      <c r="B8" s="69" t="s">
        <v>5551</v>
      </c>
    </row>
    <row r="9" spans="1:2" ht="32" x14ac:dyDescent="0.2">
      <c r="A9" s="68" t="s">
        <v>5552</v>
      </c>
      <c r="B9" s="69" t="s">
        <v>5553</v>
      </c>
    </row>
    <row r="10" spans="1:2" ht="16" x14ac:dyDescent="0.2">
      <c r="A10" s="68" t="s">
        <v>5554</v>
      </c>
      <c r="B10" s="69" t="s">
        <v>5555</v>
      </c>
    </row>
    <row r="11" spans="1:2" ht="16" x14ac:dyDescent="0.2">
      <c r="A11" s="68" t="s">
        <v>5609</v>
      </c>
      <c r="B11" s="69" t="s">
        <v>5610</v>
      </c>
    </row>
    <row r="13" spans="1:2" ht="24" customHeight="1" x14ac:dyDescent="0.2">
      <c r="A13" s="66" t="s">
        <v>5556</v>
      </c>
      <c r="B13" s="66"/>
    </row>
    <row r="14" spans="1:2" x14ac:dyDescent="0.2">
      <c r="A14" s="70" t="s">
        <v>5557</v>
      </c>
      <c r="B14" s="70"/>
    </row>
    <row r="15" spans="1:2" x14ac:dyDescent="0.2">
      <c r="A15" s="70" t="s">
        <v>5558</v>
      </c>
      <c r="B15" s="70"/>
    </row>
    <row r="16" spans="1:2" x14ac:dyDescent="0.2">
      <c r="A16" s="70" t="s">
        <v>5559</v>
      </c>
      <c r="B16" s="70"/>
    </row>
  </sheetData>
  <mergeCells count="7">
    <mergeCell ref="A16:B16"/>
    <mergeCell ref="A1:B1"/>
    <mergeCell ref="A2:B2"/>
    <mergeCell ref="A5:B5"/>
    <mergeCell ref="A13:B13"/>
    <mergeCell ref="A14:B14"/>
    <mergeCell ref="A15:B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B7C9A-81F3-EF4D-A645-F2848CCF89A2}">
  <dimension ref="A1:H22"/>
  <sheetViews>
    <sheetView workbookViewId="0"/>
  </sheetViews>
  <sheetFormatPr baseColWidth="10" defaultRowHeight="15" x14ac:dyDescent="0.2"/>
  <cols>
    <col min="1" max="8" width="14.1640625" customWidth="1"/>
  </cols>
  <sheetData>
    <row r="1" spans="1:8" ht="48" customHeight="1" x14ac:dyDescent="0.2">
      <c r="A1" s="63" t="s">
        <v>5560</v>
      </c>
      <c r="B1" s="63"/>
      <c r="C1" s="63"/>
      <c r="D1" s="63"/>
      <c r="E1" s="63"/>
      <c r="F1" s="63"/>
      <c r="G1" s="63"/>
      <c r="H1" s="63"/>
    </row>
    <row r="2" spans="1:8" ht="24" customHeight="1" x14ac:dyDescent="0.2">
      <c r="A2" s="64" t="s">
        <v>5561</v>
      </c>
      <c r="B2" s="64"/>
      <c r="C2" s="64"/>
      <c r="D2" s="64"/>
      <c r="E2" s="64"/>
      <c r="F2" s="64"/>
      <c r="G2" s="64"/>
      <c r="H2" s="64"/>
    </row>
    <row r="4" spans="1:8" ht="48" customHeight="1" x14ac:dyDescent="0.35">
      <c r="A4" s="84">
        <f>SUM('Registro de Compras'!G5:G3576)</f>
        <v>79744.572604999921</v>
      </c>
      <c r="B4" s="72"/>
      <c r="C4" s="74">
        <f>COUNTA('Registro de Compras'!B5:B3576)</f>
        <v>3572</v>
      </c>
      <c r="D4" s="72"/>
      <c r="E4" s="84">
        <f>A4/C4</f>
        <v>22.324908344064927</v>
      </c>
      <c r="F4" s="72"/>
      <c r="G4" s="75">
        <f>'Terminal IIP'!B6</f>
        <v>0.4024328031531999</v>
      </c>
      <c r="H4" s="72"/>
    </row>
    <row r="5" spans="1:8" x14ac:dyDescent="0.2">
      <c r="A5" s="76" t="s">
        <v>5562</v>
      </c>
      <c r="B5" s="73"/>
      <c r="C5" s="76" t="s">
        <v>5563</v>
      </c>
      <c r="D5" s="73"/>
      <c r="E5" s="76" t="s">
        <v>5564</v>
      </c>
      <c r="F5" s="73"/>
      <c r="G5" s="76" t="s">
        <v>5565</v>
      </c>
      <c r="H5" s="73"/>
    </row>
    <row r="7" spans="1:8" ht="24" customHeight="1" x14ac:dyDescent="0.2">
      <c r="A7" s="66" t="s">
        <v>5566</v>
      </c>
      <c r="B7" s="66"/>
      <c r="C7" s="66"/>
      <c r="D7" s="66"/>
      <c r="E7" s="66"/>
      <c r="F7" s="66"/>
      <c r="G7" s="66"/>
      <c r="H7" s="66"/>
    </row>
    <row r="8" spans="1:8" x14ac:dyDescent="0.2">
      <c r="A8" s="77" t="s">
        <v>5567</v>
      </c>
      <c r="B8" s="77"/>
      <c r="C8" s="77"/>
      <c r="D8" s="77"/>
      <c r="E8" s="77"/>
      <c r="F8" s="77"/>
      <c r="G8" s="77"/>
      <c r="H8" s="77"/>
    </row>
    <row r="9" spans="1:8" x14ac:dyDescent="0.2">
      <c r="A9" s="70" t="s">
        <v>5568</v>
      </c>
      <c r="B9" s="70"/>
      <c r="C9" s="70"/>
      <c r="D9" s="70"/>
      <c r="E9" s="70"/>
      <c r="F9" s="70"/>
      <c r="G9" s="70"/>
      <c r="H9" s="70"/>
    </row>
    <row r="10" spans="1:8" x14ac:dyDescent="0.2">
      <c r="A10" s="77" t="s">
        <v>5569</v>
      </c>
      <c r="B10" s="77"/>
      <c r="C10" s="77"/>
      <c r="D10" s="77"/>
      <c r="E10" s="77"/>
      <c r="F10" s="77"/>
      <c r="G10" s="77"/>
      <c r="H10" s="77"/>
    </row>
    <row r="11" spans="1:8" x14ac:dyDescent="0.2">
      <c r="A11" s="70" t="s">
        <v>5570</v>
      </c>
      <c r="B11" s="70"/>
      <c r="C11" s="70"/>
      <c r="D11" s="70"/>
      <c r="E11" s="70"/>
      <c r="F11" s="70"/>
      <c r="G11" s="70"/>
      <c r="H11" s="70"/>
    </row>
    <row r="12" spans="1:8" x14ac:dyDescent="0.2">
      <c r="A12" s="77" t="s">
        <v>5571</v>
      </c>
      <c r="B12" s="77"/>
      <c r="C12" s="77"/>
      <c r="D12" s="77"/>
      <c r="E12" s="77"/>
      <c r="F12" s="77"/>
      <c r="G12" s="77"/>
      <c r="H12" s="77"/>
    </row>
    <row r="14" spans="1:8" ht="24" customHeight="1" x14ac:dyDescent="0.2">
      <c r="A14" s="66" t="s">
        <v>5572</v>
      </c>
      <c r="B14" s="66"/>
      <c r="C14" s="66"/>
      <c r="D14" s="66"/>
      <c r="E14" s="66"/>
      <c r="F14" s="66"/>
      <c r="G14" s="66"/>
      <c r="H14" s="66"/>
    </row>
    <row r="15" spans="1:8" x14ac:dyDescent="0.2">
      <c r="A15" s="70" t="s">
        <v>5573</v>
      </c>
      <c r="B15" s="70"/>
      <c r="C15" s="70"/>
      <c r="D15" s="70"/>
      <c r="E15" s="70"/>
      <c r="F15" s="70"/>
      <c r="G15" s="70"/>
      <c r="H15" s="70"/>
    </row>
    <row r="16" spans="1:8" x14ac:dyDescent="0.2">
      <c r="A16" s="78" t="s">
        <v>5574</v>
      </c>
      <c r="B16" s="78"/>
      <c r="C16" s="78"/>
      <c r="D16" s="78"/>
      <c r="E16" s="78"/>
      <c r="F16" s="78"/>
      <c r="G16" s="78"/>
      <c r="H16" s="78"/>
    </row>
    <row r="17" spans="1:8" x14ac:dyDescent="0.2">
      <c r="A17" s="70" t="s">
        <v>5575</v>
      </c>
      <c r="B17" s="70"/>
      <c r="C17" s="70"/>
      <c r="D17" s="70"/>
      <c r="E17" s="70"/>
      <c r="F17" s="70"/>
      <c r="G17" s="70"/>
      <c r="H17" s="70"/>
    </row>
    <row r="18" spans="1:8" x14ac:dyDescent="0.2">
      <c r="A18" s="78" t="s">
        <v>5576</v>
      </c>
      <c r="B18" s="78"/>
      <c r="C18" s="78"/>
      <c r="D18" s="78"/>
      <c r="E18" s="78"/>
      <c r="F18" s="78"/>
      <c r="G18" s="78"/>
      <c r="H18" s="78"/>
    </row>
    <row r="20" spans="1:8" ht="24" customHeight="1" x14ac:dyDescent="0.2">
      <c r="A20" s="66" t="s">
        <v>5577</v>
      </c>
      <c r="B20" s="66"/>
      <c r="C20" s="66"/>
      <c r="D20" s="66"/>
      <c r="E20" s="66"/>
      <c r="F20" s="66"/>
      <c r="G20" s="66"/>
      <c r="H20" s="66"/>
    </row>
    <row r="21" spans="1:8" x14ac:dyDescent="0.2">
      <c r="A21" s="79" t="s">
        <v>5578</v>
      </c>
      <c r="B21" s="79"/>
      <c r="C21" s="79"/>
      <c r="D21" s="79"/>
      <c r="E21" s="79"/>
      <c r="F21" s="79"/>
      <c r="G21" s="79"/>
      <c r="H21" s="79"/>
    </row>
    <row r="22" spans="1:8" x14ac:dyDescent="0.2">
      <c r="A22" s="79"/>
      <c r="B22" s="79"/>
      <c r="C22" s="79"/>
      <c r="D22" s="79"/>
      <c r="E22" s="79"/>
      <c r="F22" s="79"/>
      <c r="G22" s="79"/>
      <c r="H22" s="79"/>
    </row>
  </sheetData>
  <mergeCells count="15">
    <mergeCell ref="A18:H18"/>
    <mergeCell ref="A20:H20"/>
    <mergeCell ref="A21:H22"/>
    <mergeCell ref="A11:H11"/>
    <mergeCell ref="A12:H12"/>
    <mergeCell ref="A14:H14"/>
    <mergeCell ref="A15:H15"/>
    <mergeCell ref="A16:H16"/>
    <mergeCell ref="A17:H17"/>
    <mergeCell ref="A1:H1"/>
    <mergeCell ref="A2:H2"/>
    <mergeCell ref="A7:H7"/>
    <mergeCell ref="A8:H8"/>
    <mergeCell ref="A9:H9"/>
    <mergeCell ref="A10:H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46EA-5783-7C4B-92E4-5A2A1034687A}">
  <dimension ref="A1:L39"/>
  <sheetViews>
    <sheetView workbookViewId="0"/>
  </sheetViews>
  <sheetFormatPr baseColWidth="10" defaultRowHeight="15" x14ac:dyDescent="0.2"/>
  <cols>
    <col min="1" max="1" width="33.33203125" customWidth="1"/>
    <col min="2" max="4" width="15.83203125" customWidth="1"/>
  </cols>
  <sheetData>
    <row r="1" spans="1:12" ht="48" customHeight="1" x14ac:dyDescent="0.2">
      <c r="A1" s="63" t="s">
        <v>5579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spans="1:12" ht="24" customHeight="1" x14ac:dyDescent="0.2">
      <c r="A2" s="64" t="s">
        <v>5580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</row>
    <row r="4" spans="1:12" ht="24" customHeight="1" x14ac:dyDescent="0.2">
      <c r="A4" s="66" t="s">
        <v>5581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</row>
    <row r="5" spans="1:12" x14ac:dyDescent="0.2">
      <c r="A5" s="77" t="s">
        <v>5582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</row>
    <row r="6" spans="1:12" x14ac:dyDescent="0.2">
      <c r="A6" s="70" t="s">
        <v>5583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</row>
    <row r="7" spans="1:12" x14ac:dyDescent="0.2">
      <c r="A7" s="77" t="s">
        <v>5584</v>
      </c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</row>
    <row r="8" spans="1:12" x14ac:dyDescent="0.2">
      <c r="A8" s="70" t="s">
        <v>5585</v>
      </c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</row>
    <row r="10" spans="1:12" x14ac:dyDescent="0.2">
      <c r="A10" s="67" t="s">
        <v>7</v>
      </c>
      <c r="B10" s="67" t="s">
        <v>5586</v>
      </c>
      <c r="C10" s="67" t="s">
        <v>5563</v>
      </c>
      <c r="D10" s="67" t="s">
        <v>5587</v>
      </c>
    </row>
    <row r="11" spans="1:12" x14ac:dyDescent="0.2">
      <c r="A11">
        <v>2022</v>
      </c>
      <c r="B11" s="85" cm="1">
        <f t="array" ref="B11">SUMPRODUCT(--(LEFT('Registro de Compras'!$C$5:$C$3576,4)=A11&amp;""),'Registro de Compras'!$G$5:$G$3576)</f>
        <v>14607.382318999989</v>
      </c>
      <c r="C11" s="80" cm="1">
        <f t="array" ref="C11">SUMPRODUCT(--(LEFT('Registro de Compras'!$C$5:$C$3576,4)=A11&amp;""))</f>
        <v>588</v>
      </c>
      <c r="D11" s="81"/>
    </row>
    <row r="12" spans="1:12" x14ac:dyDescent="0.2">
      <c r="A12">
        <v>2023</v>
      </c>
      <c r="B12" s="85" cm="1">
        <f t="array" ref="B12">SUMPRODUCT(--(LEFT('Registro de Compras'!$C$5:$C$3576,4)=A12&amp;""),'Registro de Compras'!$G$5:$G$3576)</f>
        <v>12056.929999999986</v>
      </c>
      <c r="C12" s="80" cm="1">
        <f t="array" ref="C12">SUMPRODUCT(--(LEFT('Registro de Compras'!$C$5:$C$3576,4)=A12&amp;""))</f>
        <v>320</v>
      </c>
      <c r="D12" s="81">
        <f>IFERROR(B12/B11-1,"")</f>
        <v>-0.17460023043845452</v>
      </c>
    </row>
    <row r="13" spans="1:12" x14ac:dyDescent="0.2">
      <c r="A13">
        <v>2024</v>
      </c>
      <c r="B13" s="85" cm="1">
        <f t="array" ref="B13">SUMPRODUCT(--(LEFT('Registro de Compras'!$C$5:$C$3576,4)=A13&amp;""),'Registro de Compras'!$G$5:$G$3576)</f>
        <v>15061.209999999928</v>
      </c>
      <c r="C13" s="80" cm="1">
        <f t="array" ref="C13">SUMPRODUCT(--(LEFT('Registro de Compras'!$C$5:$C$3576,4)=A13&amp;""))</f>
        <v>677</v>
      </c>
      <c r="D13" s="81">
        <f>IFERROR(B13/B12-1,"")</f>
        <v>0.24917454111452475</v>
      </c>
    </row>
    <row r="14" spans="1:12" x14ac:dyDescent="0.2">
      <c r="A14">
        <v>2025</v>
      </c>
      <c r="B14" s="85" cm="1">
        <f t="array" ref="B14">SUMPRODUCT(--(LEFT('Registro de Compras'!$C$5:$C$3576,4)=A14&amp;""),'Registro de Compras'!$G$5:$G$3576)</f>
        <v>27636.635000000639</v>
      </c>
      <c r="C14" s="80" cm="1">
        <f t="array" ref="C14">SUMPRODUCT(--(LEFT('Registro de Compras'!$C$5:$C$3576,4)=A14&amp;""))</f>
        <v>1582</v>
      </c>
      <c r="D14" s="81">
        <f>IFERROR(B14/B13-1,"")</f>
        <v>0.83495449568798064</v>
      </c>
    </row>
    <row r="15" spans="1:12" x14ac:dyDescent="0.2">
      <c r="A15">
        <v>2026</v>
      </c>
      <c r="B15" s="85" cm="1">
        <f t="array" ref="B15">SUMPRODUCT(--(LEFT('Registro de Compras'!$C$5:$C$3576,4)=A15&amp;""),'Registro de Compras'!$G$5:$G$3576)</f>
        <v>10382.415285999958</v>
      </c>
      <c r="C15" s="80" cm="1">
        <f t="array" ref="C15">SUMPRODUCT(--(LEFT('Registro de Compras'!$C$5:$C$3576,4)=A15&amp;""))</f>
        <v>405</v>
      </c>
      <c r="D15" s="81">
        <f>IFERROR(B15/B14-1,"")</f>
        <v>-0.62432418831020065</v>
      </c>
    </row>
    <row r="16" spans="1:12" x14ac:dyDescent="0.2">
      <c r="A16" s="82" t="s">
        <v>5588</v>
      </c>
      <c r="B16" s="82"/>
      <c r="C16" s="82"/>
      <c r="D16" s="82"/>
    </row>
    <row r="23" spans="1:4" ht="24" customHeight="1" x14ac:dyDescent="0.2">
      <c r="A23" s="66" t="s">
        <v>5589</v>
      </c>
      <c r="B23" s="66"/>
      <c r="C23" s="66"/>
      <c r="D23" s="66"/>
    </row>
    <row r="24" spans="1:4" x14ac:dyDescent="0.2">
      <c r="A24" s="67" t="s">
        <v>21</v>
      </c>
      <c r="B24" s="67" t="s">
        <v>5586</v>
      </c>
      <c r="C24" s="67" t="s">
        <v>5590</v>
      </c>
    </row>
    <row r="25" spans="1:4" x14ac:dyDescent="0.2">
      <c r="A25" t="s">
        <v>24</v>
      </c>
      <c r="B25" s="85">
        <f>SUMIF('Registro de Compras'!H:H,A25,'Registro de Compras'!G:G)</f>
        <v>68656.567604999014</v>
      </c>
      <c r="C25" s="81">
        <f>B25/SUM($B$25:$B$29)</f>
        <v>0.86095599189022542</v>
      </c>
    </row>
    <row r="26" spans="1:4" x14ac:dyDescent="0.2">
      <c r="A26" t="s">
        <v>28</v>
      </c>
      <c r="B26" s="85">
        <f>SUMIF('Registro de Compras'!H:H,A26,'Registro de Compras'!G:G)</f>
        <v>4572.3899999999958</v>
      </c>
      <c r="C26" s="81">
        <f>B26/SUM($B$25:$B$29)</f>
        <v>5.7337946027355889E-2</v>
      </c>
    </row>
    <row r="27" spans="1:4" x14ac:dyDescent="0.2">
      <c r="A27" t="s">
        <v>25</v>
      </c>
      <c r="B27" s="85">
        <f>SUMIF('Registro de Compras'!H:H,A27,'Registro de Compras'!G:G)</f>
        <v>3808.049999999992</v>
      </c>
      <c r="C27" s="81">
        <f>B27/SUM($B$25:$B$29)</f>
        <v>4.7753093102179019E-2</v>
      </c>
    </row>
    <row r="28" spans="1:4" x14ac:dyDescent="0.2">
      <c r="A28" t="s">
        <v>26</v>
      </c>
      <c r="B28" s="85">
        <f>SUMIF('Registro de Compras'!H:H,A28,'Registro de Compras'!G:G)</f>
        <v>1647.48</v>
      </c>
      <c r="C28" s="81">
        <f>B28/SUM($B$25:$B$29)</f>
        <v>2.0659462408313456E-2</v>
      </c>
    </row>
    <row r="29" spans="1:4" x14ac:dyDescent="0.2">
      <c r="A29" t="s">
        <v>27</v>
      </c>
      <c r="B29" s="85">
        <f>SUMIF('Registro de Compras'!H:H,A29,'Registro de Compras'!G:G)</f>
        <v>1060.0849999999998</v>
      </c>
      <c r="C29" s="81">
        <f>B29/SUM($B$25:$B$29)</f>
        <v>1.3293506571926194E-2</v>
      </c>
    </row>
    <row r="32" spans="1:4" ht="24" customHeight="1" x14ac:dyDescent="0.2">
      <c r="A32" s="66" t="s">
        <v>5591</v>
      </c>
      <c r="B32" s="66"/>
      <c r="C32" s="66"/>
      <c r="D32" s="66"/>
    </row>
    <row r="33" spans="1:4" x14ac:dyDescent="0.2">
      <c r="A33" s="67" t="s">
        <v>5592</v>
      </c>
      <c r="B33" s="67" t="s">
        <v>32</v>
      </c>
      <c r="C33" s="67" t="s">
        <v>36</v>
      </c>
      <c r="D33" s="67" t="s">
        <v>5593</v>
      </c>
    </row>
    <row r="34" spans="1:4" ht="16" x14ac:dyDescent="0.2">
      <c r="A34" s="83" t="str">
        <f>'Terminal IIP'!B28</f>
        <v>CENOURA KG</v>
      </c>
      <c r="B34" s="85">
        <f>'Terminal IIP'!D28</f>
        <v>3.99</v>
      </c>
      <c r="C34" s="85">
        <f>'Terminal IIP'!H28</f>
        <v>9.99</v>
      </c>
      <c r="D34" s="81">
        <f>'Terminal IIP'!I28</f>
        <v>1.5037593984962405</v>
      </c>
    </row>
    <row r="35" spans="1:4" ht="32" x14ac:dyDescent="0.2">
      <c r="A35" s="83" t="str">
        <f>'Terminal IIP'!B29</f>
        <v>CAFE SANTA CLARA 250G CLASSICO ALMOFADA</v>
      </c>
      <c r="B35" s="85">
        <f>'Terminal IIP'!D29</f>
        <v>7.99</v>
      </c>
      <c r="C35" s="85">
        <f>'Terminal IIP'!H29</f>
        <v>14.49</v>
      </c>
      <c r="D35" s="81">
        <f>'Terminal IIP'!I29</f>
        <v>0.81351689612015021</v>
      </c>
    </row>
    <row r="36" spans="1:4" ht="32" x14ac:dyDescent="0.2">
      <c r="A36" s="83" t="str">
        <f>'Terminal IIP'!B30</f>
        <v>DESODORANTE AEROSOL AXE MARINE 152ML90G</v>
      </c>
      <c r="B36" s="85">
        <f>'Terminal IIP'!D30</f>
        <v>9.48</v>
      </c>
      <c r="C36" s="85">
        <f>'Terminal IIP'!H30</f>
        <v>15.59</v>
      </c>
      <c r="D36" s="81">
        <f>'Terminal IIP'!I30</f>
        <v>0.64451476793248941</v>
      </c>
    </row>
    <row r="37" spans="1:4" ht="16" x14ac:dyDescent="0.2">
      <c r="A37" s="83" t="str">
        <f>'Terminal IIP'!B31</f>
        <v>TAXA DE ENTREGA</v>
      </c>
      <c r="B37" s="85">
        <f>'Terminal IIP'!D31</f>
        <v>11</v>
      </c>
      <c r="C37" s="85">
        <f>'Terminal IIP'!H31</f>
        <v>18</v>
      </c>
      <c r="D37" s="81">
        <f>'Terminal IIP'!I31</f>
        <v>0.63636363636363635</v>
      </c>
    </row>
    <row r="38" spans="1:4" ht="16" x14ac:dyDescent="0.2">
      <c r="A38" s="83" t="str">
        <f>'Terminal IIP'!B32</f>
        <v>MANGA ROSA KG</v>
      </c>
      <c r="B38" s="85">
        <f>'Terminal IIP'!D32</f>
        <v>6.49</v>
      </c>
      <c r="C38" s="85">
        <f>'Terminal IIP'!H32</f>
        <v>9.99</v>
      </c>
      <c r="D38" s="81">
        <f>'Terminal IIP'!I32</f>
        <v>0.53929121725731899</v>
      </c>
    </row>
    <row r="39" spans="1:4" ht="16" x14ac:dyDescent="0.2">
      <c r="A39" s="83" t="str">
        <f>'Terminal IIP'!B33</f>
        <v>REFRIGERANTE COCA-COLA 250ML PET</v>
      </c>
      <c r="B39" s="85">
        <f>'Terminal IIP'!D33</f>
        <v>1.95</v>
      </c>
      <c r="C39" s="85">
        <f>'Terminal IIP'!H33</f>
        <v>2.59</v>
      </c>
      <c r="D39" s="81">
        <f>'Terminal IIP'!I33</f>
        <v>0.32820512820512815</v>
      </c>
    </row>
  </sheetData>
  <mergeCells count="10">
    <mergeCell ref="A8:L8"/>
    <mergeCell ref="A16:D16"/>
    <mergeCell ref="A23:D23"/>
    <mergeCell ref="A32:D32"/>
    <mergeCell ref="A1:L1"/>
    <mergeCell ref="A2:L2"/>
    <mergeCell ref="A4:L4"/>
    <mergeCell ref="A5:L5"/>
    <mergeCell ref="A6:L6"/>
    <mergeCell ref="A7:L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34502-CC95-B04A-863E-1D8C30140687}">
  <dimension ref="A1:H16"/>
  <sheetViews>
    <sheetView workbookViewId="0"/>
  </sheetViews>
  <sheetFormatPr baseColWidth="10" defaultRowHeight="15" x14ac:dyDescent="0.2"/>
  <cols>
    <col min="1" max="1" width="13.33203125" customWidth="1"/>
    <col min="2" max="2" width="15.83203125" customWidth="1"/>
    <col min="3" max="3" width="14.1640625" customWidth="1"/>
    <col min="4" max="4" width="36.6640625" customWidth="1"/>
    <col min="5" max="5" width="15.83203125" customWidth="1"/>
    <col min="6" max="6" width="25" customWidth="1"/>
    <col min="7" max="7" width="26.6640625" customWidth="1"/>
    <col min="8" max="8" width="30" customWidth="1"/>
  </cols>
  <sheetData>
    <row r="1" spans="1:8" ht="48" customHeight="1" x14ac:dyDescent="0.2">
      <c r="A1" s="63" t="s">
        <v>5594</v>
      </c>
      <c r="B1" s="63"/>
      <c r="C1" s="63"/>
      <c r="D1" s="63"/>
      <c r="E1" s="63"/>
      <c r="F1" s="63"/>
      <c r="G1" s="63"/>
      <c r="H1" s="63"/>
    </row>
    <row r="2" spans="1:8" ht="24" customHeight="1" x14ac:dyDescent="0.2">
      <c r="A2" s="64" t="s">
        <v>5595</v>
      </c>
      <c r="B2" s="64"/>
      <c r="C2" s="64"/>
      <c r="D2" s="64"/>
      <c r="E2" s="64"/>
      <c r="F2" s="64"/>
      <c r="G2" s="64"/>
      <c r="H2" s="64"/>
    </row>
    <row r="4" spans="1:8" ht="48" customHeight="1" x14ac:dyDescent="0.35">
      <c r="A4" s="86">
        <f>COUNTA(B8:B13)</f>
        <v>6</v>
      </c>
      <c r="D4" s="87">
        <f>SUM(E8:E13)</f>
        <v>4029.9900000000002</v>
      </c>
    </row>
    <row r="5" spans="1:8" x14ac:dyDescent="0.2">
      <c r="A5" s="88" t="s">
        <v>5596</v>
      </c>
      <c r="D5" s="88" t="s">
        <v>5597</v>
      </c>
    </row>
    <row r="7" spans="1:8" x14ac:dyDescent="0.2">
      <c r="A7" s="89" t="s">
        <v>5598</v>
      </c>
      <c r="B7" s="89" t="s">
        <v>5599</v>
      </c>
      <c r="C7" s="89" t="s">
        <v>5600</v>
      </c>
      <c r="D7" s="89" t="s">
        <v>31</v>
      </c>
      <c r="E7" s="89" t="s">
        <v>5601</v>
      </c>
      <c r="F7" s="89" t="s">
        <v>5602</v>
      </c>
      <c r="G7" s="89" t="s">
        <v>5603</v>
      </c>
      <c r="H7" s="89" t="s">
        <v>5604</v>
      </c>
    </row>
    <row r="8" spans="1:8" ht="16" x14ac:dyDescent="0.2">
      <c r="A8" s="71">
        <v>703</v>
      </c>
      <c r="B8" s="71" t="str">
        <f>'Registro de Compras'!B703</f>
        <v>TRX-10698</v>
      </c>
      <c r="C8" s="71" t="str">
        <f>'Registro de Compras'!C703</f>
        <v>2023-06-30</v>
      </c>
      <c r="D8" s="90" t="str">
        <f>'Registro de Compras'!D703</f>
        <v>TANQUE DE COMBUSTIVEL FORD SEMINOVO</v>
      </c>
      <c r="E8" s="91">
        <f>'Registro de Compras'!G703</f>
        <v>2000</v>
      </c>
      <c r="F8" s="93" t="str">
        <f>'Registro de Compras'!H703</f>
        <v>Alimentação e Bebidas</v>
      </c>
      <c r="G8" s="94" t="s">
        <v>28</v>
      </c>
      <c r="H8" s="90" t="s">
        <v>5605</v>
      </c>
    </row>
    <row r="9" spans="1:8" ht="16" x14ac:dyDescent="0.2">
      <c r="A9">
        <v>230</v>
      </c>
      <c r="B9" t="str">
        <f>'Registro de Compras'!B230</f>
        <v>TRX-10225</v>
      </c>
      <c r="C9" t="str">
        <f>'Registro de Compras'!C230</f>
        <v>2022-04-25</v>
      </c>
      <c r="D9" s="83" t="str">
        <f>'Registro de Compras'!D230</f>
        <v>BOX BLACK 0158X198X31</v>
      </c>
      <c r="E9" s="92">
        <f>'Registro de Compras'!G230</f>
        <v>640</v>
      </c>
      <c r="F9" s="93" t="str">
        <f>'Registro de Compras'!H230</f>
        <v>Alimentação e Bebidas</v>
      </c>
      <c r="G9" s="94" t="s">
        <v>27</v>
      </c>
      <c r="H9" s="83" t="s">
        <v>5606</v>
      </c>
    </row>
    <row r="10" spans="1:8" ht="32" x14ac:dyDescent="0.2">
      <c r="A10" s="71">
        <v>3185</v>
      </c>
      <c r="B10" s="71" t="str">
        <f>'Registro de Compras'!B3185</f>
        <v>TRX-13180</v>
      </c>
      <c r="C10" s="71" t="str">
        <f>'Registro de Compras'!C3185</f>
        <v>2026-04-02</v>
      </c>
      <c r="D10" s="90" t="str">
        <f>'Registro de Compras'!D3185</f>
        <v>CAFETEIRA ESPRESSO LUNA PT 220V TRES CORACOES</v>
      </c>
      <c r="E10" s="91">
        <f>'Registro de Compras'!G3185</f>
        <v>461.9</v>
      </c>
      <c r="F10" s="93" t="str">
        <f>'Registro de Compras'!H3185</f>
        <v>Alimentação e Bebidas</v>
      </c>
      <c r="G10" s="94" t="s">
        <v>27</v>
      </c>
      <c r="H10" s="90" t="s">
        <v>5606</v>
      </c>
    </row>
    <row r="11" spans="1:8" ht="32" x14ac:dyDescent="0.2">
      <c r="A11">
        <v>3188</v>
      </c>
      <c r="B11" t="str">
        <f>'Registro de Compras'!B3188</f>
        <v>TRX-13183</v>
      </c>
      <c r="C11" t="str">
        <f>'Registro de Compras'!C3188</f>
        <v>2026-04-02</v>
      </c>
      <c r="D11" s="83" t="str">
        <f>'Registro de Compras'!D3188</f>
        <v>CAFETEIRA ESPRESSO LUNA PT 220V TRES CORACOES</v>
      </c>
      <c r="E11" s="92">
        <f>'Registro de Compras'!G3188</f>
        <v>461.9</v>
      </c>
      <c r="F11" s="93" t="str">
        <f>'Registro de Compras'!H3188</f>
        <v>Alimentação e Bebidas</v>
      </c>
      <c r="G11" s="94" t="s">
        <v>27</v>
      </c>
      <c r="H11" s="83" t="s">
        <v>5606</v>
      </c>
    </row>
    <row r="12" spans="1:8" ht="16" x14ac:dyDescent="0.2">
      <c r="A12" s="71">
        <v>3312</v>
      </c>
      <c r="B12" s="71" t="str">
        <f>'Registro de Compras'!B3312</f>
        <v>TRX-13307</v>
      </c>
      <c r="C12" s="71" t="str">
        <f>'Registro de Compras'!C3312</f>
        <v>2026-07-03</v>
      </c>
      <c r="D12" s="90" t="str">
        <f>'Registro de Compras'!D3312</f>
        <v>TADALAFILA 5MG EUG 30S</v>
      </c>
      <c r="E12" s="91">
        <f>'Registro de Compras'!G3312</f>
        <v>439.82</v>
      </c>
      <c r="F12" s="93" t="str">
        <f>'Registro de Compras'!H3312</f>
        <v>Alimentação e Bebidas</v>
      </c>
      <c r="G12" s="94" t="s">
        <v>25</v>
      </c>
      <c r="H12" s="90" t="s">
        <v>5607</v>
      </c>
    </row>
    <row r="13" spans="1:8" ht="16" x14ac:dyDescent="0.2">
      <c r="A13">
        <v>2995</v>
      </c>
      <c r="B13" t="str">
        <f>'Registro de Compras'!B2995</f>
        <v>TRX-12990</v>
      </c>
      <c r="C13" t="str">
        <f>'Registro de Compras'!C2995</f>
        <v>2025-10-21</v>
      </c>
      <c r="D13" s="83" t="str">
        <f>'Registro de Compras'!D2995</f>
        <v>DIPIRONA SODICA NEG10S</v>
      </c>
      <c r="E13" s="92">
        <f>'Registro de Compras'!G2995</f>
        <v>26.37</v>
      </c>
      <c r="F13" s="93" t="str">
        <f>'Registro de Compras'!H2995</f>
        <v>Alimentação e Bebidas</v>
      </c>
      <c r="G13" s="94" t="s">
        <v>25</v>
      </c>
      <c r="H13" s="83" t="s">
        <v>5607</v>
      </c>
    </row>
    <row r="15" spans="1:8" x14ac:dyDescent="0.2">
      <c r="A15" s="79" t="s">
        <v>5608</v>
      </c>
      <c r="B15" s="79"/>
      <c r="C15" s="79"/>
      <c r="D15" s="79"/>
      <c r="E15" s="79"/>
      <c r="F15" s="79"/>
      <c r="G15" s="79"/>
      <c r="H15" s="79"/>
    </row>
    <row r="16" spans="1:8" x14ac:dyDescent="0.2">
      <c r="A16" s="79"/>
      <c r="B16" s="79"/>
      <c r="C16" s="79"/>
      <c r="D16" s="79"/>
      <c r="E16" s="79"/>
      <c r="F16" s="79"/>
      <c r="G16" s="79"/>
      <c r="H16" s="79"/>
    </row>
  </sheetData>
  <mergeCells count="3">
    <mergeCell ref="A1:H1"/>
    <mergeCell ref="A2:H2"/>
    <mergeCell ref="A15:H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Terminal IIP</vt:lpstr>
      <vt:lpstr>Registro de Compras</vt:lpstr>
      <vt:lpstr>Início</vt:lpstr>
      <vt:lpstr>Resumo Executivo</vt:lpstr>
      <vt:lpstr>Insights e Tendências</vt:lpstr>
      <vt:lpstr>Revisão de Categorias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giovannini</cp:lastModifiedBy>
  <dcterms:created xsi:type="dcterms:W3CDTF">2026-09-03T10:53:23Z</dcterms:created>
  <dcterms:modified xsi:type="dcterms:W3CDTF">2026-09-03T23:21:30Z</dcterms:modified>
</cp:coreProperties>
</file>