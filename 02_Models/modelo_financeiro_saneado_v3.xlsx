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giovannini.eduardogmail.com/Desktop/edu_price_analysis/02_Models/"/>
    </mc:Choice>
  </mc:AlternateContent>
  <xr:revisionPtr revIDLastSave="0" documentId="13_ncr:1_{61CEF715-CDE7-454B-85A5-4EAC021FFBCA}" xr6:coauthVersionLast="47" xr6:coauthVersionMax="47" xr10:uidLastSave="{00000000-0000-0000-0000-000000000000}"/>
  <bookViews>
    <workbookView xWindow="51360" yWindow="780" windowWidth="25360" windowHeight="20660" activeTab="4" xr2:uid="{00000000-000D-0000-FFFF-FFFF00000000}"/>
  </bookViews>
  <sheets>
    <sheet name="TOC &amp; Legend" sheetId="1" r:id="rId1"/>
    <sheet name="Dashboard &amp; Comparisons" sheetId="2" r:id="rId2"/>
    <sheet name="Assumptions" sheetId="3" r:id="rId3"/>
    <sheet name="Detailed Cash Flow" sheetId="4" r:id="rId4"/>
    <sheet name="Resumo Executivo" sheetId="5" r:id="rId5"/>
    <sheet name="Insights &amp; Tendência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6" l="1"/>
  <c r="A38" i="6"/>
  <c r="A37" i="6"/>
  <c r="A36" i="6"/>
  <c r="A35" i="6"/>
  <c r="A13" i="6"/>
  <c r="A12" i="6"/>
  <c r="A11" i="6"/>
  <c r="A10" i="6"/>
  <c r="A9" i="6"/>
  <c r="H37" i="4"/>
  <c r="H36" i="4"/>
  <c r="H35" i="4"/>
  <c r="H34" i="4"/>
  <c r="G33" i="4"/>
  <c r="F33" i="4"/>
  <c r="E33" i="4"/>
  <c r="D33" i="4"/>
  <c r="C33" i="4"/>
  <c r="G32" i="4"/>
  <c r="F32" i="4"/>
  <c r="E32" i="4"/>
  <c r="D32" i="4"/>
  <c r="C32" i="4"/>
  <c r="G31" i="4"/>
  <c r="F31" i="4"/>
  <c r="E31" i="4"/>
  <c r="D31" i="4"/>
  <c r="C31" i="4"/>
  <c r="G30" i="4"/>
  <c r="F30" i="4"/>
  <c r="E30" i="4"/>
  <c r="D30" i="4"/>
  <c r="C30" i="4"/>
  <c r="G27" i="4"/>
  <c r="F27" i="4"/>
  <c r="E27" i="4"/>
  <c r="D27" i="4"/>
  <c r="C27" i="4"/>
  <c r="G26" i="4"/>
  <c r="F26" i="4"/>
  <c r="E26" i="4"/>
  <c r="D26" i="4"/>
  <c r="C26" i="4"/>
  <c r="G25" i="4"/>
  <c r="F25" i="4"/>
  <c r="E25" i="4"/>
  <c r="D25" i="4"/>
  <c r="C25" i="4"/>
  <c r="G24" i="4"/>
  <c r="F24" i="4"/>
  <c r="E24" i="4"/>
  <c r="D24" i="4"/>
  <c r="C24" i="4"/>
  <c r="G23" i="4"/>
  <c r="F23" i="4"/>
  <c r="E23" i="4"/>
  <c r="D23" i="4"/>
  <c r="C23" i="4"/>
  <c r="G22" i="4"/>
  <c r="F22" i="4"/>
  <c r="E22" i="4"/>
  <c r="D22" i="4"/>
  <c r="C22" i="4"/>
  <c r="G21" i="4"/>
  <c r="F21" i="4"/>
  <c r="E21" i="4"/>
  <c r="D21" i="4"/>
  <c r="C21" i="4"/>
  <c r="G18" i="4"/>
  <c r="F18" i="4"/>
  <c r="E18" i="4"/>
  <c r="D18" i="4"/>
  <c r="C18" i="4"/>
  <c r="G17" i="4"/>
  <c r="F17" i="4"/>
  <c r="E17" i="4"/>
  <c r="D17" i="4"/>
  <c r="C17" i="4"/>
  <c r="G16" i="4"/>
  <c r="F16" i="4"/>
  <c r="E16" i="4"/>
  <c r="D16" i="4"/>
  <c r="C16" i="4"/>
  <c r="G14" i="4"/>
  <c r="E14" i="2" s="1"/>
  <c r="F14" i="4"/>
  <c r="E13" i="2" s="1"/>
  <c r="E14" i="4"/>
  <c r="E12" i="2" s="1"/>
  <c r="D14" i="4"/>
  <c r="E11" i="2" s="1"/>
  <c r="C14" i="4"/>
  <c r="H13" i="4"/>
  <c r="H12" i="4"/>
  <c r="H11" i="4"/>
  <c r="G9" i="4"/>
  <c r="D14" i="2" s="1"/>
  <c r="F9" i="4"/>
  <c r="D13" i="2" s="1"/>
  <c r="E9" i="4"/>
  <c r="D12" i="2" s="1"/>
  <c r="D9" i="4"/>
  <c r="C9" i="4"/>
  <c r="D10" i="2" s="1"/>
  <c r="H8" i="4"/>
  <c r="H7" i="4"/>
  <c r="D11" i="2"/>
  <c r="C10" i="2"/>
  <c r="D10" i="1"/>
  <c r="D9" i="1"/>
  <c r="D8" i="1"/>
  <c r="D7" i="1"/>
  <c r="H18" i="4" l="1"/>
  <c r="C19" i="4"/>
  <c r="D38" i="4"/>
  <c r="D19" i="4"/>
  <c r="H23" i="4"/>
  <c r="E19" i="4"/>
  <c r="C38" i="4"/>
  <c r="H14" i="4"/>
  <c r="F19" i="4"/>
  <c r="B38" i="6"/>
  <c r="C38" i="6" s="1"/>
  <c r="D28" i="4"/>
  <c r="H22" i="4"/>
  <c r="H17" i="4"/>
  <c r="G38" i="4"/>
  <c r="B37" i="6"/>
  <c r="C37" i="6" s="1"/>
  <c r="B35" i="6"/>
  <c r="C35" i="6" s="1"/>
  <c r="H9" i="4"/>
  <c r="G19" i="4"/>
  <c r="H19" i="4" s="1"/>
  <c r="F28" i="4"/>
  <c r="H33" i="4"/>
  <c r="H21" i="4"/>
  <c r="G28" i="4"/>
  <c r="H26" i="4"/>
  <c r="H31" i="4"/>
  <c r="B36" i="6"/>
  <c r="C36" i="6" s="1"/>
  <c r="H25" i="4"/>
  <c r="H27" i="4"/>
  <c r="E38" i="4"/>
  <c r="H32" i="4"/>
  <c r="B39" i="6"/>
  <c r="C39" i="6" s="1"/>
  <c r="H24" i="4"/>
  <c r="F38" i="4"/>
  <c r="D15" i="2"/>
  <c r="C28" i="4"/>
  <c r="E28" i="4"/>
  <c r="H16" i="4"/>
  <c r="H30" i="4"/>
  <c r="E10" i="2"/>
  <c r="E15" i="2" s="1"/>
  <c r="H38" i="4" l="1"/>
  <c r="E10" i="5"/>
  <c r="A5" i="5"/>
  <c r="H28" i="4"/>
  <c r="I10" i="2"/>
  <c r="H10" i="2"/>
  <c r="D9" i="6" s="1"/>
  <c r="G10" i="2"/>
  <c r="C9" i="6" s="1"/>
  <c r="F10" i="2"/>
  <c r="B9" i="6" s="1"/>
  <c r="E9" i="6" l="1"/>
  <c r="C11" i="2"/>
  <c r="F11" i="2" s="1"/>
  <c r="G11" i="2"/>
  <c r="H11" i="2"/>
  <c r="I11" i="2"/>
  <c r="G12" i="2" l="1"/>
  <c r="C10" i="6"/>
  <c r="C12" i="2"/>
  <c r="F12" i="2" s="1"/>
  <c r="B10" i="6"/>
  <c r="H12" i="2"/>
  <c r="D10" i="6"/>
  <c r="I12" i="2"/>
  <c r="E10" i="6"/>
  <c r="H13" i="2" l="1"/>
  <c r="D11" i="6"/>
  <c r="C13" i="2"/>
  <c r="F13" i="2" s="1"/>
  <c r="B11" i="6"/>
  <c r="I13" i="2"/>
  <c r="E11" i="6"/>
  <c r="G13" i="2"/>
  <c r="C11" i="6"/>
  <c r="I14" i="2" l="1"/>
  <c r="A4" i="6"/>
  <c r="E12" i="6"/>
  <c r="G10" i="5"/>
  <c r="C14" i="2"/>
  <c r="F14" i="2" s="1"/>
  <c r="B12" i="6"/>
  <c r="C18" i="2"/>
  <c r="F15" i="2"/>
  <c r="G14" i="2"/>
  <c r="C12" i="6"/>
  <c r="G15" i="2"/>
  <c r="H14" i="2"/>
  <c r="D12" i="6"/>
  <c r="C20" i="2"/>
  <c r="B6" i="2" l="1"/>
  <c r="B13" i="6"/>
  <c r="A10" i="5"/>
  <c r="E6" i="2"/>
  <c r="D13" i="6"/>
  <c r="H15" i="2"/>
  <c r="C13" i="6"/>
  <c r="C19" i="2"/>
  <c r="H6" i="2"/>
  <c r="C10" i="5"/>
  <c r="E13" i="6"/>
  <c r="C21" i="2"/>
  <c r="I15" i="2"/>
</calcChain>
</file>

<file path=xl/sharedStrings.xml><?xml version="1.0" encoding="utf-8"?>
<sst xmlns="http://schemas.openxmlformats.org/spreadsheetml/2006/main" count="205" uniqueCount="188">
  <si>
    <t>[ REAL-TIME FINANCIAL MONITOR TERMINAL ]</t>
  </si>
  <si>
    <t>CLIENT: Eduardo Forster Giovannini | ACCT: 012026-082026 | VER: 4.0 Terminal</t>
  </si>
  <si>
    <t>STRUCTURED INDEX / APLICATIVOS DISPONÍVEIS</t>
  </si>
  <si>
    <t>Aba / Segmento</t>
  </si>
  <si>
    <t>Descrição &amp; Escopo Funcional</t>
  </si>
  <si>
    <t>Acesso Direto (RT Links)</t>
  </si>
  <si>
    <t>TOC &amp; Legend</t>
  </si>
  <si>
    <t>Apresentação do modelo, legenda de cores e controle de versão.</t>
  </si>
  <si>
    <t>Dashboard &amp; Comparisons</t>
  </si>
  <si>
    <t>Visão consolidada de saldos finais por cenário e gráfico comparativo.</t>
  </si>
  <si>
    <t>Assumptions</t>
  </si>
  <si>
    <t>Configuração de premissas financeiras, custos fixos (sem o item loterias).</t>
  </si>
  <si>
    <t>Detailed Cash Flow</t>
  </si>
  <si>
    <t>Demonstrativo detalhado mês a mês de todas as receitas e despesas sem Loterias.</t>
  </si>
  <si>
    <t>COLOR CODING &amp; METRIC STATUS CODES</t>
  </si>
  <si>
    <t>INPUT</t>
  </si>
  <si>
    <t>Célula de Entrada</t>
  </si>
  <si>
    <t>Indica parâmetros e variáveis que o operador pode editar diretamente.</t>
  </si>
  <si>
    <t>CALCULATED</t>
  </si>
  <si>
    <t>Célula de Cálculo</t>
  </si>
  <si>
    <t>Indica valores consolidados gerados em tempo real por fórmulas analíticas.</t>
  </si>
  <si>
    <t>WARNING</t>
  </si>
  <si>
    <t>Aviso / Risco</t>
  </si>
  <si>
    <t>Alerta sobre riscos potenciais de double-counting (ex: Starlink, Cursor).</t>
  </si>
  <si>
    <t>TOTAL / TICKER</t>
  </si>
  <si>
    <t>Linha Consolidada</t>
  </si>
  <si>
    <t>Representa sumários de seções, médias acumuladas ou cabeçalhos principais.</t>
  </si>
  <si>
    <t>Terminal Mode Active | System Date: 2026-09-03 | Build 4.0.0-RT</t>
  </si>
  <si>
    <t>[ BBG SCENARIO ANALYSIS &amp; RISK ENGINE ]</t>
  </si>
  <si>
    <t>Real-time projection of cash flow viability &amp; bank balances by optimization model.</t>
  </si>
  <si>
    <t>SALDO ORIGINAL AGO/2026</t>
  </si>
  <si>
    <t>SALDO SEM FILTRO AGO/2026</t>
  </si>
  <si>
    <t>SALDO SANEADO AGO/2026</t>
  </si>
  <si>
    <t>Mês / Referência</t>
  </si>
  <si>
    <t>Saldo Inicial</t>
  </si>
  <si>
    <t>Entradas Totais</t>
  </si>
  <si>
    <t>Saídas Históricas</t>
  </si>
  <si>
    <t>Saldo F. Original</t>
  </si>
  <si>
    <t>Saldo F. Cenário 1
(Doméstico)</t>
  </si>
  <si>
    <t>Saldo F. Cenário 2
(Sem Filtro)</t>
  </si>
  <si>
    <t>Saldo F. Otimizado
(Sane Scenario)</t>
  </si>
  <si>
    <t>Abril 2026</t>
  </si>
  <si>
    <t>Maio 2026</t>
  </si>
  <si>
    <t>Junho 2026</t>
  </si>
  <si>
    <t>Julho 2026</t>
  </si>
  <si>
    <t>Agosto 2026</t>
  </si>
  <si>
    <t>Saldo Final Médio</t>
  </si>
  <si>
    <t>-</t>
  </si>
  <si>
    <t>VERIFICAÇÃO DE SAÚDE FINANCEIRA POR CENÁRIO:</t>
  </si>
  <si>
    <t>Original (Descontrolado)</t>
  </si>
  <si>
    <t>Cenário 1 (Com Gastos Domésticos)</t>
  </si>
  <si>
    <t>Cenário 2 (Com Duplicidades)</t>
  </si>
  <si>
    <t>Cenário Saneado (Recomendado)</t>
  </si>
  <si>
    <t>[ BBG TERMINAL - SYSTEM CONFIGURATOR ]</t>
  </si>
  <si>
    <t>Edit the cyan parameter values below to run real-time stress testing.</t>
  </si>
  <si>
    <t>1. Saldo Inicial em Conta Corrente (Mercado Pago)</t>
  </si>
  <si>
    <t>Saldo Inicial (01/04/2026)</t>
  </si>
  <si>
    <t>2. Novos Gastos Adicionais Solicitados</t>
  </si>
  <si>
    <t>Item / Despesa</t>
  </si>
  <si>
    <t>Valor Mensal (R$)</t>
  </si>
  <si>
    <t>Observação / Detalhe</t>
  </si>
  <si>
    <t>Água (CAGEPA)</t>
  </si>
  <si>
    <t>Novo custo fixo mensal estruturado para a casa.</t>
  </si>
  <si>
    <t>Luz (ENERGISA)</t>
  </si>
  <si>
    <t>Estimativa de consumo elétrico mensal.</t>
  </si>
  <si>
    <t>Funcionário Doméstico</t>
  </si>
  <si>
    <t>Salário/encargos mensais de serviços gerais.</t>
  </si>
  <si>
    <t>Gasolina do Carro</t>
  </si>
  <si>
    <t>Aumento real de R$ 465,03 frente à média histórica (R$ 134,97).</t>
  </si>
  <si>
    <t>STARLINK (Internet)</t>
  </si>
  <si>
    <t>⚠️ JÁ PAGO NO CARTÃO! Risco de duplicidade se somado fora.</t>
  </si>
  <si>
    <t>Google Pro</t>
  </si>
  <si>
    <t>CURSOR IDE</t>
  </si>
  <si>
    <t>3. Regras de Saneamento &amp; Otimização (Cenário Sane)</t>
  </si>
  <si>
    <t>Ação de Otimização</t>
  </si>
  <si>
    <t>Valor Proposto</t>
  </si>
  <si>
    <t>Impacto Mensal Estimado</t>
  </si>
  <si>
    <t>Remover Duplicidade Starlink</t>
  </si>
  <si>
    <t>R$ 0,00 extra</t>
  </si>
  <si>
    <t>Evita R$ 235,00/mês de lançamento fantasma</t>
  </si>
  <si>
    <t>Remover Duplicidade Cursor IDE</t>
  </si>
  <si>
    <t>Evita R$ 120,00/mês de lançamento fantasma</t>
  </si>
  <si>
    <t>Remover Duplicidade Google Pro</t>
  </si>
  <si>
    <t>Evita R$ 95,00/mês de lançamento fantasma</t>
  </si>
  <si>
    <t>Corte de Ferramentas IA Redundantes</t>
  </si>
  <si>
    <t>R$ 150,00 / mês</t>
  </si>
  <si>
    <t>Desativação de um dos modelos duplicados (ChatGPT ou Claude Pro)</t>
  </si>
  <si>
    <t>Eliminar Loterias Caixa Online</t>
  </si>
  <si>
    <t>R$ 0,00 / mês</t>
  </si>
  <si>
    <t>Economia total de R$ 1.200,00/mês (Item retirado do estudo!)</t>
  </si>
  <si>
    <t>[ BBG REAL-TIME TRANSACTIONAL DATABASE ]</t>
  </si>
  <si>
    <t>Historical cash flows, new cost integrations and sane financial scenarios.</t>
  </si>
  <si>
    <t>Categoria / Fluxo</t>
  </si>
  <si>
    <t>Total Acumulado</t>
  </si>
  <si>
    <t>Receitas / Entradas (Histórico real)</t>
  </si>
  <si>
    <t xml:space="preserve">  Transferências Recebidas (Pix/TED)</t>
  </si>
  <si>
    <t xml:space="preserve">  Rendimento de Investimento (CDI MP)</t>
  </si>
  <si>
    <t>Total Inflows (A)</t>
  </si>
  <si>
    <t>Despesas / Saídas (Histórico real SEM Loterias)</t>
  </si>
  <si>
    <t xml:space="preserve">  Fatura de Cartão de Crédito</t>
  </si>
  <si>
    <t xml:space="preserve">  Transferências Realizadas (Pessoal/Pix)</t>
  </si>
  <si>
    <t xml:space="preserve">  Outras Despesas e Tarifas</t>
  </si>
  <si>
    <t>Total Outflows (B) - Histórico</t>
  </si>
  <si>
    <t>CENÁRIO 1: GASTOS DOMÉSTICOS ADICIONAIS</t>
  </si>
  <si>
    <t xml:space="preserve">  Água (CAGEPA) - Novo</t>
  </si>
  <si>
    <t xml:space="preserve">  Luz (ENERGISA) - Novo</t>
  </si>
  <si>
    <t xml:space="preserve">  Funcionário Doméstico - Novo</t>
  </si>
  <si>
    <t>Total Acréscimo - Cenário 1 (C)</t>
  </si>
  <si>
    <t>CENÁRIO 2: TODOS OS GASTOS (SEM FILTRO / DUPLICADO)</t>
  </si>
  <si>
    <t xml:space="preserve">  Gasolina do Carro - Novo</t>
  </si>
  <si>
    <t xml:space="preserve">  STARLINK - Duplicado</t>
  </si>
  <si>
    <t xml:space="preserve">  Google Pro - Duplicado</t>
  </si>
  <si>
    <t xml:space="preserve">  CURSOR IDE - Duplicado</t>
  </si>
  <si>
    <t>Total Acréscimo - Cenário 2 (D)</t>
  </si>
  <si>
    <t>CENÁRIO 3: SANEADO / OTIMIZADO (SANE SCENARIO)</t>
  </si>
  <si>
    <t xml:space="preserve">  STARLINK - Otimizado (Já em Fatura)</t>
  </si>
  <si>
    <t xml:space="preserve">  Google Pro - Otimizado (Já em Fatura)</t>
  </si>
  <si>
    <t xml:space="preserve">  CURSOR IDE - Otimizado (Já em Fatura)</t>
  </si>
  <si>
    <t xml:space="preserve">  Economia: Ferramentas IA Redundantes</t>
  </si>
  <si>
    <t>Total Diferença Líquida - Cenário Sane (E)</t>
  </si>
  <si>
    <t>RESUMO EXECUTIVO | FLUXO DE CAIXA E CENÁRIOS</t>
  </si>
  <si>
    <t>Leitura em menos de 5 minutos | Abril–Agosto de 2026</t>
  </si>
  <si>
    <t>HISTÓRIA EM 30 SEGUNDOS</t>
  </si>
  <si>
    <t>SALDO ORIGINAL | AGO</t>
  </si>
  <si>
    <t>Referência sem novos custos</t>
  </si>
  <si>
    <t>SALDO SANEADO | AGO</t>
  </si>
  <si>
    <t>Após custos e otimizações</t>
  </si>
  <si>
    <t>FLUXO HISTÓRICO ACUMULADO</t>
  </si>
  <si>
    <t>Entradas menos saídas</t>
  </si>
  <si>
    <t>PIOR SALDO SANEADO</t>
  </si>
  <si>
    <t>Ocorre em julho de 2026</t>
  </si>
  <si>
    <t>PRINCIPAIS TÓPICOS DO WORKBOOK</t>
  </si>
  <si>
    <t>TEMA</t>
  </si>
  <si>
    <t>O QUE O MODELO MOSTRA</t>
  </si>
  <si>
    <t>POR QUE IMPORTA</t>
  </si>
  <si>
    <t>Histórico real</t>
  </si>
  <si>
    <t>Entradas e saídas mensais reais, excluindo loterias.</t>
  </si>
  <si>
    <t>Base para avaliar a capacidade de sustentar novos custos.</t>
  </si>
  <si>
    <t>Novas premissas</t>
  </si>
  <si>
    <t>Água, luz, funcionário doméstico, gasolina e assinaturas.</t>
  </si>
  <si>
    <t>As entradas em Assumptions alimentam automaticamente os cenários.</t>
  </si>
  <si>
    <t>Comparação de cenários</t>
  </si>
  <si>
    <t>Original, doméstico, sem filtro/duplicidades e saneado.</t>
  </si>
  <si>
    <t>Mostra o impacto acumulado e o risco de saldo negativo.</t>
  </si>
  <si>
    <t>Saneamento</t>
  </si>
  <si>
    <t>Remove R$ 450/mês de duplicidades e corta R$ 150/mês em IA.</t>
  </si>
  <si>
    <t>Economiza R$ 600/mês versus o cenário sem filtro.</t>
  </si>
  <si>
    <t>AÇÕES RECOMENDADAS</t>
  </si>
  <si>
    <t>PRIORIDADE</t>
  </si>
  <si>
    <t>AÇÃO</t>
  </si>
  <si>
    <t>MOTIVO / RESULTADO ESPERADO</t>
  </si>
  <si>
    <t>Evitar lançamentos duplicados de Starlink, Google Pro e Cursor.</t>
  </si>
  <si>
    <t>Protege R$ 450/mês já cobertos pela fatura do cartão.</t>
  </si>
  <si>
    <t>Criar pelo menos R$ 1.680,93 de folga adicional antes de julho.</t>
  </si>
  <si>
    <t>É o déficit mínimo projetado no cenário saneado; uma margem maior reduz o risco operacional.</t>
  </si>
  <si>
    <t>Revisar as saídas de julho e maio antes de assumir novos compromissos.</t>
  </si>
  <si>
    <t>Foram os meses de maior pressão: R$ 29.869,01 e R$ 29.017,29.</t>
  </si>
  <si>
    <t>Investigar a queda do rendimento de investimento.</t>
  </si>
  <si>
    <t>Caiu de R$ 11.312,89 em abril para R$ 219,48 em agosto, reduzindo a sustentação das entradas.</t>
  </si>
  <si>
    <t>COMO USAR</t>
  </si>
  <si>
    <t>Edite apenas os valores de entrada em Assumptions (saldo inicial e custos mensais). Detailed Cash Flow e Dashboard &amp; Comparisons recalculam os cenários; os indicadores desta aba também se atualizam automaticamente. O estudo exclui loterias e cobre somente abril a agosto de 2026.</t>
  </si>
  <si>
    <t>INSIGHTS &amp; TENDÊNCIAS | ABR–AGO 2026</t>
  </si>
  <si>
    <t>Comparação visual de saldos, volatilidade mensal e pontos de decisão</t>
  </si>
  <si>
    <t>1. TRAJETÓRIA DOS SALDOS FINAIS POR CENÁRIO</t>
  </si>
  <si>
    <t>Mês</t>
  </si>
  <si>
    <t>Original</t>
  </si>
  <si>
    <t>Doméstico</t>
  </si>
  <si>
    <t>Sem filtro</t>
  </si>
  <si>
    <t>Saneado</t>
  </si>
  <si>
    <t>2. FLUXO LÍQUIDO HISTÓRICO MENSAL</t>
  </si>
  <si>
    <t>Entradas - Saídas</t>
  </si>
  <si>
    <t>Leitura</t>
  </si>
  <si>
    <t>3. INSIGHTS QUE MERECEM ATENÇÃO</t>
  </si>
  <si>
    <t>INSIGHT</t>
  </si>
  <si>
    <t>EVIDÊNCIA</t>
  </si>
  <si>
    <t>IMPLICAÇÃO</t>
  </si>
  <si>
    <t>Julho é o ponto crítico</t>
  </si>
  <si>
    <t>Entradas de R$ 11.272,89 versus saídas de R$ 29.869,01.</t>
  </si>
  <si>
    <t>Planejar liquidez antes de julho é mais importante que olhar apenas o saldo final de agosto.</t>
  </si>
  <si>
    <t>A recuperação de agosto é real, mas frágil</t>
  </si>
  <si>
    <t>O saneado volta de -R$ 1.680,93 para R$ 4.336,73.</t>
  </si>
  <si>
    <t>Uma nova despesa extraordinária pode consumir rapidamente a folga.</t>
  </si>
  <si>
    <t>Rendimento perdeu relevância</t>
  </si>
  <si>
    <t>CDI cai 98,1% de abril a agosto.</t>
  </si>
  <si>
    <t>O fluxo depende cada vez mais das transferências recebidas.</t>
  </si>
  <si>
    <t>Otimizar evita desperdício, não resolve tudo</t>
  </si>
  <si>
    <t>Saneado melhora R$ 3.000 no acumulado versus sem filtro.</t>
  </si>
  <si>
    <t>Ainda é necessário buffer ou redução adicional para atravessar julho.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</si>
</sst>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R\$\ #,##0.00"/>
    <numFmt numFmtId="166" formatCode="[$R$-416]\ #,##0.00;[Red]\-[$R$-416]\ #,##0.00"/>
  </numFmts>
  <fonts count="28" x14ac:knownFonts="1">
    <font>
      <sz val="11"/>
      <color theme="1"/>
      <name val="Calibri"/>
      <family val="2"/>
      <scheme val="minor"/>
    </font>
    <font>
      <sz val="10"/>
      <color rgb="FFFFFFFF"/>
      <name val="Consolas"/>
      <family val="2"/>
    </font>
    <font>
      <b/>
      <sz val="14"/>
      <color rgb="FFFF9900"/>
      <name val="Consolas"/>
      <family val="2"/>
    </font>
    <font>
      <i/>
      <sz val="10"/>
      <color rgb="FF888888"/>
      <name val="Consolas"/>
      <family val="2"/>
    </font>
    <font>
      <b/>
      <sz val="11"/>
      <color rgb="FFFF9900"/>
      <name val="Consolas"/>
      <family val="2"/>
    </font>
    <font>
      <b/>
      <sz val="10"/>
      <color rgb="FFFFFFFF"/>
      <name val="Consolas"/>
      <family val="2"/>
    </font>
    <font>
      <u/>
      <sz val="10"/>
      <color rgb="FF00FFFF"/>
      <name val="Consolas"/>
      <family val="2"/>
    </font>
    <font>
      <b/>
      <sz val="10"/>
      <color rgb="FF00FFFF"/>
      <name val="Consolas"/>
      <family val="2"/>
    </font>
    <font>
      <b/>
      <sz val="10"/>
      <color rgb="FF00FF00"/>
      <name val="Consolas"/>
      <family val="2"/>
    </font>
    <font>
      <sz val="10"/>
      <color rgb="FFFFCC00"/>
      <name val="Consolas"/>
      <family val="2"/>
    </font>
    <font>
      <b/>
      <sz val="10"/>
      <color rgb="FFFF9900"/>
      <name val="Consolas"/>
      <family val="2"/>
    </font>
    <font>
      <b/>
      <sz val="9"/>
      <color rgb="FFFF3333"/>
      <name val="Consolas"/>
      <family val="2"/>
    </font>
    <font>
      <b/>
      <sz val="10"/>
      <color rgb="FFFF3333"/>
      <name val="Consolas"/>
      <family val="2"/>
    </font>
    <font>
      <b/>
      <sz val="9"/>
      <color rgb="FF00FF00"/>
      <name val="Consolas"/>
      <family val="2"/>
    </font>
    <font>
      <sz val="10"/>
      <color rgb="FF00FF00"/>
      <name val="Consolas"/>
      <family val="2"/>
    </font>
    <font>
      <sz val="10"/>
      <color rgb="FFFF9900"/>
      <name val="Consolas"/>
      <family val="2"/>
    </font>
    <font>
      <b/>
      <sz val="18"/>
      <color rgb="FFFFFFFF"/>
      <name val="Aptos"/>
    </font>
    <font>
      <sz val="10"/>
      <color rgb="FF262626"/>
      <name val="Aptos"/>
    </font>
    <font>
      <i/>
      <sz val="10"/>
      <color rgb="FFFFFFFF"/>
      <name val="Aptos"/>
    </font>
    <font>
      <b/>
      <sz val="11"/>
      <color rgb="FF001F43"/>
      <name val="Aptos"/>
    </font>
    <font>
      <b/>
      <sz val="10"/>
      <color rgb="FF117E39"/>
      <name val="Aptos"/>
    </font>
    <font>
      <b/>
      <sz val="16"/>
      <color rgb="FF117E39"/>
      <name val="Aptos"/>
    </font>
    <font>
      <sz val="9"/>
      <color rgb="FF595959"/>
      <name val="Aptos"/>
    </font>
    <font>
      <b/>
      <sz val="10"/>
      <color rgb="FFC50F1F"/>
      <name val="Aptos"/>
    </font>
    <font>
      <b/>
      <sz val="16"/>
      <color rgb="FFC50F1F"/>
      <name val="Aptos"/>
    </font>
    <font>
      <b/>
      <sz val="10"/>
      <color rgb="FF001F43"/>
      <name val="Aptos"/>
    </font>
    <font>
      <sz val="10"/>
      <color rgb="FF117E39"/>
      <name val="Aptos"/>
    </font>
    <font>
      <sz val="10"/>
      <color rgb="FFC50F1F"/>
      <name val="Aptos"/>
    </font>
  </fonts>
  <fills count="13">
    <fill>
      <patternFill patternType="none"/>
    </fill>
    <fill>
      <patternFill patternType="gray125"/>
    </fill>
    <fill>
      <patternFill patternType="solid"/>
    </fill>
    <fill>
      <patternFill patternType="solid">
        <fgColor rgb="FF1A1A1A"/>
        <bgColor rgb="FF1A1A1A"/>
      </patternFill>
    </fill>
    <fill>
      <patternFill patternType="solid">
        <fgColor rgb="FF0B1621"/>
        <bgColor rgb="FF0B1621"/>
      </patternFill>
    </fill>
    <fill>
      <patternFill patternType="solid">
        <fgColor rgb="FF222222"/>
        <bgColor rgb="FF222222"/>
      </patternFill>
    </fill>
    <fill>
      <patternFill patternType="solid">
        <fgColor rgb="FFFFFFFF"/>
        <bgColor indexed="64"/>
      </patternFill>
    </fill>
    <fill>
      <patternFill patternType="solid">
        <fgColor rgb="FF001F43"/>
        <bgColor indexed="64"/>
      </patternFill>
    </fill>
    <fill>
      <patternFill patternType="solid">
        <fgColor rgb="FFB9D5F3"/>
        <bgColor indexed="64"/>
      </patternFill>
    </fill>
    <fill>
      <patternFill patternType="solid">
        <fgColor rgb="FFF2F6FF"/>
        <bgColor indexed="64"/>
      </patternFill>
    </fill>
    <fill>
      <patternFill patternType="solid">
        <fgColor rgb="FFF3C79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9E3CD"/>
        <bgColor indexed="64"/>
      </patternFill>
    </fill>
  </fills>
  <borders count="23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>
      <left style="medium">
        <color rgb="FFFF3333"/>
      </left>
      <right/>
      <top style="medium">
        <color rgb="FFFF3333"/>
      </top>
      <bottom/>
      <diagonal/>
    </border>
    <border>
      <left/>
      <right style="medium">
        <color rgb="FFFF3333"/>
      </right>
      <top style="medium">
        <color rgb="FFFF3333"/>
      </top>
      <bottom/>
      <diagonal/>
    </border>
    <border>
      <left style="medium">
        <color rgb="FFFF3333"/>
      </left>
      <right/>
      <top/>
      <bottom style="medium">
        <color rgb="FFFF3333"/>
      </bottom>
      <diagonal/>
    </border>
    <border>
      <left/>
      <right style="medium">
        <color rgb="FFFF3333"/>
      </right>
      <top/>
      <bottom style="medium">
        <color rgb="FFFF3333"/>
      </bottom>
      <diagonal/>
    </border>
    <border>
      <left style="medium">
        <color rgb="FF00FF00"/>
      </left>
      <right/>
      <top style="medium">
        <color rgb="FF00FF00"/>
      </top>
      <bottom/>
      <diagonal/>
    </border>
    <border>
      <left/>
      <right style="medium">
        <color rgb="FF00FF00"/>
      </right>
      <top style="medium">
        <color rgb="FF00FF00"/>
      </top>
      <bottom/>
      <diagonal/>
    </border>
    <border>
      <left style="medium">
        <color rgb="FF00FF00"/>
      </left>
      <right/>
      <top/>
      <bottom style="medium">
        <color rgb="FF00FF00"/>
      </bottom>
      <diagonal/>
    </border>
    <border>
      <left/>
      <right style="medium">
        <color rgb="FF00FF00"/>
      </right>
      <top/>
      <bottom style="medium">
        <color rgb="FF00FF00"/>
      </bottom>
      <diagonal/>
    </border>
    <border>
      <left/>
      <right/>
      <top style="thin">
        <color rgb="FF555555"/>
      </top>
      <bottom style="double">
        <color rgb="FFFF9900"/>
      </bottom>
      <diagonal/>
    </border>
    <border>
      <left/>
      <right/>
      <top style="thin">
        <color rgb="FF555555"/>
      </top>
      <bottom style="thin">
        <color rgb="FF555555"/>
      </bottom>
      <diagonal/>
    </border>
    <border>
      <left/>
      <right/>
      <top style="thin">
        <color rgb="FFD9D9D9"/>
      </top>
      <bottom/>
      <diagonal/>
    </border>
    <border>
      <left/>
      <right/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medium">
        <color rgb="FF001F43"/>
      </bottom>
      <diagonal/>
    </border>
    <border>
      <left/>
      <right/>
      <top style="thin">
        <color rgb="FFD9D9D9"/>
      </top>
      <bottom style="medium">
        <color rgb="FF001F43"/>
      </bottom>
      <diagonal/>
    </border>
    <border>
      <left/>
      <right style="thin">
        <color rgb="FFD9D9D9"/>
      </right>
      <top style="thin">
        <color rgb="FFD9D9D9"/>
      </top>
      <bottom style="medium">
        <color rgb="FF001F43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5" fillId="3" borderId="1" xfId="0" applyFont="1" applyFill="1" applyBorder="1" applyAlignment="1">
      <alignment horizontal="center"/>
    </xf>
    <xf numFmtId="0" fontId="1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  <xf numFmtId="0" fontId="3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5" fillId="3" borderId="1" xfId="0" applyFont="1" applyFill="1" applyBorder="1" applyAlignment="1">
      <alignment horizontal="center" wrapText="1"/>
    </xf>
    <xf numFmtId="164" fontId="8" fillId="2" borderId="1" xfId="0" applyNumberFormat="1" applyFont="1" applyFill="1" applyBorder="1"/>
    <xf numFmtId="164" fontId="14" fillId="2" borderId="1" xfId="0" applyNumberFormat="1" applyFont="1" applyFill="1" applyBorder="1"/>
    <xf numFmtId="164" fontId="15" fillId="2" borderId="1" xfId="0" applyNumberFormat="1" applyFont="1" applyFill="1" applyBorder="1"/>
    <xf numFmtId="0" fontId="10" fillId="2" borderId="10" xfId="0" applyFont="1" applyFill="1" applyBorder="1"/>
    <xf numFmtId="0" fontId="10" fillId="2" borderId="10" xfId="0" applyFont="1" applyFill="1" applyBorder="1" applyAlignment="1">
      <alignment horizontal="center"/>
    </xf>
    <xf numFmtId="164" fontId="10" fillId="2" borderId="10" xfId="0" applyNumberFormat="1" applyFont="1" applyFill="1" applyBorder="1"/>
    <xf numFmtId="0" fontId="8" fillId="2" borderId="1" xfId="0" applyFont="1" applyFill="1" applyBorder="1"/>
    <xf numFmtId="164" fontId="7" fillId="4" borderId="1" xfId="0" applyNumberFormat="1" applyFont="1" applyFill="1" applyBorder="1" applyAlignment="1">
      <alignment horizontal="right"/>
    </xf>
    <xf numFmtId="0" fontId="9" fillId="2" borderId="1" xfId="0" applyFont="1" applyFill="1" applyBorder="1"/>
    <xf numFmtId="0" fontId="8" fillId="2" borderId="11" xfId="0" applyFont="1" applyFill="1" applyBorder="1"/>
    <xf numFmtId="164" fontId="8" fillId="2" borderId="11" xfId="0" applyNumberFormat="1" applyFont="1" applyFill="1" applyBorder="1"/>
    <xf numFmtId="0" fontId="10" fillId="2" borderId="11" xfId="0" applyFont="1" applyFill="1" applyBorder="1"/>
    <xf numFmtId="164" fontId="10" fillId="2" borderId="11" xfId="0" applyNumberFormat="1" applyFont="1" applyFill="1" applyBorder="1"/>
    <xf numFmtId="164" fontId="9" fillId="2" borderId="1" xfId="0" applyNumberFormat="1" applyFont="1" applyFill="1" applyBorder="1"/>
    <xf numFmtId="0" fontId="8" fillId="2" borderId="10" xfId="0" applyFont="1" applyFill="1" applyBorder="1"/>
    <xf numFmtId="164" fontId="8" fillId="2" borderId="10" xfId="0" applyNumberFormat="1" applyFont="1" applyFill="1" applyBorder="1"/>
    <xf numFmtId="0" fontId="5" fillId="5" borderId="0" xfId="0" applyFont="1" applyFill="1" applyAlignment="1">
      <alignment horizontal="left"/>
    </xf>
    <xf numFmtId="0" fontId="0" fillId="0" borderId="0" xfId="0"/>
    <xf numFmtId="164" fontId="12" fillId="2" borderId="4" xfId="0" applyNumberFormat="1" applyFont="1" applyFill="1" applyBorder="1" applyAlignment="1">
      <alignment horizontal="center"/>
    </xf>
    <xf numFmtId="0" fontId="0" fillId="0" borderId="5" xfId="0" applyBorder="1"/>
    <xf numFmtId="164" fontId="8" fillId="2" borderId="8" xfId="0" applyNumberFormat="1" applyFont="1" applyFill="1" applyBorder="1" applyAlignment="1">
      <alignment horizontal="center"/>
    </xf>
    <xf numFmtId="0" fontId="0" fillId="0" borderId="9" xfId="0" applyBorder="1"/>
    <xf numFmtId="0" fontId="11" fillId="2" borderId="2" xfId="0" applyFont="1" applyFill="1" applyBorder="1" applyAlignment="1">
      <alignment horizontal="center"/>
    </xf>
    <xf numFmtId="0" fontId="0" fillId="0" borderId="3" xfId="0" applyBorder="1"/>
    <xf numFmtId="0" fontId="13" fillId="2" borderId="6" xfId="0" applyFont="1" applyFill="1" applyBorder="1" applyAlignment="1">
      <alignment horizontal="center"/>
    </xf>
    <xf numFmtId="0" fontId="0" fillId="0" borderId="7" xfId="0" applyBorder="1"/>
    <xf numFmtId="0" fontId="0" fillId="6" borderId="0" xfId="0" applyFill="1"/>
    <xf numFmtId="0" fontId="17" fillId="6" borderId="0" xfId="0" applyFont="1" applyFill="1" applyBorder="1" applyAlignment="1">
      <alignment vertical="center"/>
    </xf>
    <xf numFmtId="0" fontId="17" fillId="6" borderId="0" xfId="0" applyFont="1" applyFill="1" applyBorder="1" applyAlignment="1">
      <alignment vertical="center" wrapText="1"/>
    </xf>
    <xf numFmtId="0" fontId="16" fillId="7" borderId="0" xfId="0" applyFont="1" applyFill="1" applyBorder="1" applyAlignment="1">
      <alignment vertical="center"/>
    </xf>
    <xf numFmtId="0" fontId="18" fillId="7" borderId="0" xfId="0" applyFont="1" applyFill="1" applyBorder="1" applyAlignment="1">
      <alignment vertical="center"/>
    </xf>
    <xf numFmtId="0" fontId="19" fillId="8" borderId="0" xfId="0" applyFont="1" applyFill="1" applyBorder="1" applyAlignment="1">
      <alignment vertical="center"/>
    </xf>
    <xf numFmtId="0" fontId="20" fillId="9" borderId="14" xfId="0" applyFont="1" applyFill="1" applyBorder="1" applyAlignment="1">
      <alignment vertical="center"/>
    </xf>
    <xf numFmtId="166" fontId="21" fillId="9" borderId="15" xfId="0" applyNumberFormat="1" applyFont="1" applyFill="1" applyBorder="1" applyAlignment="1">
      <alignment vertical="center"/>
    </xf>
    <xf numFmtId="0" fontId="22" fillId="9" borderId="16" xfId="0" applyFont="1" applyFill="1" applyBorder="1" applyAlignment="1">
      <alignment vertical="center"/>
    </xf>
    <xf numFmtId="0" fontId="22" fillId="9" borderId="19" xfId="0" applyFont="1" applyFill="1" applyBorder="1" applyAlignment="1">
      <alignment vertical="center"/>
    </xf>
    <xf numFmtId="0" fontId="20" fillId="9" borderId="12" xfId="0" applyFont="1" applyFill="1" applyBorder="1" applyAlignment="1">
      <alignment vertical="center"/>
    </xf>
    <xf numFmtId="166" fontId="21" fillId="9" borderId="0" xfId="0" applyNumberFormat="1" applyFont="1" applyFill="1" applyBorder="1" applyAlignment="1">
      <alignment vertical="center"/>
    </xf>
    <xf numFmtId="0" fontId="22" fillId="9" borderId="13" xfId="0" applyFont="1" applyFill="1" applyBorder="1" applyAlignment="1">
      <alignment vertical="center"/>
    </xf>
    <xf numFmtId="0" fontId="23" fillId="9" borderId="14" xfId="0" applyFont="1" applyFill="1" applyBorder="1" applyAlignment="1">
      <alignment vertical="center"/>
    </xf>
    <xf numFmtId="0" fontId="23" fillId="9" borderId="17" xfId="0" applyFont="1" applyFill="1" applyBorder="1" applyAlignment="1">
      <alignment vertical="center"/>
    </xf>
    <xf numFmtId="166" fontId="24" fillId="9" borderId="15" xfId="0" applyNumberFormat="1" applyFont="1" applyFill="1" applyBorder="1" applyAlignment="1">
      <alignment vertical="center"/>
    </xf>
    <xf numFmtId="166" fontId="24" fillId="9" borderId="18" xfId="0" applyNumberFormat="1" applyFont="1" applyFill="1" applyBorder="1" applyAlignment="1">
      <alignment vertical="center"/>
    </xf>
    <xf numFmtId="0" fontId="23" fillId="9" borderId="12" xfId="0" applyFont="1" applyFill="1" applyBorder="1" applyAlignment="1">
      <alignment vertical="center"/>
    </xf>
    <xf numFmtId="166" fontId="24" fillId="9" borderId="0" xfId="0" applyNumberFormat="1" applyFont="1" applyFill="1" applyBorder="1" applyAlignment="1">
      <alignment vertical="center"/>
    </xf>
    <xf numFmtId="0" fontId="19" fillId="10" borderId="0" xfId="0" applyFont="1" applyFill="1" applyBorder="1" applyAlignment="1">
      <alignment vertical="center"/>
    </xf>
    <xf numFmtId="0" fontId="17" fillId="6" borderId="15" xfId="0" applyFont="1" applyFill="1" applyBorder="1" applyAlignment="1">
      <alignment vertical="center" wrapText="1"/>
    </xf>
    <xf numFmtId="0" fontId="17" fillId="6" borderId="18" xfId="0" applyFont="1" applyFill="1" applyBorder="1" applyAlignment="1">
      <alignment vertical="center" wrapText="1"/>
    </xf>
    <xf numFmtId="0" fontId="25" fillId="9" borderId="20" xfId="0" applyFont="1" applyFill="1" applyBorder="1" applyAlignment="1">
      <alignment vertical="center" wrapText="1"/>
    </xf>
    <xf numFmtId="0" fontId="25" fillId="9" borderId="21" xfId="0" applyFont="1" applyFill="1" applyBorder="1" applyAlignment="1">
      <alignment vertical="center" wrapText="1"/>
    </xf>
    <xf numFmtId="0" fontId="25" fillId="9" borderId="22" xfId="0" applyFont="1" applyFill="1" applyBorder="1" applyAlignment="1">
      <alignment vertical="center" wrapText="1"/>
    </xf>
    <xf numFmtId="0" fontId="17" fillId="11" borderId="15" xfId="0" applyFont="1" applyFill="1" applyBorder="1" applyAlignment="1">
      <alignment vertical="center" wrapText="1"/>
    </xf>
    <xf numFmtId="0" fontId="17" fillId="11" borderId="0" xfId="0" applyFont="1" applyFill="1" applyBorder="1" applyAlignment="1">
      <alignment vertical="center" wrapText="1"/>
    </xf>
    <xf numFmtId="0" fontId="17" fillId="11" borderId="18" xfId="0" applyFont="1" applyFill="1" applyBorder="1" applyAlignment="1">
      <alignment vertical="center" wrapText="1"/>
    </xf>
    <xf numFmtId="0" fontId="17" fillId="11" borderId="16" xfId="0" applyFont="1" applyFill="1" applyBorder="1" applyAlignment="1">
      <alignment vertical="center" wrapText="1"/>
    </xf>
    <xf numFmtId="0" fontId="17" fillId="11" borderId="13" xfId="0" applyFont="1" applyFill="1" applyBorder="1" applyAlignment="1">
      <alignment vertical="center" wrapText="1"/>
    </xf>
    <xf numFmtId="0" fontId="17" fillId="11" borderId="19" xfId="0" applyFont="1" applyFill="1" applyBorder="1" applyAlignment="1">
      <alignment vertical="center" wrapText="1"/>
    </xf>
    <xf numFmtId="0" fontId="17" fillId="6" borderId="15" xfId="0" applyFont="1" applyFill="1" applyBorder="1" applyAlignment="1">
      <alignment vertical="center" wrapText="1"/>
    </xf>
    <xf numFmtId="0" fontId="25" fillId="12" borderId="20" xfId="0" applyFont="1" applyFill="1" applyBorder="1" applyAlignment="1">
      <alignment vertical="center" wrapText="1"/>
    </xf>
    <xf numFmtId="0" fontId="25" fillId="12" borderId="21" xfId="0" applyFont="1" applyFill="1" applyBorder="1" applyAlignment="1">
      <alignment vertical="center" wrapText="1"/>
    </xf>
    <xf numFmtId="0" fontId="25" fillId="12" borderId="22" xfId="0" applyFont="1" applyFill="1" applyBorder="1" applyAlignment="1">
      <alignment vertical="center" wrapText="1"/>
    </xf>
    <xf numFmtId="0" fontId="17" fillId="11" borderId="15" xfId="0" applyFont="1" applyFill="1" applyBorder="1" applyAlignment="1">
      <alignment vertical="center" wrapText="1"/>
    </xf>
    <xf numFmtId="0" fontId="17" fillId="11" borderId="16" xfId="0" applyFont="1" applyFill="1" applyBorder="1" applyAlignment="1">
      <alignment vertical="center" wrapText="1"/>
    </xf>
    <xf numFmtId="166" fontId="17" fillId="6" borderId="0" xfId="0" applyNumberFormat="1" applyFont="1" applyFill="1" applyBorder="1" applyAlignment="1">
      <alignment vertical="center"/>
    </xf>
    <xf numFmtId="166" fontId="17" fillId="6" borderId="13" xfId="0" applyNumberFormat="1" applyFont="1" applyFill="1" applyBorder="1" applyAlignment="1">
      <alignment vertical="center"/>
    </xf>
    <xf numFmtId="0" fontId="17" fillId="6" borderId="15" xfId="0" applyFont="1" applyFill="1" applyBorder="1" applyAlignment="1">
      <alignment vertical="center"/>
    </xf>
    <xf numFmtId="0" fontId="17" fillId="6" borderId="16" xfId="0" applyFont="1" applyFill="1" applyBorder="1" applyAlignment="1">
      <alignment vertical="center"/>
    </xf>
    <xf numFmtId="166" fontId="17" fillId="6" borderId="18" xfId="0" applyNumberFormat="1" applyFont="1" applyFill="1" applyBorder="1" applyAlignment="1">
      <alignment vertical="center"/>
    </xf>
    <xf numFmtId="166" fontId="17" fillId="6" borderId="19" xfId="0" applyNumberFormat="1" applyFont="1" applyFill="1" applyBorder="1" applyAlignment="1">
      <alignment vertical="center"/>
    </xf>
    <xf numFmtId="0" fontId="25" fillId="9" borderId="20" xfId="0" applyFont="1" applyFill="1" applyBorder="1" applyAlignment="1">
      <alignment vertical="center"/>
    </xf>
    <xf numFmtId="0" fontId="25" fillId="9" borderId="21" xfId="0" applyFont="1" applyFill="1" applyBorder="1" applyAlignment="1">
      <alignment vertical="center"/>
    </xf>
    <xf numFmtId="0" fontId="25" fillId="9" borderId="22" xfId="0" applyFont="1" applyFill="1" applyBorder="1" applyAlignment="1">
      <alignment vertical="center"/>
    </xf>
    <xf numFmtId="0" fontId="17" fillId="11" borderId="15" xfId="0" applyFont="1" applyFill="1" applyBorder="1" applyAlignment="1">
      <alignment vertical="center"/>
    </xf>
    <xf numFmtId="166" fontId="17" fillId="11" borderId="0" xfId="0" applyNumberFormat="1" applyFont="1" applyFill="1" applyBorder="1" applyAlignment="1">
      <alignment vertical="center"/>
    </xf>
    <xf numFmtId="166" fontId="17" fillId="11" borderId="18" xfId="0" applyNumberFormat="1" applyFont="1" applyFill="1" applyBorder="1" applyAlignment="1">
      <alignment vertical="center"/>
    </xf>
    <xf numFmtId="0" fontId="25" fillId="12" borderId="20" xfId="0" applyFont="1" applyFill="1" applyBorder="1" applyAlignment="1">
      <alignment vertical="center" wrapText="1"/>
    </xf>
    <xf numFmtId="166" fontId="26" fillId="6" borderId="0" xfId="0" applyNumberFormat="1" applyFont="1" applyFill="1" applyBorder="1" applyAlignment="1">
      <alignment vertical="center"/>
    </xf>
    <xf numFmtId="166" fontId="26" fillId="6" borderId="13" xfId="0" applyNumberFormat="1" applyFont="1" applyFill="1" applyBorder="1" applyAlignment="1">
      <alignment vertical="center"/>
    </xf>
    <xf numFmtId="0" fontId="26" fillId="6" borderId="18" xfId="0" applyFont="1" applyFill="1" applyBorder="1" applyAlignment="1">
      <alignment vertical="center"/>
    </xf>
    <xf numFmtId="0" fontId="26" fillId="6" borderId="19" xfId="0" applyFont="1" applyFill="1" applyBorder="1" applyAlignment="1">
      <alignment vertical="center"/>
    </xf>
    <xf numFmtId="166" fontId="27" fillId="11" borderId="0" xfId="0" applyNumberFormat="1" applyFont="1" applyFill="1" applyBorder="1" applyAlignment="1">
      <alignment vertical="center"/>
    </xf>
    <xf numFmtId="166" fontId="27" fillId="11" borderId="18" xfId="0" applyNumberFormat="1" applyFont="1" applyFill="1" applyBorder="1" applyAlignment="1">
      <alignment vertical="center"/>
    </xf>
    <xf numFmtId="0" fontId="27" fillId="11" borderId="18" xfId="0" applyFont="1" applyFill="1" applyBorder="1" applyAlignment="1">
      <alignment vertical="center"/>
    </xf>
  </cellXfs>
  <cellStyles count="1">
    <cellStyle name="Normal" xfId="0" builtinId="0"/>
  </cellStyles>
  <dxfs count="9">
    <dxf>
      <font>
        <color rgb="FF15803D"/>
      </font>
      <fill>
        <patternFill patternType="solid">
          <fgColor indexed="64"/>
          <bgColor rgb="FFECFDF3"/>
        </patternFill>
      </fill>
    </dxf>
    <dxf>
      <font>
        <color rgb="FFB91C1C"/>
      </font>
      <fill>
        <patternFill patternType="solid">
          <fgColor indexed="64"/>
          <bgColor rgb="FFFDECEC"/>
        </patternFill>
      </fill>
    </dxf>
    <dxf>
      <font>
        <color rgb="FFB91C1C"/>
      </font>
      <fill>
        <patternFill patternType="solid">
          <fgColor indexed="64"/>
          <bgColor rgb="FFFDECEC"/>
        </patternFill>
      </fill>
    </dxf>
    <dxf>
      <font>
        <b/>
        <sz val="10"/>
        <color rgb="FFFF3333"/>
        <name val="Consolas"/>
      </font>
    </dxf>
    <dxf>
      <font>
        <b/>
        <sz val="10"/>
        <color rgb="FF00FF00"/>
        <name val="Consolas"/>
      </font>
    </dxf>
    <dxf>
      <font>
        <b/>
        <sz val="10"/>
        <color rgb="FF00FF00"/>
        <name val="Consolas"/>
      </font>
    </dxf>
    <dxf>
      <font>
        <b/>
        <sz val="10"/>
        <color rgb="FFFF3333"/>
        <name val="Consolas"/>
      </font>
    </dxf>
    <dxf>
      <font>
        <b/>
        <sz val="10"/>
        <color rgb="FFFF3333"/>
        <name val="Consolas"/>
      </font>
    </dxf>
    <dxf>
      <font>
        <b/>
        <sz val="10"/>
        <color rgb="FF00FF00"/>
        <name val="Consolas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3"/>
  <c:chart>
    <c:title>
      <c:tx>
        <c:rich>
          <a:bodyPr/>
          <a:lstStyle/>
          <a:p>
            <a:pPr>
              <a:defRPr/>
            </a:pPr>
            <a:r>
              <a:rPr lang="en-US"/>
              <a:t>DIFERENÇA NO SALDO FINAL DE AGOSTO/2026 POR CENÁRIO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ln>
              <a:prstDash val="solid"/>
            </a:ln>
          </c:spPr>
          <c:invertIfNegative val="1"/>
          <c:cat>
            <c:strRef>
              <c:f>'Dashboard &amp; Comparisons'!$F$9:$I$9</c:f>
              <c:strCache>
                <c:ptCount val="4"/>
                <c:pt idx="0">
                  <c:v>Saldo F. Original</c:v>
                </c:pt>
                <c:pt idx="1">
                  <c:v>Saldo F. Cenário 1
(Doméstico)</c:v>
                </c:pt>
                <c:pt idx="2">
                  <c:v>Saldo F. Cenário 2
(Sem Filtro)</c:v>
                </c:pt>
                <c:pt idx="3">
                  <c:v>Saldo F. Otimizado
(Sane Scenario)</c:v>
                </c:pt>
              </c:strCache>
            </c:strRef>
          </c:cat>
          <c:val>
            <c:numRef>
              <c:f>'Dashboard &amp; Comparisons'!$F$14</c:f>
              <c:numCache>
                <c:formatCode>\R\$\ #,##0.00</c:formatCode>
                <c:ptCount val="1"/>
                <c:pt idx="0">
                  <c:v>17836.729999999989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7B-1443-AC82-D40D927B42BE}"/>
            </c:ext>
          </c:extLst>
        </c:ser>
        <c:ser>
          <c:idx val="1"/>
          <c:order val="1"/>
          <c:spPr>
            <a:ln>
              <a:prstDash val="solid"/>
            </a:ln>
          </c:spPr>
          <c:invertIfNegative val="1"/>
          <c:cat>
            <c:strRef>
              <c:f>'Dashboard &amp; Comparisons'!$F$9:$I$9</c:f>
              <c:strCache>
                <c:ptCount val="4"/>
                <c:pt idx="0">
                  <c:v>Saldo F. Original</c:v>
                </c:pt>
                <c:pt idx="1">
                  <c:v>Saldo F. Cenário 1
(Doméstico)</c:v>
                </c:pt>
                <c:pt idx="2">
                  <c:v>Saldo F. Cenário 2
(Sem Filtro)</c:v>
                </c:pt>
                <c:pt idx="3">
                  <c:v>Saldo F. Otimizado
(Sane Scenario)</c:v>
                </c:pt>
              </c:strCache>
            </c:strRef>
          </c:cat>
          <c:val>
            <c:numRef>
              <c:f>'Dashboard &amp; Comparisons'!$G$14</c:f>
              <c:numCache>
                <c:formatCode>\R\$\ #,##0.00</c:formatCode>
                <c:ptCount val="1"/>
                <c:pt idx="0">
                  <c:v>6586.7299999999886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7B-1443-AC82-D40D927B42BE}"/>
            </c:ext>
          </c:extLst>
        </c:ser>
        <c:ser>
          <c:idx val="2"/>
          <c:order val="2"/>
          <c:spPr>
            <a:ln>
              <a:prstDash val="solid"/>
            </a:ln>
          </c:spPr>
          <c:invertIfNegative val="1"/>
          <c:cat>
            <c:strRef>
              <c:f>'Dashboard &amp; Comparisons'!$F$9:$I$9</c:f>
              <c:strCache>
                <c:ptCount val="4"/>
                <c:pt idx="0">
                  <c:v>Saldo F. Original</c:v>
                </c:pt>
                <c:pt idx="1">
                  <c:v>Saldo F. Cenário 1
(Doméstico)</c:v>
                </c:pt>
                <c:pt idx="2">
                  <c:v>Saldo F. Cenário 2
(Sem Filtro)</c:v>
                </c:pt>
                <c:pt idx="3">
                  <c:v>Saldo F. Otimizado
(Sane Scenario)</c:v>
                </c:pt>
              </c:strCache>
            </c:strRef>
          </c:cat>
          <c:val>
            <c:numRef>
              <c:f>'Dashboard &amp; Comparisons'!$H$14</c:f>
              <c:numCache>
                <c:formatCode>\R\$\ #,##0.00</c:formatCode>
                <c:ptCount val="1"/>
                <c:pt idx="0">
                  <c:v>1336.7299999999886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7B-1443-AC82-D40D927B42BE}"/>
            </c:ext>
          </c:extLst>
        </c:ser>
        <c:ser>
          <c:idx val="3"/>
          <c:order val="3"/>
          <c:spPr>
            <a:ln>
              <a:prstDash val="solid"/>
            </a:ln>
          </c:spPr>
          <c:invertIfNegative val="1"/>
          <c:cat>
            <c:strRef>
              <c:f>'Dashboard &amp; Comparisons'!$F$9:$I$9</c:f>
              <c:strCache>
                <c:ptCount val="4"/>
                <c:pt idx="0">
                  <c:v>Saldo F. Original</c:v>
                </c:pt>
                <c:pt idx="1">
                  <c:v>Saldo F. Cenário 1
(Doméstico)</c:v>
                </c:pt>
                <c:pt idx="2">
                  <c:v>Saldo F. Cenário 2
(Sem Filtro)</c:v>
                </c:pt>
                <c:pt idx="3">
                  <c:v>Saldo F. Otimizado
(Sane Scenario)</c:v>
                </c:pt>
              </c:strCache>
            </c:strRef>
          </c:cat>
          <c:val>
            <c:numRef>
              <c:f>'Dashboard &amp; Comparisons'!$I$14</c:f>
              <c:numCache>
                <c:formatCode>\R\$\ #,##0.00</c:formatCode>
                <c:ptCount val="1"/>
                <c:pt idx="0">
                  <c:v>4336.7299999999886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7B-1443-AC82-D40D927B4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Cenários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Saldo Final (R$)</a:t>
                </a:r>
              </a:p>
            </c:rich>
          </c:tx>
          <c:overlay val="1"/>
        </c:title>
        <c:numFmt formatCode="\R\$\ #,##0.0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Saldo final mensal por cenário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62626"/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'Insights &amp; Tendências'!$B$8</c:f>
              <c:strCache>
                <c:ptCount val="1"/>
                <c:pt idx="0">
                  <c:v>Original</c:v>
                </c:pt>
              </c:strCache>
            </c:strRef>
          </c:tx>
          <c:spPr>
            <a:ln w="28575" cap="rnd">
              <a:solidFill>
                <a:srgbClr val="2E5299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2E5299"/>
              </a:solidFill>
              <a:ln w="9525">
                <a:solidFill>
                  <a:srgbClr val="2E5299"/>
                </a:solidFill>
                <a:prstDash val="solid"/>
              </a:ln>
              <a:effectLst/>
            </c:spPr>
          </c:marker>
          <c:cat>
            <c:strRef>
              <c:f>'Insights &amp; Tendências'!$A$9:$A$13</c:f>
              <c:strCache>
                <c:ptCount val="5"/>
                <c:pt idx="0">
                  <c:v>Abril 2026</c:v>
                </c:pt>
                <c:pt idx="1">
                  <c:v>Maio 2026</c:v>
                </c:pt>
                <c:pt idx="2">
                  <c:v>Junho 2026</c:v>
                </c:pt>
                <c:pt idx="3">
                  <c:v>Julho 2026</c:v>
                </c:pt>
                <c:pt idx="4">
                  <c:v>Agosto 2026</c:v>
                </c:pt>
              </c:strCache>
            </c:strRef>
          </c:cat>
          <c:val>
            <c:numRef>
              <c:f>'Insights &amp; Tendências'!$B$9:$B$13</c:f>
              <c:numCache>
                <c:formatCode>[$R$-416]\ #,##0.00;[Red]\-[$R$-416]\ #,##0.00</c:formatCode>
                <c:ptCount val="5"/>
                <c:pt idx="0">
                  <c:v>28424.109999999993</c:v>
                </c:pt>
                <c:pt idx="1">
                  <c:v>16472.44999999999</c:v>
                </c:pt>
                <c:pt idx="2">
                  <c:v>27715.189999999991</c:v>
                </c:pt>
                <c:pt idx="3">
                  <c:v>9119.0699999999852</c:v>
                </c:pt>
                <c:pt idx="4">
                  <c:v>17836.729999999989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F1-0F45-89D3-8D2384B0646E}"/>
            </c:ext>
          </c:extLst>
        </c:ser>
        <c:ser>
          <c:idx val="1"/>
          <c:order val="1"/>
          <c:tx>
            <c:strRef>
              <c:f>'Insights &amp; Tendências'!$C$8</c:f>
              <c:strCache>
                <c:ptCount val="1"/>
                <c:pt idx="0">
                  <c:v>Doméstico</c:v>
                </c:pt>
              </c:strCache>
            </c:strRef>
          </c:tx>
          <c:spPr>
            <a:ln w="28575" cap="rnd">
              <a:solidFill>
                <a:srgbClr val="BF8A1B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BF8A1B"/>
              </a:solidFill>
              <a:ln w="9525">
                <a:solidFill>
                  <a:srgbClr val="BF8A1B"/>
                </a:solidFill>
                <a:prstDash val="solid"/>
              </a:ln>
              <a:effectLst/>
            </c:spPr>
          </c:marker>
          <c:cat>
            <c:strRef>
              <c:f>'Insights &amp; Tendências'!$A$9:$A$13</c:f>
              <c:strCache>
                <c:ptCount val="5"/>
                <c:pt idx="0">
                  <c:v>Abril 2026</c:v>
                </c:pt>
                <c:pt idx="1">
                  <c:v>Maio 2026</c:v>
                </c:pt>
                <c:pt idx="2">
                  <c:v>Junho 2026</c:v>
                </c:pt>
                <c:pt idx="3">
                  <c:v>Julho 2026</c:v>
                </c:pt>
                <c:pt idx="4">
                  <c:v>Agosto 2026</c:v>
                </c:pt>
              </c:strCache>
            </c:strRef>
          </c:cat>
          <c:val>
            <c:numRef>
              <c:f>'Insights &amp; Tendências'!$C$9:$C$13</c:f>
              <c:numCache>
                <c:formatCode>[$R$-416]\ #,##0.00;[Red]\-[$R$-416]\ #,##0.00</c:formatCode>
                <c:ptCount val="5"/>
                <c:pt idx="0">
                  <c:v>26174.109999999993</c:v>
                </c:pt>
                <c:pt idx="1">
                  <c:v>11972.44999999999</c:v>
                </c:pt>
                <c:pt idx="2">
                  <c:v>20965.189999999991</c:v>
                </c:pt>
                <c:pt idx="3">
                  <c:v>119.0699999999888</c:v>
                </c:pt>
                <c:pt idx="4">
                  <c:v>6586.7299999999886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F1-0F45-89D3-8D2384B0646E}"/>
            </c:ext>
          </c:extLst>
        </c:ser>
        <c:ser>
          <c:idx val="2"/>
          <c:order val="2"/>
          <c:tx>
            <c:strRef>
              <c:f>'Insights &amp; Tendências'!$D$8</c:f>
              <c:strCache>
                <c:ptCount val="1"/>
                <c:pt idx="0">
                  <c:v>Sem filtro</c:v>
                </c:pt>
              </c:strCache>
            </c:strRef>
          </c:tx>
          <c:spPr>
            <a:ln w="28575" cap="rnd">
              <a:solidFill>
                <a:srgbClr val="7E7E7E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7E7E7E"/>
              </a:solidFill>
              <a:ln w="9525">
                <a:solidFill>
                  <a:srgbClr val="7E7E7E"/>
                </a:solidFill>
                <a:prstDash val="solid"/>
              </a:ln>
              <a:effectLst/>
            </c:spPr>
          </c:marker>
          <c:cat>
            <c:strRef>
              <c:f>'Insights &amp; Tendências'!$A$9:$A$13</c:f>
              <c:strCache>
                <c:ptCount val="5"/>
                <c:pt idx="0">
                  <c:v>Abril 2026</c:v>
                </c:pt>
                <c:pt idx="1">
                  <c:v>Maio 2026</c:v>
                </c:pt>
                <c:pt idx="2">
                  <c:v>Junho 2026</c:v>
                </c:pt>
                <c:pt idx="3">
                  <c:v>Julho 2026</c:v>
                </c:pt>
                <c:pt idx="4">
                  <c:v>Agosto 2026</c:v>
                </c:pt>
              </c:strCache>
            </c:strRef>
          </c:cat>
          <c:val>
            <c:numRef>
              <c:f>'Insights &amp; Tendências'!$D$9:$D$13</c:f>
              <c:numCache>
                <c:formatCode>[$R$-416]\ #,##0.00;[Red]\-[$R$-416]\ #,##0.00</c:formatCode>
                <c:ptCount val="5"/>
                <c:pt idx="0">
                  <c:v>25124.109999999993</c:v>
                </c:pt>
                <c:pt idx="1">
                  <c:v>9872.4499999999898</c:v>
                </c:pt>
                <c:pt idx="2">
                  <c:v>17815.189999999991</c:v>
                </c:pt>
                <c:pt idx="3">
                  <c:v>-4080.9300000000112</c:v>
                </c:pt>
                <c:pt idx="4">
                  <c:v>1336.7299999999886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F1-0F45-89D3-8D2384B0646E}"/>
            </c:ext>
          </c:extLst>
        </c:ser>
        <c:ser>
          <c:idx val="3"/>
          <c:order val="3"/>
          <c:tx>
            <c:strRef>
              <c:f>'Insights &amp; Tendências'!$E$8</c:f>
              <c:strCache>
                <c:ptCount val="1"/>
                <c:pt idx="0">
                  <c:v>Saneado</c:v>
                </c:pt>
              </c:strCache>
            </c:strRef>
          </c:tx>
          <c:spPr>
            <a:ln w="28575" cap="rnd">
              <a:solidFill>
                <a:srgbClr val="3399CC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3399CC"/>
              </a:solidFill>
              <a:ln w="9525">
                <a:solidFill>
                  <a:srgbClr val="3399CC"/>
                </a:solidFill>
                <a:prstDash val="solid"/>
              </a:ln>
              <a:effectLst/>
            </c:spPr>
          </c:marker>
          <c:cat>
            <c:strRef>
              <c:f>'Insights &amp; Tendências'!$A$9:$A$13</c:f>
              <c:strCache>
                <c:ptCount val="5"/>
                <c:pt idx="0">
                  <c:v>Abril 2026</c:v>
                </c:pt>
                <c:pt idx="1">
                  <c:v>Maio 2026</c:v>
                </c:pt>
                <c:pt idx="2">
                  <c:v>Junho 2026</c:v>
                </c:pt>
                <c:pt idx="3">
                  <c:v>Julho 2026</c:v>
                </c:pt>
                <c:pt idx="4">
                  <c:v>Agosto 2026</c:v>
                </c:pt>
              </c:strCache>
            </c:strRef>
          </c:cat>
          <c:val>
            <c:numRef>
              <c:f>'Insights &amp; Tendências'!$E$9:$E$13</c:f>
              <c:numCache>
                <c:formatCode>[$R$-416]\ #,##0.00;[Red]\-[$R$-416]\ #,##0.00</c:formatCode>
                <c:ptCount val="5"/>
                <c:pt idx="0">
                  <c:v>25724.109999999993</c:v>
                </c:pt>
                <c:pt idx="1">
                  <c:v>11072.44999999999</c:v>
                </c:pt>
                <c:pt idx="2">
                  <c:v>19615.189999999991</c:v>
                </c:pt>
                <c:pt idx="3">
                  <c:v>-1680.9300000000112</c:v>
                </c:pt>
                <c:pt idx="4">
                  <c:v>4336.7299999999886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EF1-0F45-89D3-8D2384B064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992512"/>
        <c:axId val="1727212032"/>
      </c:lineChart>
      <c:catAx>
        <c:axId val="169899251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727212032"/>
        <c:crosses val="autoZero"/>
        <c:auto val="1"/>
        <c:lblAlgn val="ctr"/>
        <c:lblOffset val="100"/>
        <c:noMultiLvlLbl val="0"/>
      </c:catAx>
      <c:valAx>
        <c:axId val="172721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Saldo final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[$R$-416]\ #.##0;[Red]\-[$R$-416]\ #.##0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698992512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262626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Entradas menos saídas históricas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262626"/>
              </a:solidFill>
              <a:latin typeface="+mn-lt"/>
              <a:ea typeface="+mn-ea"/>
              <a:cs typeface="+mn-cs"/>
            </a:defRPr>
          </a:pPr>
          <a:endParaRPr lang="en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'Insights &amp; Tendências'!$B$34</c:f>
              <c:strCache>
                <c:ptCount val="1"/>
                <c:pt idx="0">
                  <c:v>Entradas - Saídas</c:v>
                </c:pt>
              </c:strCache>
            </c:strRef>
          </c:tx>
          <c:spPr>
            <a:solidFill>
              <a:srgbClr val="2E5299"/>
            </a:solidFill>
            <a:ln>
              <a:noFill/>
            </a:ln>
            <a:effectLst/>
          </c:spPr>
          <c:invertIfNegative val="0"/>
          <c:dLbls>
            <c:numFmt formatCode="[$R$-416]\ #.##0;[Red]\-[$R$-416]\ #.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'Insights &amp; Tendências'!$A$35:$A$39</c:f>
              <c:strCache>
                <c:ptCount val="5"/>
                <c:pt idx="0">
                  <c:v>Abril 2026</c:v>
                </c:pt>
                <c:pt idx="1">
                  <c:v>Maio 2026</c:v>
                </c:pt>
                <c:pt idx="2">
                  <c:v>Junho 2026</c:v>
                </c:pt>
                <c:pt idx="3">
                  <c:v>Julho 2026</c:v>
                </c:pt>
                <c:pt idx="4">
                  <c:v>Agosto 2026</c:v>
                </c:pt>
              </c:strCache>
            </c:strRef>
          </c:cat>
          <c:val>
            <c:numRef>
              <c:f>'Insights &amp; Tendências'!$B$35:$B$39</c:f>
              <c:numCache>
                <c:formatCode>[$R$-416]\ #,##0.00;[Red]\-[$R$-416]\ #,##0.00</c:formatCode>
                <c:ptCount val="5"/>
                <c:pt idx="0">
                  <c:v>7269.0199999999968</c:v>
                </c:pt>
                <c:pt idx="1">
                  <c:v>-11951.660000000003</c:v>
                </c:pt>
                <c:pt idx="2">
                  <c:v>11242.740000000002</c:v>
                </c:pt>
                <c:pt idx="3">
                  <c:v>-18596.120000000003</c:v>
                </c:pt>
                <c:pt idx="4">
                  <c:v>8717.66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36-5944-B8CE-C98BFDB9E0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62913664"/>
        <c:axId val="1762915456"/>
      </c:barChart>
      <c:catAx>
        <c:axId val="1762913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Mês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D9D9D9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762915456"/>
        <c:crosses val="autoZero"/>
        <c:auto val="1"/>
        <c:lblAlgn val="ctr"/>
        <c:lblOffset val="100"/>
        <c:noMultiLvlLbl val="0"/>
      </c:catAx>
      <c:valAx>
        <c:axId val="1762915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D9D9D9"/>
              </a:solidFill>
              <a:prstDash val="solid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Fluxo líquido (R$)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BR"/>
            </a:p>
          </c:txPr>
        </c:title>
        <c:numFmt formatCode="[$R$-416]\ #.##0;[Red]\-[$R$-416]\ #.##0" sourceLinked="0"/>
        <c:majorTickMark val="none"/>
        <c:minorTickMark val="none"/>
        <c:tickLblPos val="nextTo"/>
        <c:spPr>
          <a:noFill/>
          <a:ln>
            <a:solidFill>
              <a:srgbClr val="D9D9D9"/>
            </a:solidFill>
            <a:prstDash val="soli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BR"/>
          </a:p>
        </c:txPr>
        <c:crossAx val="1762913664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595959"/>
              </a:solidFill>
              <a:latin typeface="+mn-lt"/>
              <a:ea typeface="+mn-ea"/>
              <a:cs typeface="+mn-cs"/>
            </a:defRPr>
          </a:pPr>
          <a:endParaRPr lang="en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F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B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23</xdr:row>
      <xdr:rowOff>0</xdr:rowOff>
    </xdr:from>
    <xdr:ext cx="61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8</xdr:col>
      <xdr:colOff>0</xdr:colOff>
      <xdr:row>29</xdr:row>
      <xdr:rowOff>0</xdr:rowOff>
    </xdr:to>
    <xdr:graphicFrame macro="">
      <xdr:nvGraphicFramePr>
        <xdr:cNvPr id="2" name="Trajetória dos Saldos">
          <a:extLst>
            <a:ext uri="{FF2B5EF4-FFF2-40B4-BE49-F238E27FC236}">
              <a16:creationId xmlns:a16="http://schemas.microsoft.com/office/drawing/2014/main" id="{379F8B3D-79B6-E098-51C9-91B004C2E76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0</xdr:rowOff>
    </xdr:from>
    <xdr:to>
      <xdr:col>8</xdr:col>
      <xdr:colOff>0</xdr:colOff>
      <xdr:row>56</xdr:row>
      <xdr:rowOff>0</xdr:rowOff>
    </xdr:to>
    <xdr:graphicFrame macro="">
      <xdr:nvGraphicFramePr>
        <xdr:cNvPr id="3" name="Fluxo Líquido Mensal">
          <a:extLst>
            <a:ext uri="{FF2B5EF4-FFF2-40B4-BE49-F238E27FC236}">
              <a16:creationId xmlns:a16="http://schemas.microsoft.com/office/drawing/2014/main" id="{A026E7AE-7E91-35D9-F9A9-5CA0734851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zoomScale="150" zoomScaleNormal="150" workbookViewId="0"/>
  </sheetViews>
  <sheetFormatPr baseColWidth="10" defaultColWidth="8.83203125" defaultRowHeight="15" x14ac:dyDescent="0.2"/>
  <cols>
    <col min="1" max="1" width="3" customWidth="1"/>
    <col min="2" max="2" width="25" customWidth="1"/>
    <col min="3" max="3" width="55" customWidth="1"/>
    <col min="4" max="4" width="25" customWidth="1"/>
  </cols>
  <sheetData>
    <row r="1" spans="1:6" x14ac:dyDescent="0.2">
      <c r="A1" s="1"/>
      <c r="B1" s="1"/>
      <c r="C1" s="1"/>
      <c r="D1" s="1"/>
      <c r="E1" s="1"/>
      <c r="F1" s="1"/>
    </row>
    <row r="2" spans="1:6" ht="19" x14ac:dyDescent="0.25">
      <c r="A2" s="1"/>
      <c r="B2" s="2" t="s">
        <v>0</v>
      </c>
      <c r="C2" s="1"/>
      <c r="D2" s="1"/>
      <c r="E2" s="1"/>
      <c r="F2" s="1"/>
    </row>
    <row r="3" spans="1:6" x14ac:dyDescent="0.2">
      <c r="A3" s="1"/>
      <c r="B3" s="3" t="s">
        <v>1</v>
      </c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/>
      <c r="B5" s="4" t="s">
        <v>2</v>
      </c>
      <c r="C5" s="1"/>
      <c r="D5" s="1"/>
      <c r="E5" s="1"/>
      <c r="F5" s="1"/>
    </row>
    <row r="6" spans="1:6" x14ac:dyDescent="0.2">
      <c r="A6" s="1"/>
      <c r="B6" s="5" t="s">
        <v>3</v>
      </c>
      <c r="C6" s="5" t="s">
        <v>4</v>
      </c>
      <c r="D6" s="5" t="s">
        <v>5</v>
      </c>
      <c r="E6" s="1"/>
      <c r="F6" s="1"/>
    </row>
    <row r="7" spans="1:6" x14ac:dyDescent="0.2">
      <c r="A7" s="1"/>
      <c r="B7" s="6" t="s">
        <v>6</v>
      </c>
      <c r="C7" s="6" t="s">
        <v>7</v>
      </c>
      <c r="D7" s="7" t="str">
        <f>HYPERLINK("#'TOC &amp; Legend'!A1", "GO TO TERMINAL →")</f>
        <v>GO TO TERMINAL →</v>
      </c>
      <c r="E7" s="1"/>
      <c r="F7" s="1"/>
    </row>
    <row r="8" spans="1:6" x14ac:dyDescent="0.2">
      <c r="A8" s="1"/>
      <c r="B8" s="6" t="s">
        <v>8</v>
      </c>
      <c r="C8" s="6" t="s">
        <v>9</v>
      </c>
      <c r="D8" s="7" t="str">
        <f>HYPERLINK("#'Dashboard &amp; Comparisons'!A1", "GO TO MONITOR →")</f>
        <v>GO TO MONITOR →</v>
      </c>
      <c r="E8" s="1"/>
      <c r="F8" s="1"/>
    </row>
    <row r="9" spans="1:6" x14ac:dyDescent="0.2">
      <c r="A9" s="1"/>
      <c r="B9" s="6" t="s">
        <v>10</v>
      </c>
      <c r="C9" s="6" t="s">
        <v>11</v>
      </c>
      <c r="D9" s="7" t="str">
        <f>HYPERLINK("#'Assumptions'!A1", "GO TO SETTINGS →")</f>
        <v>GO TO SETTINGS →</v>
      </c>
      <c r="E9" s="1"/>
      <c r="F9" s="1"/>
    </row>
    <row r="10" spans="1:6" x14ac:dyDescent="0.2">
      <c r="A10" s="1"/>
      <c r="B10" s="6" t="s">
        <v>12</v>
      </c>
      <c r="C10" s="6" t="s">
        <v>13</v>
      </c>
      <c r="D10" s="7" t="str">
        <f>HYPERLINK("#'Detailed Cash Flow'!A1", "GO TO DATABASE →")</f>
        <v>GO TO DATABASE →</v>
      </c>
      <c r="E10" s="1"/>
      <c r="F10" s="1"/>
    </row>
    <row r="11" spans="1:6" x14ac:dyDescent="0.2">
      <c r="A11" s="1"/>
      <c r="B11" s="1"/>
      <c r="C11" s="1"/>
      <c r="D11" s="1"/>
      <c r="E11" s="1"/>
      <c r="F11" s="1"/>
    </row>
    <row r="12" spans="1:6" x14ac:dyDescent="0.2">
      <c r="A12" s="1"/>
      <c r="B12" s="1"/>
      <c r="C12" s="1"/>
      <c r="D12" s="1"/>
      <c r="E12" s="1"/>
      <c r="F12" s="1"/>
    </row>
    <row r="13" spans="1:6" x14ac:dyDescent="0.2">
      <c r="A13" s="1"/>
      <c r="B13" s="4" t="s">
        <v>14</v>
      </c>
      <c r="C13" s="1"/>
      <c r="D13" s="1"/>
      <c r="E13" s="1"/>
      <c r="F13" s="1"/>
    </row>
    <row r="14" spans="1:6" x14ac:dyDescent="0.2">
      <c r="A14" s="1"/>
      <c r="B14" s="8" t="s">
        <v>15</v>
      </c>
      <c r="C14" s="6" t="s">
        <v>16</v>
      </c>
      <c r="D14" s="9" t="s">
        <v>17</v>
      </c>
      <c r="E14" s="1"/>
      <c r="F14" s="1"/>
    </row>
    <row r="15" spans="1:6" x14ac:dyDescent="0.2">
      <c r="A15" s="1"/>
      <c r="B15" s="10" t="s">
        <v>18</v>
      </c>
      <c r="C15" s="6" t="s">
        <v>19</v>
      </c>
      <c r="D15" s="9" t="s">
        <v>20</v>
      </c>
      <c r="E15" s="1"/>
      <c r="F15" s="1"/>
    </row>
    <row r="16" spans="1:6" x14ac:dyDescent="0.2">
      <c r="A16" s="1"/>
      <c r="B16" s="11" t="s">
        <v>21</v>
      </c>
      <c r="C16" s="6" t="s">
        <v>22</v>
      </c>
      <c r="D16" s="9" t="s">
        <v>23</v>
      </c>
      <c r="E16" s="1"/>
      <c r="F16" s="1"/>
    </row>
    <row r="17" spans="1:6" x14ac:dyDescent="0.2">
      <c r="A17" s="1"/>
      <c r="B17" s="12" t="s">
        <v>24</v>
      </c>
      <c r="C17" s="6" t="s">
        <v>25</v>
      </c>
      <c r="D17" s="9" t="s">
        <v>26</v>
      </c>
      <c r="E17" s="1"/>
      <c r="F17" s="1"/>
    </row>
    <row r="18" spans="1:6" x14ac:dyDescent="0.2">
      <c r="A18" s="1"/>
      <c r="B18" s="1"/>
      <c r="C18" s="1"/>
      <c r="D18" s="1"/>
      <c r="E18" s="1"/>
      <c r="F18" s="1"/>
    </row>
    <row r="19" spans="1:6" x14ac:dyDescent="0.2">
      <c r="A19" s="1"/>
      <c r="B19" s="1"/>
      <c r="C19" s="1"/>
      <c r="D19" s="1"/>
      <c r="E19" s="1"/>
      <c r="F19" s="1"/>
    </row>
    <row r="20" spans="1:6" x14ac:dyDescent="0.2">
      <c r="A20" s="1"/>
      <c r="B20" s="3" t="s">
        <v>27</v>
      </c>
      <c r="C20" s="1"/>
      <c r="D20" s="1"/>
      <c r="E20" s="1"/>
      <c r="F20" s="1"/>
    </row>
    <row r="21" spans="1:6" x14ac:dyDescent="0.2">
      <c r="A21" s="1"/>
      <c r="B21" s="1"/>
      <c r="C21" s="1"/>
      <c r="D21" s="1"/>
      <c r="E21" s="1"/>
      <c r="F21" s="1"/>
    </row>
    <row r="22" spans="1:6" x14ac:dyDescent="0.2">
      <c r="A22" s="1"/>
      <c r="B22" s="1"/>
      <c r="C22" s="1"/>
      <c r="D22" s="1"/>
      <c r="E22" s="1"/>
      <c r="F22" s="1"/>
    </row>
    <row r="23" spans="1:6" x14ac:dyDescent="0.2">
      <c r="A23" s="1"/>
      <c r="B23" s="1"/>
      <c r="C23" s="1"/>
      <c r="D23" s="1"/>
      <c r="E23" s="1"/>
      <c r="F23" s="1"/>
    </row>
    <row r="24" spans="1:6" x14ac:dyDescent="0.2">
      <c r="A24" s="1"/>
      <c r="B24" s="1"/>
      <c r="C24" s="1"/>
      <c r="D24" s="1"/>
      <c r="E24" s="1"/>
      <c r="F24" s="1"/>
    </row>
    <row r="25" spans="1:6" x14ac:dyDescent="0.2">
      <c r="A25" s="1"/>
      <c r="B25" s="1"/>
      <c r="C25" s="1"/>
      <c r="D25" s="1"/>
      <c r="E25" s="1"/>
      <c r="F25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0"/>
  <sheetViews>
    <sheetView showGridLines="0" zoomScale="120" zoomScaleNormal="120" workbookViewId="0"/>
  </sheetViews>
  <sheetFormatPr baseColWidth="10" defaultColWidth="8.83203125" defaultRowHeight="15" x14ac:dyDescent="0.2"/>
  <cols>
    <col min="1" max="1" width="3" customWidth="1"/>
    <col min="2" max="2" width="24" customWidth="1"/>
    <col min="3" max="9" width="17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9" x14ac:dyDescent="0.25">
      <c r="A2" s="1"/>
      <c r="B2" s="2" t="s">
        <v>28</v>
      </c>
      <c r="C2" s="1"/>
      <c r="D2" s="1"/>
      <c r="E2" s="1"/>
      <c r="F2" s="1"/>
      <c r="G2" s="1"/>
      <c r="H2" s="1"/>
      <c r="I2" s="1"/>
      <c r="J2" s="1"/>
      <c r="K2" s="1"/>
    </row>
    <row r="3" spans="1:11" x14ac:dyDescent="0.2">
      <c r="A3" s="1"/>
      <c r="B3" s="3" t="s">
        <v>29</v>
      </c>
      <c r="C3" s="1"/>
      <c r="D3" s="1"/>
      <c r="E3" s="1"/>
      <c r="F3" s="1"/>
      <c r="G3" s="1"/>
      <c r="H3" s="1"/>
      <c r="I3" s="1"/>
      <c r="J3" s="1"/>
      <c r="K3" s="1"/>
    </row>
    <row r="4" spans="1:11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x14ac:dyDescent="0.2">
      <c r="A5" s="1"/>
      <c r="B5" s="36" t="s">
        <v>30</v>
      </c>
      <c r="C5" s="37"/>
      <c r="D5" s="1"/>
      <c r="E5" s="36" t="s">
        <v>31</v>
      </c>
      <c r="F5" s="37"/>
      <c r="G5" s="1"/>
      <c r="H5" s="38" t="s">
        <v>32</v>
      </c>
      <c r="I5" s="39"/>
      <c r="J5" s="1"/>
      <c r="K5" s="1"/>
    </row>
    <row r="6" spans="1:11" x14ac:dyDescent="0.2">
      <c r="A6" s="1"/>
      <c r="B6" s="32">
        <f>F14</f>
        <v>17836.729999999989</v>
      </c>
      <c r="C6" s="33"/>
      <c r="D6" s="1"/>
      <c r="E6" s="32">
        <f>H14</f>
        <v>1336.7299999999886</v>
      </c>
      <c r="F6" s="33"/>
      <c r="G6" s="1"/>
      <c r="H6" s="34">
        <f>I14</f>
        <v>4336.7299999999886</v>
      </c>
      <c r="I6" s="35"/>
      <c r="J6" s="1"/>
      <c r="K6" s="1"/>
    </row>
    <row r="7" spans="1:1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 ht="30" x14ac:dyDescent="0.2">
      <c r="A9" s="1"/>
      <c r="B9" s="13" t="s">
        <v>33</v>
      </c>
      <c r="C9" s="13" t="s">
        <v>34</v>
      </c>
      <c r="D9" s="13" t="s">
        <v>35</v>
      </c>
      <c r="E9" s="13" t="s">
        <v>36</v>
      </c>
      <c r="F9" s="13" t="s">
        <v>37</v>
      </c>
      <c r="G9" s="13" t="s">
        <v>38</v>
      </c>
      <c r="H9" s="13" t="s">
        <v>39</v>
      </c>
      <c r="I9" s="13" t="s">
        <v>40</v>
      </c>
      <c r="J9" s="1"/>
      <c r="K9" s="1"/>
    </row>
    <row r="10" spans="1:11" x14ac:dyDescent="0.2">
      <c r="A10" s="1"/>
      <c r="B10" s="6" t="s">
        <v>41</v>
      </c>
      <c r="C10" s="14">
        <f>Assumptions!C6</f>
        <v>21155.09</v>
      </c>
      <c r="D10" s="15">
        <f>'Detailed Cash Flow'!C9</f>
        <v>27262.059999999998</v>
      </c>
      <c r="E10" s="16">
        <f>'Detailed Cash Flow'!C14</f>
        <v>19993.04</v>
      </c>
      <c r="F10" s="14">
        <f>C10+D10-E10</f>
        <v>28424.109999999993</v>
      </c>
      <c r="G10" s="14">
        <f>C10+D10-E10-'Detailed Cash Flow'!C19</f>
        <v>26174.109999999993</v>
      </c>
      <c r="H10" s="14">
        <f>C10+D10-E10-'Detailed Cash Flow'!C28</f>
        <v>25124.109999999993</v>
      </c>
      <c r="I10" s="14">
        <f>C10+D10-E10-'Detailed Cash Flow'!C38</f>
        <v>25724.109999999993</v>
      </c>
      <c r="J10" s="1"/>
      <c r="K10" s="1"/>
    </row>
    <row r="11" spans="1:11" x14ac:dyDescent="0.2">
      <c r="A11" s="1"/>
      <c r="B11" s="6" t="s">
        <v>42</v>
      </c>
      <c r="C11" s="14">
        <f>F10</f>
        <v>28424.109999999993</v>
      </c>
      <c r="D11" s="15">
        <f>'Detailed Cash Flow'!D9</f>
        <v>17065.629999999997</v>
      </c>
      <c r="E11" s="16">
        <f>'Detailed Cash Flow'!D14</f>
        <v>29017.29</v>
      </c>
      <c r="F11" s="14">
        <f>C11+D11-E11</f>
        <v>16472.44999999999</v>
      </c>
      <c r="G11" s="14">
        <f>G10+D11-E11-'Detailed Cash Flow'!D19</f>
        <v>11972.44999999999</v>
      </c>
      <c r="H11" s="14">
        <f>H10+D11-E11-'Detailed Cash Flow'!D28</f>
        <v>9872.4499999999898</v>
      </c>
      <c r="I11" s="14">
        <f>I10+D11-E11-'Detailed Cash Flow'!D38</f>
        <v>11072.44999999999</v>
      </c>
      <c r="J11" s="1"/>
      <c r="K11" s="1"/>
    </row>
    <row r="12" spans="1:11" x14ac:dyDescent="0.2">
      <c r="A12" s="1"/>
      <c r="B12" s="6" t="s">
        <v>43</v>
      </c>
      <c r="C12" s="14">
        <f>F11</f>
        <v>16472.44999999999</v>
      </c>
      <c r="D12" s="15">
        <f>'Detailed Cash Flow'!E9</f>
        <v>24151.040000000001</v>
      </c>
      <c r="E12" s="16">
        <f>'Detailed Cash Flow'!E14</f>
        <v>12908.3</v>
      </c>
      <c r="F12" s="14">
        <f>C12+D12-E12</f>
        <v>27715.189999999991</v>
      </c>
      <c r="G12" s="14">
        <f>G11+D12-E12-'Detailed Cash Flow'!E19</f>
        <v>20965.189999999991</v>
      </c>
      <c r="H12" s="14">
        <f>H11+D12-E12-'Detailed Cash Flow'!E28</f>
        <v>17815.189999999991</v>
      </c>
      <c r="I12" s="14">
        <f>I11+D12-E12-'Detailed Cash Flow'!E38</f>
        <v>19615.189999999991</v>
      </c>
      <c r="J12" s="1"/>
      <c r="K12" s="1"/>
    </row>
    <row r="13" spans="1:11" x14ac:dyDescent="0.2">
      <c r="A13" s="1"/>
      <c r="B13" s="6" t="s">
        <v>44</v>
      </c>
      <c r="C13" s="14">
        <f>F12</f>
        <v>27715.189999999991</v>
      </c>
      <c r="D13" s="15">
        <f>'Detailed Cash Flow'!F9</f>
        <v>11272.89</v>
      </c>
      <c r="E13" s="16">
        <f>'Detailed Cash Flow'!F14</f>
        <v>29869.010000000002</v>
      </c>
      <c r="F13" s="14">
        <f>C13+D13-E13</f>
        <v>9119.0699999999852</v>
      </c>
      <c r="G13" s="14">
        <f>G12+D13-E13-'Detailed Cash Flow'!F19</f>
        <v>119.0699999999888</v>
      </c>
      <c r="H13" s="14">
        <f>H12+D13-E13-'Detailed Cash Flow'!F28</f>
        <v>-4080.9300000000112</v>
      </c>
      <c r="I13" s="14">
        <f>I12+D13-E13-'Detailed Cash Flow'!F38</f>
        <v>-1680.9300000000112</v>
      </c>
      <c r="J13" s="1"/>
      <c r="K13" s="1"/>
    </row>
    <row r="14" spans="1:11" x14ac:dyDescent="0.2">
      <c r="A14" s="1"/>
      <c r="B14" s="6" t="s">
        <v>45</v>
      </c>
      <c r="C14" s="14">
        <f>F13</f>
        <v>9119.0699999999852</v>
      </c>
      <c r="D14" s="15">
        <f>'Detailed Cash Flow'!G9</f>
        <v>25518.649999999998</v>
      </c>
      <c r="E14" s="16">
        <f>'Detailed Cash Flow'!G14</f>
        <v>16800.989999999998</v>
      </c>
      <c r="F14" s="14">
        <f>C14+D14-E14</f>
        <v>17836.729999999989</v>
      </c>
      <c r="G14" s="14">
        <f>G13+D14-E14-'Detailed Cash Flow'!G19</f>
        <v>6586.7299999999886</v>
      </c>
      <c r="H14" s="14">
        <f>H13+D14-E14-'Detailed Cash Flow'!G28</f>
        <v>1336.7299999999886</v>
      </c>
      <c r="I14" s="14">
        <f>I13+D14-E14-'Detailed Cash Flow'!G38</f>
        <v>4336.7299999999886</v>
      </c>
      <c r="J14" s="1"/>
      <c r="K14" s="1"/>
    </row>
    <row r="15" spans="1:11" x14ac:dyDescent="0.2">
      <c r="A15" s="1"/>
      <c r="B15" s="17" t="s">
        <v>46</v>
      </c>
      <c r="C15" s="18" t="s">
        <v>47</v>
      </c>
      <c r="D15" s="19">
        <f t="shared" ref="D15:I15" si="0">AVERAGE(D10:D14)</f>
        <v>21054.053999999996</v>
      </c>
      <c r="E15" s="19">
        <f t="shared" si="0"/>
        <v>21717.726000000002</v>
      </c>
      <c r="F15" s="19">
        <f t="shared" si="0"/>
        <v>19913.509999999987</v>
      </c>
      <c r="G15" s="19">
        <f t="shared" si="0"/>
        <v>13163.509999999991</v>
      </c>
      <c r="H15" s="19">
        <f t="shared" si="0"/>
        <v>10013.509999999991</v>
      </c>
      <c r="I15" s="19">
        <f t="shared" si="0"/>
        <v>11813.509999999991</v>
      </c>
      <c r="J15" s="1"/>
      <c r="K15" s="1"/>
    </row>
    <row r="16" spans="1:11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">
      <c r="A17" s="1"/>
      <c r="B17" s="4" t="s">
        <v>48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">
      <c r="A18" s="1"/>
      <c r="B18" s="6" t="s">
        <v>49</v>
      </c>
      <c r="C18" s="20" t="str">
        <f>IF(MIN(F10:F14)&lt;0,"ALERTA: Conta Fica Negativa","OK: Saldo Positivo")</f>
        <v>OK: Saldo Positivo</v>
      </c>
      <c r="D18" s="1"/>
      <c r="E18" s="1"/>
      <c r="F18" s="1"/>
      <c r="G18" s="1"/>
      <c r="H18" s="1"/>
      <c r="I18" s="1"/>
      <c r="J18" s="1"/>
      <c r="K18" s="1"/>
    </row>
    <row r="19" spans="1:11" x14ac:dyDescent="0.2">
      <c r="A19" s="1"/>
      <c r="B19" s="6" t="s">
        <v>50</v>
      </c>
      <c r="C19" s="20" t="str">
        <f>IF(MIN(G10:G14)&lt;0,"ALERTA: Conta Fica Negativa","OK: Saldo Positivo")</f>
        <v>OK: Saldo Positivo</v>
      </c>
      <c r="D19" s="1"/>
      <c r="E19" s="1"/>
      <c r="F19" s="1"/>
      <c r="G19" s="1"/>
      <c r="H19" s="1"/>
      <c r="I19" s="1"/>
      <c r="J19" s="1"/>
      <c r="K19" s="1"/>
    </row>
    <row r="20" spans="1:11" x14ac:dyDescent="0.2">
      <c r="A20" s="1"/>
      <c r="B20" s="6" t="s">
        <v>51</v>
      </c>
      <c r="C20" s="20" t="str">
        <f>IF(MIN(H10:H14)&lt;0,"ALERTA: Conta Fica Negativa","OK: Saldo Positivo")</f>
        <v>ALERTA: Conta Fica Negativa</v>
      </c>
      <c r="D20" s="1"/>
      <c r="E20" s="1"/>
      <c r="F20" s="1"/>
      <c r="G20" s="1"/>
      <c r="H20" s="1"/>
      <c r="I20" s="1"/>
      <c r="J20" s="1"/>
      <c r="K20" s="1"/>
    </row>
    <row r="21" spans="1:11" x14ac:dyDescent="0.2">
      <c r="A21" s="1"/>
      <c r="B21" s="6" t="s">
        <v>52</v>
      </c>
      <c r="C21" s="20" t="str">
        <f>IF(MIN(I10:I14)&lt;0,"ALERTA: Conta Fica Negativa","OK: Saldo Positivo")</f>
        <v>ALERTA: Conta Fica Negativa</v>
      </c>
      <c r="D21" s="1"/>
      <c r="E21" s="1"/>
      <c r="F21" s="1"/>
      <c r="G21" s="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 x14ac:dyDescent="0.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 x14ac:dyDescent="0.2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 x14ac:dyDescent="0.2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 x14ac:dyDescent="0.2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 x14ac:dyDescent="0.2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 x14ac:dyDescent="0.2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 x14ac:dyDescent="0.2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 x14ac:dyDescent="0.2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 x14ac:dyDescent="0.2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</sheetData>
  <mergeCells count="6">
    <mergeCell ref="B6:C6"/>
    <mergeCell ref="E6:F6"/>
    <mergeCell ref="H6:I6"/>
    <mergeCell ref="B5:C5"/>
    <mergeCell ref="E5:F5"/>
    <mergeCell ref="H5:I5"/>
  </mergeCells>
  <conditionalFormatting sqref="C10:C14">
    <cfRule type="cellIs" dxfId="8" priority="1" operator="greaterThanOrEqual">
      <formula>0</formula>
    </cfRule>
    <cfRule type="cellIs" dxfId="7" priority="2" operator="lessThan">
      <formula>0</formula>
    </cfRule>
  </conditionalFormatting>
  <conditionalFormatting sqref="C18:C21">
    <cfRule type="cellIs" dxfId="6" priority="5" operator="equal">
      <formula>"ALERTA: Conta Fica Negativa"</formula>
    </cfRule>
    <cfRule type="cellIs" dxfId="5" priority="6" operator="equal">
      <formula>"OK: Saldo Positivo"</formula>
    </cfRule>
  </conditionalFormatting>
  <conditionalFormatting sqref="F10:I15">
    <cfRule type="cellIs" dxfId="4" priority="3" operator="greaterThanOrEqual">
      <formula>0</formula>
    </cfRule>
    <cfRule type="cellIs" dxfId="3" priority="4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8"/>
  <sheetViews>
    <sheetView showGridLines="0" zoomScale="140" zoomScaleNormal="140" workbookViewId="0"/>
  </sheetViews>
  <sheetFormatPr baseColWidth="10" defaultColWidth="8.83203125" defaultRowHeight="15" x14ac:dyDescent="0.2"/>
  <cols>
    <col min="1" max="1" width="3" customWidth="1"/>
    <col min="2" max="2" width="38" customWidth="1"/>
    <col min="3" max="3" width="18" customWidth="1"/>
    <col min="4" max="4" width="62" customWidth="1"/>
  </cols>
  <sheetData>
    <row r="1" spans="1:6" x14ac:dyDescent="0.2">
      <c r="A1" s="1"/>
      <c r="B1" s="1"/>
      <c r="C1" s="1"/>
      <c r="D1" s="1"/>
      <c r="E1" s="1"/>
      <c r="F1" s="1"/>
    </row>
    <row r="2" spans="1:6" ht="19" x14ac:dyDescent="0.25">
      <c r="A2" s="1"/>
      <c r="B2" s="2" t="s">
        <v>53</v>
      </c>
      <c r="C2" s="1"/>
      <c r="D2" s="1"/>
      <c r="E2" s="1"/>
      <c r="F2" s="1"/>
    </row>
    <row r="3" spans="1:6" x14ac:dyDescent="0.2">
      <c r="A3" s="1"/>
      <c r="B3" s="3" t="s">
        <v>54</v>
      </c>
      <c r="C3" s="1"/>
      <c r="D3" s="1"/>
      <c r="E3" s="1"/>
      <c r="F3" s="1"/>
    </row>
    <row r="4" spans="1:6" x14ac:dyDescent="0.2">
      <c r="A4" s="1"/>
      <c r="B4" s="1"/>
      <c r="C4" s="1"/>
      <c r="D4" s="1"/>
      <c r="E4" s="1"/>
      <c r="F4" s="1"/>
    </row>
    <row r="5" spans="1:6" x14ac:dyDescent="0.2">
      <c r="A5" s="1"/>
      <c r="B5" s="4" t="s">
        <v>55</v>
      </c>
      <c r="C5" s="1"/>
      <c r="D5" s="1"/>
      <c r="E5" s="1"/>
      <c r="F5" s="1"/>
    </row>
    <row r="6" spans="1:6" x14ac:dyDescent="0.2">
      <c r="A6" s="1"/>
      <c r="B6" s="6" t="s">
        <v>56</v>
      </c>
      <c r="C6" s="21">
        <v>21155.09</v>
      </c>
      <c r="D6" s="1"/>
      <c r="E6" s="1"/>
      <c r="F6" s="1"/>
    </row>
    <row r="7" spans="1:6" x14ac:dyDescent="0.2">
      <c r="A7" s="1"/>
      <c r="B7" s="1"/>
      <c r="C7" s="1"/>
      <c r="D7" s="1"/>
      <c r="E7" s="1"/>
      <c r="F7" s="1"/>
    </row>
    <row r="8" spans="1:6" x14ac:dyDescent="0.2">
      <c r="A8" s="1"/>
      <c r="B8" s="4" t="s">
        <v>57</v>
      </c>
      <c r="C8" s="1"/>
      <c r="D8" s="1"/>
      <c r="E8" s="1"/>
      <c r="F8" s="1"/>
    </row>
    <row r="9" spans="1:6" x14ac:dyDescent="0.2">
      <c r="A9" s="1"/>
      <c r="B9" s="5" t="s">
        <v>58</v>
      </c>
      <c r="C9" s="5" t="s">
        <v>59</v>
      </c>
      <c r="D9" s="5" t="s">
        <v>60</v>
      </c>
      <c r="E9" s="1"/>
      <c r="F9" s="1"/>
    </row>
    <row r="10" spans="1:6" x14ac:dyDescent="0.2">
      <c r="A10" s="1"/>
      <c r="B10" s="6" t="s">
        <v>61</v>
      </c>
      <c r="C10" s="21">
        <v>250</v>
      </c>
      <c r="D10" s="9" t="s">
        <v>62</v>
      </c>
      <c r="E10" s="1"/>
      <c r="F10" s="1"/>
    </row>
    <row r="11" spans="1:6" x14ac:dyDescent="0.2">
      <c r="A11" s="1"/>
      <c r="B11" s="6" t="s">
        <v>63</v>
      </c>
      <c r="C11" s="21">
        <v>500</v>
      </c>
      <c r="D11" s="9" t="s">
        <v>64</v>
      </c>
      <c r="E11" s="1"/>
      <c r="F11" s="1"/>
    </row>
    <row r="12" spans="1:6" x14ac:dyDescent="0.2">
      <c r="A12" s="1"/>
      <c r="B12" s="6" t="s">
        <v>65</v>
      </c>
      <c r="C12" s="21">
        <v>1500</v>
      </c>
      <c r="D12" s="9" t="s">
        <v>66</v>
      </c>
      <c r="E12" s="1"/>
      <c r="F12" s="1"/>
    </row>
    <row r="13" spans="1:6" x14ac:dyDescent="0.2">
      <c r="A13" s="1"/>
      <c r="B13" s="6" t="s">
        <v>67</v>
      </c>
      <c r="C13" s="21">
        <v>600</v>
      </c>
      <c r="D13" s="9" t="s">
        <v>68</v>
      </c>
      <c r="E13" s="1"/>
      <c r="F13" s="1"/>
    </row>
    <row r="14" spans="1:6" x14ac:dyDescent="0.2">
      <c r="A14" s="1"/>
      <c r="B14" s="22" t="s">
        <v>69</v>
      </c>
      <c r="C14" s="21">
        <v>235</v>
      </c>
      <c r="D14" s="22" t="s">
        <v>70</v>
      </c>
      <c r="E14" s="1"/>
      <c r="F14" s="1"/>
    </row>
    <row r="15" spans="1:6" x14ac:dyDescent="0.2">
      <c r="A15" s="1"/>
      <c r="B15" s="22" t="s">
        <v>71</v>
      </c>
      <c r="C15" s="21">
        <v>95</v>
      </c>
      <c r="D15" s="22" t="s">
        <v>70</v>
      </c>
      <c r="E15" s="1"/>
      <c r="F15" s="1"/>
    </row>
    <row r="16" spans="1:6" x14ac:dyDescent="0.2">
      <c r="A16" s="1"/>
      <c r="B16" s="22" t="s">
        <v>72</v>
      </c>
      <c r="C16" s="21">
        <v>120</v>
      </c>
      <c r="D16" s="22" t="s">
        <v>70</v>
      </c>
      <c r="E16" s="1"/>
      <c r="F16" s="1"/>
    </row>
    <row r="17" spans="1:6" x14ac:dyDescent="0.2">
      <c r="A17" s="1"/>
      <c r="B17" s="1"/>
      <c r="C17" s="1"/>
      <c r="D17" s="1"/>
      <c r="E17" s="1"/>
      <c r="F17" s="1"/>
    </row>
    <row r="18" spans="1:6" x14ac:dyDescent="0.2">
      <c r="A18" s="1"/>
      <c r="B18" s="4" t="s">
        <v>73</v>
      </c>
      <c r="C18" s="1"/>
      <c r="D18" s="1"/>
      <c r="E18" s="1"/>
      <c r="F18" s="1"/>
    </row>
    <row r="19" spans="1:6" x14ac:dyDescent="0.2">
      <c r="A19" s="1"/>
      <c r="B19" s="5" t="s">
        <v>74</v>
      </c>
      <c r="C19" s="5" t="s">
        <v>75</v>
      </c>
      <c r="D19" s="5" t="s">
        <v>76</v>
      </c>
      <c r="E19" s="1"/>
      <c r="F19" s="1"/>
    </row>
    <row r="20" spans="1:6" x14ac:dyDescent="0.2">
      <c r="A20" s="1"/>
      <c r="B20" s="6" t="s">
        <v>77</v>
      </c>
      <c r="C20" s="10" t="s">
        <v>78</v>
      </c>
      <c r="D20" s="9" t="s">
        <v>79</v>
      </c>
      <c r="E20" s="1"/>
      <c r="F20" s="1"/>
    </row>
    <row r="21" spans="1:6" x14ac:dyDescent="0.2">
      <c r="A21" s="1"/>
      <c r="B21" s="6" t="s">
        <v>80</v>
      </c>
      <c r="C21" s="10" t="s">
        <v>78</v>
      </c>
      <c r="D21" s="9" t="s">
        <v>81</v>
      </c>
      <c r="E21" s="1"/>
      <c r="F21" s="1"/>
    </row>
    <row r="22" spans="1:6" x14ac:dyDescent="0.2">
      <c r="A22" s="1"/>
      <c r="B22" s="6" t="s">
        <v>82</v>
      </c>
      <c r="C22" s="10" t="s">
        <v>78</v>
      </c>
      <c r="D22" s="9" t="s">
        <v>83</v>
      </c>
      <c r="E22" s="1"/>
      <c r="F22" s="1"/>
    </row>
    <row r="23" spans="1:6" x14ac:dyDescent="0.2">
      <c r="A23" s="1"/>
      <c r="B23" s="6" t="s">
        <v>84</v>
      </c>
      <c r="C23" s="10" t="s">
        <v>85</v>
      </c>
      <c r="D23" s="9" t="s">
        <v>86</v>
      </c>
      <c r="E23" s="1"/>
      <c r="F23" s="1"/>
    </row>
    <row r="24" spans="1:6" x14ac:dyDescent="0.2">
      <c r="A24" s="1"/>
      <c r="B24" s="6" t="s">
        <v>87</v>
      </c>
      <c r="C24" s="10" t="s">
        <v>88</v>
      </c>
      <c r="D24" s="9" t="s">
        <v>89</v>
      </c>
      <c r="E24" s="1"/>
      <c r="F24" s="1"/>
    </row>
    <row r="25" spans="1:6" x14ac:dyDescent="0.2">
      <c r="A25" s="1"/>
      <c r="B25" s="1"/>
      <c r="C25" s="1"/>
      <c r="D25" s="1"/>
      <c r="E25" s="1"/>
      <c r="F25" s="1"/>
    </row>
    <row r="26" spans="1:6" x14ac:dyDescent="0.2">
      <c r="A26" s="1"/>
      <c r="B26" s="1"/>
      <c r="C26" s="1"/>
      <c r="D26" s="1"/>
      <c r="E26" s="1"/>
      <c r="F26" s="1"/>
    </row>
    <row r="27" spans="1:6" x14ac:dyDescent="0.2">
      <c r="A27" s="1"/>
      <c r="B27" s="1"/>
      <c r="C27" s="1"/>
      <c r="D27" s="1"/>
      <c r="E27" s="1"/>
      <c r="F27" s="1"/>
    </row>
    <row r="28" spans="1:6" x14ac:dyDescent="0.2">
      <c r="A28" s="1"/>
      <c r="B28" s="1"/>
      <c r="C28" s="1"/>
      <c r="D28" s="1"/>
      <c r="E28" s="1"/>
      <c r="F28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2"/>
  <sheetViews>
    <sheetView showGridLines="0" zoomScale="130" zoomScaleNormal="130" workbookViewId="0">
      <selection activeCell="N5" sqref="N5"/>
    </sheetView>
  </sheetViews>
  <sheetFormatPr baseColWidth="10" defaultColWidth="8.83203125" defaultRowHeight="15" x14ac:dyDescent="0.2"/>
  <cols>
    <col min="1" max="1" width="3" customWidth="1"/>
    <col min="2" max="2" width="44" customWidth="1"/>
    <col min="3" max="7" width="17" customWidth="1"/>
    <col min="8" max="8" width="19" customWidth="1"/>
  </cols>
  <sheetData>
    <row r="1" spans="1:10" x14ac:dyDescent="0.2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ht="19" x14ac:dyDescent="0.25">
      <c r="A2" s="1"/>
      <c r="B2" s="2" t="s">
        <v>90</v>
      </c>
      <c r="C2" s="1"/>
      <c r="D2" s="1"/>
      <c r="E2" s="1"/>
      <c r="F2" s="1"/>
      <c r="G2" s="1"/>
      <c r="H2" s="1"/>
      <c r="I2" s="1"/>
      <c r="J2" s="1"/>
    </row>
    <row r="3" spans="1:10" x14ac:dyDescent="0.2">
      <c r="A3" s="1"/>
      <c r="B3" s="3" t="s">
        <v>91</v>
      </c>
      <c r="C3" s="1"/>
      <c r="D3" s="1"/>
      <c r="E3" s="1"/>
      <c r="F3" s="1"/>
      <c r="G3" s="1"/>
      <c r="H3" s="1"/>
      <c r="I3" s="1"/>
      <c r="J3" s="1"/>
    </row>
    <row r="4" spans="1:10" x14ac:dyDescent="0.2">
      <c r="A4" s="1"/>
      <c r="B4" s="1"/>
      <c r="C4" s="1"/>
      <c r="D4" s="1"/>
      <c r="E4" s="1"/>
      <c r="F4" s="1"/>
      <c r="G4" s="1"/>
      <c r="H4" s="1"/>
      <c r="I4" s="1"/>
      <c r="J4" s="1"/>
    </row>
    <row r="5" spans="1:10" x14ac:dyDescent="0.2">
      <c r="A5" s="1"/>
      <c r="B5" s="5" t="s">
        <v>92</v>
      </c>
      <c r="C5" s="5" t="s">
        <v>41</v>
      </c>
      <c r="D5" s="5" t="s">
        <v>42</v>
      </c>
      <c r="E5" s="5" t="s">
        <v>43</v>
      </c>
      <c r="F5" s="5" t="s">
        <v>44</v>
      </c>
      <c r="G5" s="5" t="s">
        <v>45</v>
      </c>
      <c r="H5" s="5" t="s">
        <v>93</v>
      </c>
      <c r="I5" s="1"/>
      <c r="J5" s="1"/>
    </row>
    <row r="6" spans="1:10" x14ac:dyDescent="0.2">
      <c r="A6" s="1"/>
      <c r="B6" s="30" t="s">
        <v>94</v>
      </c>
      <c r="C6" s="31"/>
      <c r="D6" s="31"/>
      <c r="E6" s="31"/>
      <c r="F6" s="31"/>
      <c r="G6" s="31"/>
      <c r="H6" s="31"/>
      <c r="I6" s="1"/>
      <c r="J6" s="1"/>
    </row>
    <row r="7" spans="1:10" x14ac:dyDescent="0.2">
      <c r="A7" s="1"/>
      <c r="B7" s="6" t="s">
        <v>95</v>
      </c>
      <c r="C7" s="15">
        <v>15949.17</v>
      </c>
      <c r="D7" s="15">
        <v>12693.31</v>
      </c>
      <c r="E7" s="15">
        <v>21971.040000000001</v>
      </c>
      <c r="F7" s="15">
        <v>11000</v>
      </c>
      <c r="G7" s="15">
        <v>25299.17</v>
      </c>
      <c r="H7" s="15">
        <f>SUM(C7:G7)</f>
        <v>86912.69</v>
      </c>
      <c r="I7" s="1"/>
      <c r="J7" s="1"/>
    </row>
    <row r="8" spans="1:10" x14ac:dyDescent="0.2">
      <c r="A8" s="1"/>
      <c r="B8" s="6" t="s">
        <v>96</v>
      </c>
      <c r="C8" s="15">
        <v>11312.89</v>
      </c>
      <c r="D8" s="15">
        <v>4372.32</v>
      </c>
      <c r="E8" s="15">
        <v>2180</v>
      </c>
      <c r="F8" s="15">
        <v>272.89</v>
      </c>
      <c r="G8" s="15">
        <v>219.48</v>
      </c>
      <c r="H8" s="15">
        <f>SUM(C8:G8)</f>
        <v>18357.579999999998</v>
      </c>
      <c r="I8" s="1"/>
      <c r="J8" s="1"/>
    </row>
    <row r="9" spans="1:10" x14ac:dyDescent="0.2">
      <c r="A9" s="1"/>
      <c r="B9" s="23" t="s">
        <v>97</v>
      </c>
      <c r="C9" s="24">
        <f>SUM(C7:C8)</f>
        <v>27262.059999999998</v>
      </c>
      <c r="D9" s="24">
        <f>SUM(D7:D8)</f>
        <v>17065.629999999997</v>
      </c>
      <c r="E9" s="24">
        <f>SUM(E7:E8)</f>
        <v>24151.040000000001</v>
      </c>
      <c r="F9" s="24">
        <f>SUM(F7:F8)</f>
        <v>11272.89</v>
      </c>
      <c r="G9" s="24">
        <f>SUM(G7:G8)</f>
        <v>25518.649999999998</v>
      </c>
      <c r="H9" s="24">
        <f>SUM(C9:G9)</f>
        <v>105270.26999999999</v>
      </c>
      <c r="I9" s="1"/>
      <c r="J9" s="1"/>
    </row>
    <row r="10" spans="1:10" x14ac:dyDescent="0.2">
      <c r="A10" s="1"/>
      <c r="B10" s="30" t="s">
        <v>98</v>
      </c>
      <c r="C10" s="31"/>
      <c r="D10" s="31"/>
      <c r="E10" s="31"/>
      <c r="F10" s="31"/>
      <c r="G10" s="31"/>
      <c r="H10" s="31"/>
      <c r="I10" s="1"/>
      <c r="J10" s="1"/>
    </row>
    <row r="11" spans="1:10" x14ac:dyDescent="0.2">
      <c r="A11" s="1"/>
      <c r="B11" s="6" t="s">
        <v>99</v>
      </c>
      <c r="C11" s="16">
        <v>18527.22</v>
      </c>
      <c r="D11" s="16">
        <v>10350.030000000001</v>
      </c>
      <c r="E11" s="16">
        <v>0</v>
      </c>
      <c r="F11" s="16">
        <v>13533.24</v>
      </c>
      <c r="G11" s="16">
        <v>3803.89</v>
      </c>
      <c r="H11" s="16">
        <f>SUM(C11:G11)</f>
        <v>46214.38</v>
      </c>
      <c r="I11" s="1"/>
      <c r="J11" s="1"/>
    </row>
    <row r="12" spans="1:10" x14ac:dyDescent="0.2">
      <c r="A12" s="1"/>
      <c r="B12" s="6" t="s">
        <v>100</v>
      </c>
      <c r="C12" s="16">
        <v>1021.22</v>
      </c>
      <c r="D12" s="16">
        <v>10567.26</v>
      </c>
      <c r="E12" s="16">
        <v>4108.3</v>
      </c>
      <c r="F12" s="16">
        <v>7535.77</v>
      </c>
      <c r="G12" s="16">
        <v>14008.3</v>
      </c>
      <c r="H12" s="16">
        <f>SUM(C12:G12)</f>
        <v>37240.85</v>
      </c>
      <c r="I12" s="1"/>
      <c r="J12" s="1"/>
    </row>
    <row r="13" spans="1:10" x14ac:dyDescent="0.2">
      <c r="A13" s="1"/>
      <c r="B13" s="6" t="s">
        <v>101</v>
      </c>
      <c r="C13" s="16">
        <v>444.6</v>
      </c>
      <c r="D13" s="16">
        <v>8100</v>
      </c>
      <c r="E13" s="16">
        <v>8800</v>
      </c>
      <c r="F13" s="16">
        <v>8800</v>
      </c>
      <c r="G13" s="16">
        <v>-1011.2</v>
      </c>
      <c r="H13" s="16">
        <f>SUM(C13:G13)</f>
        <v>25133.399999999998</v>
      </c>
      <c r="I13" s="1"/>
      <c r="J13" s="1"/>
    </row>
    <row r="14" spans="1:10" x14ac:dyDescent="0.2">
      <c r="A14" s="1"/>
      <c r="B14" s="25" t="s">
        <v>102</v>
      </c>
      <c r="C14" s="26">
        <f>SUM(C11:C13)</f>
        <v>19993.04</v>
      </c>
      <c r="D14" s="26">
        <f>SUM(D11:D13)</f>
        <v>29017.29</v>
      </c>
      <c r="E14" s="26">
        <f>SUM(E11:E13)</f>
        <v>12908.3</v>
      </c>
      <c r="F14" s="26">
        <f>SUM(F11:F13)</f>
        <v>29869.010000000002</v>
      </c>
      <c r="G14" s="26">
        <f>SUM(G11:G13)</f>
        <v>16800.989999999998</v>
      </c>
      <c r="H14" s="26">
        <f>SUM(C14:G14)</f>
        <v>108588.63</v>
      </c>
      <c r="I14" s="1"/>
      <c r="J14" s="1"/>
    </row>
    <row r="15" spans="1:10" x14ac:dyDescent="0.2">
      <c r="A15" s="1"/>
      <c r="B15" s="30" t="s">
        <v>103</v>
      </c>
      <c r="C15" s="31"/>
      <c r="D15" s="31"/>
      <c r="E15" s="31"/>
      <c r="F15" s="31"/>
      <c r="G15" s="31"/>
      <c r="H15" s="31"/>
      <c r="I15" s="1"/>
      <c r="J15" s="1"/>
    </row>
    <row r="16" spans="1:10" x14ac:dyDescent="0.2">
      <c r="A16" s="1"/>
      <c r="B16" s="6" t="s">
        <v>104</v>
      </c>
      <c r="C16" s="14">
        <f>Assumptions!$C$10</f>
        <v>250</v>
      </c>
      <c r="D16" s="14">
        <f>Assumptions!$C$10</f>
        <v>250</v>
      </c>
      <c r="E16" s="14">
        <f>Assumptions!$C$10</f>
        <v>250</v>
      </c>
      <c r="F16" s="14">
        <f>Assumptions!$C$10</f>
        <v>250</v>
      </c>
      <c r="G16" s="14">
        <f>Assumptions!$C$10</f>
        <v>250</v>
      </c>
      <c r="H16" s="14">
        <f>SUM(C16:G16)</f>
        <v>1250</v>
      </c>
      <c r="I16" s="1"/>
      <c r="J16" s="1"/>
    </row>
    <row r="17" spans="1:10" x14ac:dyDescent="0.2">
      <c r="A17" s="1"/>
      <c r="B17" s="6" t="s">
        <v>105</v>
      </c>
      <c r="C17" s="14">
        <f>Assumptions!$C$11</f>
        <v>500</v>
      </c>
      <c r="D17" s="14">
        <f>Assumptions!$C$11</f>
        <v>500</v>
      </c>
      <c r="E17" s="14">
        <f>Assumptions!$C$11</f>
        <v>500</v>
      </c>
      <c r="F17" s="14">
        <f>Assumptions!$C$11</f>
        <v>500</v>
      </c>
      <c r="G17" s="14">
        <f>Assumptions!$C$11</f>
        <v>500</v>
      </c>
      <c r="H17" s="14">
        <f>SUM(C17:G17)</f>
        <v>2500</v>
      </c>
      <c r="I17" s="1"/>
      <c r="J17" s="1"/>
    </row>
    <row r="18" spans="1:10" x14ac:dyDescent="0.2">
      <c r="A18" s="1"/>
      <c r="B18" s="6" t="s">
        <v>106</v>
      </c>
      <c r="C18" s="14">
        <f>Assumptions!$C$12</f>
        <v>1500</v>
      </c>
      <c r="D18" s="14">
        <f>Assumptions!$C$12</f>
        <v>1500</v>
      </c>
      <c r="E18" s="14">
        <f>Assumptions!$C$12</f>
        <v>1500</v>
      </c>
      <c r="F18" s="14">
        <f>Assumptions!$C$12</f>
        <v>1500</v>
      </c>
      <c r="G18" s="14">
        <f>Assumptions!$C$12</f>
        <v>1500</v>
      </c>
      <c r="H18" s="14">
        <f>SUM(C18:G18)</f>
        <v>7500</v>
      </c>
      <c r="I18" s="1"/>
      <c r="J18" s="1"/>
    </row>
    <row r="19" spans="1:10" x14ac:dyDescent="0.2">
      <c r="A19" s="1"/>
      <c r="B19" s="25" t="s">
        <v>107</v>
      </c>
      <c r="C19" s="26">
        <f>SUM(C16:C18)</f>
        <v>2250</v>
      </c>
      <c r="D19" s="26">
        <f>SUM(D16:D18)</f>
        <v>2250</v>
      </c>
      <c r="E19" s="26">
        <f>SUM(E16:E18)</f>
        <v>2250</v>
      </c>
      <c r="F19" s="26">
        <f>SUM(F16:F18)</f>
        <v>2250</v>
      </c>
      <c r="G19" s="26">
        <f>SUM(G16:G18)</f>
        <v>2250</v>
      </c>
      <c r="H19" s="26">
        <f>SUM(C19:G19)</f>
        <v>11250</v>
      </c>
      <c r="I19" s="1"/>
      <c r="J19" s="1"/>
    </row>
    <row r="20" spans="1:10" x14ac:dyDescent="0.2">
      <c r="A20" s="1"/>
      <c r="B20" s="30" t="s">
        <v>108</v>
      </c>
      <c r="C20" s="31"/>
      <c r="D20" s="31"/>
      <c r="E20" s="31"/>
      <c r="F20" s="31"/>
      <c r="G20" s="31"/>
      <c r="H20" s="31"/>
      <c r="I20" s="1"/>
      <c r="J20" s="1"/>
    </row>
    <row r="21" spans="1:10" x14ac:dyDescent="0.2">
      <c r="A21" s="1"/>
      <c r="B21" s="6" t="s">
        <v>104</v>
      </c>
      <c r="C21" s="14">
        <f>Assumptions!$C$10</f>
        <v>250</v>
      </c>
      <c r="D21" s="14">
        <f>Assumptions!$C$10</f>
        <v>250</v>
      </c>
      <c r="E21" s="14">
        <f>Assumptions!$C$10</f>
        <v>250</v>
      </c>
      <c r="F21" s="14">
        <f>Assumptions!$C$10</f>
        <v>250</v>
      </c>
      <c r="G21" s="14">
        <f>Assumptions!$C$10</f>
        <v>250</v>
      </c>
      <c r="H21" s="14">
        <f t="shared" ref="H21:H28" si="0">SUM(C21:G21)</f>
        <v>1250</v>
      </c>
      <c r="I21" s="1"/>
      <c r="J21" s="1"/>
    </row>
    <row r="22" spans="1:10" x14ac:dyDescent="0.2">
      <c r="A22" s="1"/>
      <c r="B22" s="6" t="s">
        <v>105</v>
      </c>
      <c r="C22" s="14">
        <f>Assumptions!$C$11</f>
        <v>500</v>
      </c>
      <c r="D22" s="14">
        <f>Assumptions!$C$11</f>
        <v>500</v>
      </c>
      <c r="E22" s="14">
        <f>Assumptions!$C$11</f>
        <v>500</v>
      </c>
      <c r="F22" s="14">
        <f>Assumptions!$C$11</f>
        <v>500</v>
      </c>
      <c r="G22" s="14">
        <f>Assumptions!$C$11</f>
        <v>500</v>
      </c>
      <c r="H22" s="14">
        <f t="shared" si="0"/>
        <v>2500</v>
      </c>
      <c r="I22" s="1"/>
      <c r="J22" s="1"/>
    </row>
    <row r="23" spans="1:10" x14ac:dyDescent="0.2">
      <c r="A23" s="1"/>
      <c r="B23" s="6" t="s">
        <v>106</v>
      </c>
      <c r="C23" s="14">
        <f>Assumptions!$C$12</f>
        <v>1500</v>
      </c>
      <c r="D23" s="14">
        <f>Assumptions!$C$12</f>
        <v>1500</v>
      </c>
      <c r="E23" s="14">
        <f>Assumptions!$C$12</f>
        <v>1500</v>
      </c>
      <c r="F23" s="14">
        <f>Assumptions!$C$12</f>
        <v>1500</v>
      </c>
      <c r="G23" s="14">
        <f>Assumptions!$C$12</f>
        <v>1500</v>
      </c>
      <c r="H23" s="14">
        <f t="shared" si="0"/>
        <v>7500</v>
      </c>
      <c r="I23" s="1"/>
      <c r="J23" s="1"/>
    </row>
    <row r="24" spans="1:10" x14ac:dyDescent="0.2">
      <c r="A24" s="1"/>
      <c r="B24" s="6" t="s">
        <v>109</v>
      </c>
      <c r="C24" s="14">
        <f>Assumptions!$C$13</f>
        <v>600</v>
      </c>
      <c r="D24" s="14">
        <f>Assumptions!$C$13</f>
        <v>600</v>
      </c>
      <c r="E24" s="14">
        <f>Assumptions!$C$13</f>
        <v>600</v>
      </c>
      <c r="F24" s="14">
        <f>Assumptions!$C$13</f>
        <v>600</v>
      </c>
      <c r="G24" s="14">
        <f>Assumptions!$C$13</f>
        <v>600</v>
      </c>
      <c r="H24" s="14">
        <f t="shared" si="0"/>
        <v>3000</v>
      </c>
      <c r="I24" s="1"/>
      <c r="J24" s="1"/>
    </row>
    <row r="25" spans="1:10" x14ac:dyDescent="0.2">
      <c r="A25" s="1"/>
      <c r="B25" s="22" t="s">
        <v>110</v>
      </c>
      <c r="C25" s="27">
        <f>Assumptions!$C$14</f>
        <v>235</v>
      </c>
      <c r="D25" s="27">
        <f>Assumptions!$C$14</f>
        <v>235</v>
      </c>
      <c r="E25" s="27">
        <f>Assumptions!$C$14</f>
        <v>235</v>
      </c>
      <c r="F25" s="27">
        <f>Assumptions!$C$14</f>
        <v>235</v>
      </c>
      <c r="G25" s="27">
        <f>Assumptions!$C$14</f>
        <v>235</v>
      </c>
      <c r="H25" s="27">
        <f t="shared" si="0"/>
        <v>1175</v>
      </c>
      <c r="I25" s="1"/>
      <c r="J25" s="1"/>
    </row>
    <row r="26" spans="1:10" x14ac:dyDescent="0.2">
      <c r="A26" s="1"/>
      <c r="B26" s="22" t="s">
        <v>111</v>
      </c>
      <c r="C26" s="27">
        <f>Assumptions!$C$15</f>
        <v>95</v>
      </c>
      <c r="D26" s="27">
        <f>Assumptions!$C$15</f>
        <v>95</v>
      </c>
      <c r="E26" s="27">
        <f>Assumptions!$C$15</f>
        <v>95</v>
      </c>
      <c r="F26" s="27">
        <f>Assumptions!$C$15</f>
        <v>95</v>
      </c>
      <c r="G26" s="27">
        <f>Assumptions!$C$15</f>
        <v>95</v>
      </c>
      <c r="H26" s="27">
        <f t="shared" si="0"/>
        <v>475</v>
      </c>
      <c r="I26" s="1"/>
      <c r="J26" s="1"/>
    </row>
    <row r="27" spans="1:10" x14ac:dyDescent="0.2">
      <c r="A27" s="1"/>
      <c r="B27" s="22" t="s">
        <v>112</v>
      </c>
      <c r="C27" s="27">
        <f>Assumptions!$C$16</f>
        <v>120</v>
      </c>
      <c r="D27" s="27">
        <f>Assumptions!$C$16</f>
        <v>120</v>
      </c>
      <c r="E27" s="27">
        <f>Assumptions!$C$16</f>
        <v>120</v>
      </c>
      <c r="F27" s="27">
        <f>Assumptions!$C$16</f>
        <v>120</v>
      </c>
      <c r="G27" s="27">
        <f>Assumptions!$C$16</f>
        <v>120</v>
      </c>
      <c r="H27" s="27">
        <f t="shared" si="0"/>
        <v>600</v>
      </c>
      <c r="I27" s="1"/>
      <c r="J27" s="1"/>
    </row>
    <row r="28" spans="1:10" x14ac:dyDescent="0.2">
      <c r="A28" s="1"/>
      <c r="B28" s="25" t="s">
        <v>113</v>
      </c>
      <c r="C28" s="26">
        <f>SUM(C21:C27)</f>
        <v>3300</v>
      </c>
      <c r="D28" s="26">
        <f>SUM(D21:D27)</f>
        <v>3300</v>
      </c>
      <c r="E28" s="26">
        <f>SUM(E21:E27)</f>
        <v>3300</v>
      </c>
      <c r="F28" s="26">
        <f>SUM(F21:F27)</f>
        <v>3300</v>
      </c>
      <c r="G28" s="26">
        <f>SUM(G21:G27)</f>
        <v>3300</v>
      </c>
      <c r="H28" s="26">
        <f t="shared" si="0"/>
        <v>16500</v>
      </c>
      <c r="I28" s="1"/>
      <c r="J28" s="1"/>
    </row>
    <row r="29" spans="1:10" x14ac:dyDescent="0.2">
      <c r="A29" s="1"/>
      <c r="B29" s="30" t="s">
        <v>114</v>
      </c>
      <c r="C29" s="31"/>
      <c r="D29" s="31"/>
      <c r="E29" s="31"/>
      <c r="F29" s="31"/>
      <c r="G29" s="31"/>
      <c r="H29" s="31"/>
      <c r="I29" s="1"/>
      <c r="J29" s="1"/>
    </row>
    <row r="30" spans="1:10" x14ac:dyDescent="0.2">
      <c r="A30" s="1"/>
      <c r="B30" s="6" t="s">
        <v>104</v>
      </c>
      <c r="C30" s="14">
        <f>Assumptions!$C$10</f>
        <v>250</v>
      </c>
      <c r="D30" s="14">
        <f>Assumptions!$C$10</f>
        <v>250</v>
      </c>
      <c r="E30" s="14">
        <f>Assumptions!$C$10</f>
        <v>250</v>
      </c>
      <c r="F30" s="14">
        <f>Assumptions!$C$10</f>
        <v>250</v>
      </c>
      <c r="G30" s="14">
        <f>Assumptions!$C$10</f>
        <v>250</v>
      </c>
      <c r="H30" s="14">
        <f t="shared" ref="H30:H38" si="1">SUM(C30:G30)</f>
        <v>1250</v>
      </c>
      <c r="I30" s="1"/>
      <c r="J30" s="1"/>
    </row>
    <row r="31" spans="1:10" x14ac:dyDescent="0.2">
      <c r="A31" s="1"/>
      <c r="B31" s="6" t="s">
        <v>105</v>
      </c>
      <c r="C31" s="14">
        <f>Assumptions!$C$11</f>
        <v>500</v>
      </c>
      <c r="D31" s="14">
        <f>Assumptions!$C$11</f>
        <v>500</v>
      </c>
      <c r="E31" s="14">
        <f>Assumptions!$C$11</f>
        <v>500</v>
      </c>
      <c r="F31" s="14">
        <f>Assumptions!$C$11</f>
        <v>500</v>
      </c>
      <c r="G31" s="14">
        <f>Assumptions!$C$11</f>
        <v>500</v>
      </c>
      <c r="H31" s="14">
        <f t="shared" si="1"/>
        <v>2500</v>
      </c>
      <c r="I31" s="1"/>
      <c r="J31" s="1"/>
    </row>
    <row r="32" spans="1:10" x14ac:dyDescent="0.2">
      <c r="A32" s="1"/>
      <c r="B32" s="6" t="s">
        <v>106</v>
      </c>
      <c r="C32" s="14">
        <f>Assumptions!$C$12</f>
        <v>1500</v>
      </c>
      <c r="D32" s="14">
        <f>Assumptions!$C$12</f>
        <v>1500</v>
      </c>
      <c r="E32" s="14">
        <f>Assumptions!$C$12</f>
        <v>1500</v>
      </c>
      <c r="F32" s="14">
        <f>Assumptions!$C$12</f>
        <v>1500</v>
      </c>
      <c r="G32" s="14">
        <f>Assumptions!$C$12</f>
        <v>1500</v>
      </c>
      <c r="H32" s="14">
        <f t="shared" si="1"/>
        <v>7500</v>
      </c>
      <c r="I32" s="1"/>
      <c r="J32" s="1"/>
    </row>
    <row r="33" spans="1:10" x14ac:dyDescent="0.2">
      <c r="A33" s="1"/>
      <c r="B33" s="6" t="s">
        <v>109</v>
      </c>
      <c r="C33" s="14">
        <f>Assumptions!$C$13</f>
        <v>600</v>
      </c>
      <c r="D33" s="14">
        <f>Assumptions!$C$13</f>
        <v>600</v>
      </c>
      <c r="E33" s="14">
        <f>Assumptions!$C$13</f>
        <v>600</v>
      </c>
      <c r="F33" s="14">
        <f>Assumptions!$C$13</f>
        <v>600</v>
      </c>
      <c r="G33" s="14">
        <f>Assumptions!$C$13</f>
        <v>600</v>
      </c>
      <c r="H33" s="14">
        <f t="shared" si="1"/>
        <v>3000</v>
      </c>
      <c r="I33" s="1"/>
      <c r="J33" s="1"/>
    </row>
    <row r="34" spans="1:10" x14ac:dyDescent="0.2">
      <c r="A34" s="1"/>
      <c r="B34" s="6" t="s">
        <v>115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f t="shared" si="1"/>
        <v>0</v>
      </c>
      <c r="I34" s="1"/>
      <c r="J34" s="1"/>
    </row>
    <row r="35" spans="1:10" x14ac:dyDescent="0.2">
      <c r="A35" s="1"/>
      <c r="B35" s="6" t="s">
        <v>116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f t="shared" si="1"/>
        <v>0</v>
      </c>
      <c r="I35" s="1"/>
      <c r="J35" s="1"/>
    </row>
    <row r="36" spans="1:10" x14ac:dyDescent="0.2">
      <c r="A36" s="1"/>
      <c r="B36" s="6" t="s">
        <v>117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f t="shared" si="1"/>
        <v>0</v>
      </c>
      <c r="I36" s="1"/>
      <c r="J36" s="1"/>
    </row>
    <row r="37" spans="1:10" x14ac:dyDescent="0.2">
      <c r="A37" s="1"/>
      <c r="B37" s="6" t="s">
        <v>118</v>
      </c>
      <c r="C37" s="14">
        <v>-150</v>
      </c>
      <c r="D37" s="14">
        <v>-150</v>
      </c>
      <c r="E37" s="14">
        <v>-150</v>
      </c>
      <c r="F37" s="14">
        <v>-150</v>
      </c>
      <c r="G37" s="14">
        <v>-150</v>
      </c>
      <c r="H37" s="14">
        <f t="shared" si="1"/>
        <v>-750</v>
      </c>
      <c r="I37" s="1"/>
      <c r="J37" s="1"/>
    </row>
    <row r="38" spans="1:10" x14ac:dyDescent="0.2">
      <c r="A38" s="1"/>
      <c r="B38" s="28" t="s">
        <v>119</v>
      </c>
      <c r="C38" s="29">
        <f>SUM(C30:C37)</f>
        <v>2700</v>
      </c>
      <c r="D38" s="29">
        <f>SUM(D30:D37)</f>
        <v>2700</v>
      </c>
      <c r="E38" s="29">
        <f>SUM(E30:E37)</f>
        <v>2700</v>
      </c>
      <c r="F38" s="29">
        <f>SUM(F30:F37)</f>
        <v>2700</v>
      </c>
      <c r="G38" s="29">
        <f>SUM(G30:G37)</f>
        <v>2700</v>
      </c>
      <c r="H38" s="29">
        <f t="shared" si="1"/>
        <v>13500</v>
      </c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5">
    <mergeCell ref="B6:H6"/>
    <mergeCell ref="B29:H29"/>
    <mergeCell ref="B15:H15"/>
    <mergeCell ref="B10:H10"/>
    <mergeCell ref="B20:H2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EFE8B-88E0-5C44-A535-A4EEECFAB3B7}">
  <dimension ref="A1:I37"/>
  <sheetViews>
    <sheetView showGridLines="0" tabSelected="1" workbookViewId="0">
      <selection activeCell="L32" sqref="L32"/>
    </sheetView>
  </sheetViews>
  <sheetFormatPr baseColWidth="10" defaultRowHeight="15" x14ac:dyDescent="0.2"/>
  <cols>
    <col min="1" max="1" width="12" customWidth="1"/>
    <col min="2" max="8" width="16.33203125" customWidth="1"/>
  </cols>
  <sheetData>
    <row r="1" spans="1:9" ht="30" customHeight="1" x14ac:dyDescent="0.2">
      <c r="A1" s="43" t="s">
        <v>120</v>
      </c>
      <c r="B1" s="43"/>
      <c r="C1" s="43"/>
      <c r="D1" s="43"/>
      <c r="E1" s="43"/>
      <c r="F1" s="43"/>
      <c r="G1" s="43"/>
      <c r="H1" s="43"/>
      <c r="I1" s="40"/>
    </row>
    <row r="2" spans="1:9" ht="20" customHeight="1" x14ac:dyDescent="0.2">
      <c r="A2" s="44" t="s">
        <v>121</v>
      </c>
      <c r="B2" s="44"/>
      <c r="C2" s="44"/>
      <c r="D2" s="44"/>
      <c r="E2" s="44"/>
      <c r="F2" s="44"/>
      <c r="G2" s="44"/>
      <c r="H2" s="44"/>
      <c r="I2" s="40"/>
    </row>
    <row r="3" spans="1:9" x14ac:dyDescent="0.2">
      <c r="A3" s="41"/>
      <c r="B3" s="41"/>
      <c r="C3" s="41"/>
      <c r="D3" s="41"/>
      <c r="E3" s="41"/>
      <c r="F3" s="41"/>
      <c r="G3" s="41"/>
      <c r="H3" s="41"/>
      <c r="I3" s="40"/>
    </row>
    <row r="4" spans="1:9" ht="22" customHeight="1" x14ac:dyDescent="0.2">
      <c r="A4" s="45" t="s">
        <v>122</v>
      </c>
      <c r="B4" s="45"/>
      <c r="C4" s="45"/>
      <c r="D4" s="45"/>
      <c r="E4" s="45"/>
      <c r="F4" s="45"/>
      <c r="G4" s="45"/>
      <c r="H4" s="45"/>
      <c r="I4" s="40"/>
    </row>
    <row r="5" spans="1:9" ht="23" customHeight="1" x14ac:dyDescent="0.2">
      <c r="A5" s="42" t="str">
        <f>"O modelo acompanha 5 meses de receitas, despesas e quatro trajetórias de saldo. No histórico, as saídas acumuladas superam as entradas em "&amp;TEXT(ABS('Detailed Cash Flow'!H9-'Detailed Cash Flow'!H14),"R$ #,##0.00")&amp;", mas o saldo original termina agosto positivo porque parte de "&amp;TEXT(Assumptions!C6,"R$ #,##0.00")&amp;". O risco está concentrado em julho: o cenário sem filtro e o saneado ficam negativos, enquanto o cenário doméstico mantém apenas uma margem mínima. Agosto recupera o caixa, porém o cenário saneado fecha com bem menos folga que o original."</f>
        <v>O modelo acompanha 5 meses de receitas, despesas e quatro trajetórias de saldo. No histórico, as saídas acumuladas superam as entradas em R$ 3318,36000, mas o saldo original termina agosto positivo porque parte de R$ 21155,09000. O risco está concentrado em julho: o cenário sem filtro e o saneado ficam negativos, enquanto o cenário doméstico mantém apenas uma margem mínima. Agosto recupera o caixa, porém o cenário saneado fecha com bem menos folga que o original.</v>
      </c>
      <c r="B5" s="42"/>
      <c r="C5" s="42"/>
      <c r="D5" s="42"/>
      <c r="E5" s="42"/>
      <c r="F5" s="42"/>
      <c r="G5" s="42"/>
      <c r="H5" s="42"/>
      <c r="I5" s="40"/>
    </row>
    <row r="6" spans="1:9" ht="23" customHeight="1" x14ac:dyDescent="0.2">
      <c r="A6" s="42"/>
      <c r="B6" s="42"/>
      <c r="C6" s="42"/>
      <c r="D6" s="42"/>
      <c r="E6" s="42"/>
      <c r="F6" s="42"/>
      <c r="G6" s="42"/>
      <c r="H6" s="42"/>
      <c r="I6" s="40"/>
    </row>
    <row r="7" spans="1:9" ht="23" customHeight="1" x14ac:dyDescent="0.2">
      <c r="A7" s="42"/>
      <c r="B7" s="42"/>
      <c r="C7" s="42"/>
      <c r="D7" s="42"/>
      <c r="E7" s="42"/>
      <c r="F7" s="42"/>
      <c r="G7" s="42"/>
      <c r="H7" s="42"/>
      <c r="I7" s="40"/>
    </row>
    <row r="8" spans="1:9" x14ac:dyDescent="0.2">
      <c r="A8" s="41"/>
      <c r="B8" s="41"/>
      <c r="C8" s="41"/>
      <c r="D8" s="41"/>
      <c r="E8" s="41"/>
      <c r="F8" s="41"/>
      <c r="G8" s="41"/>
      <c r="H8" s="41"/>
      <c r="I8" s="40"/>
    </row>
    <row r="9" spans="1:9" x14ac:dyDescent="0.2">
      <c r="A9" s="46" t="s">
        <v>123</v>
      </c>
      <c r="B9" s="50"/>
      <c r="C9" s="46" t="s">
        <v>125</v>
      </c>
      <c r="D9" s="50"/>
      <c r="E9" s="53" t="s">
        <v>127</v>
      </c>
      <c r="F9" s="57"/>
      <c r="G9" s="53" t="s">
        <v>129</v>
      </c>
      <c r="H9" s="54"/>
      <c r="I9" s="40"/>
    </row>
    <row r="10" spans="1:9" ht="22" x14ac:dyDescent="0.2">
      <c r="A10" s="47">
        <f>'Dashboard &amp; Comparisons'!F14</f>
        <v>17836.729999999989</v>
      </c>
      <c r="B10" s="51"/>
      <c r="C10" s="47">
        <f>'Dashboard &amp; Comparisons'!I14</f>
        <v>4336.7299999999886</v>
      </c>
      <c r="D10" s="51"/>
      <c r="E10" s="55">
        <f>'Detailed Cash Flow'!H9-'Detailed Cash Flow'!H14</f>
        <v>-3318.3600000000151</v>
      </c>
      <c r="F10" s="58"/>
      <c r="G10" s="55">
        <f>MIN('Dashboard &amp; Comparisons'!I10:I14)</f>
        <v>-1680.9300000000112</v>
      </c>
      <c r="H10" s="56"/>
      <c r="I10" s="40"/>
    </row>
    <row r="11" spans="1:9" x14ac:dyDescent="0.2">
      <c r="A11" s="48" t="s">
        <v>124</v>
      </c>
      <c r="B11" s="52"/>
      <c r="C11" s="48" t="s">
        <v>126</v>
      </c>
      <c r="D11" s="52"/>
      <c r="E11" s="48" t="s">
        <v>128</v>
      </c>
      <c r="F11" s="52"/>
      <c r="G11" s="48" t="s">
        <v>130</v>
      </c>
      <c r="H11" s="49"/>
      <c r="I11" s="40"/>
    </row>
    <row r="12" spans="1:9" x14ac:dyDescent="0.2">
      <c r="A12" s="41"/>
      <c r="B12" s="41"/>
      <c r="C12" s="41"/>
      <c r="D12" s="41"/>
      <c r="E12" s="41"/>
      <c r="F12" s="41"/>
      <c r="G12" s="41"/>
      <c r="H12" s="41"/>
      <c r="I12" s="40"/>
    </row>
    <row r="13" spans="1:9" x14ac:dyDescent="0.2">
      <c r="A13" s="41"/>
      <c r="B13" s="41"/>
      <c r="C13" s="41"/>
      <c r="D13" s="41"/>
      <c r="E13" s="41"/>
      <c r="F13" s="41"/>
      <c r="G13" s="41"/>
      <c r="H13" s="41"/>
      <c r="I13" s="40"/>
    </row>
    <row r="14" spans="1:9" ht="22" customHeight="1" x14ac:dyDescent="0.2">
      <c r="A14" s="45" t="s">
        <v>131</v>
      </c>
      <c r="B14" s="45"/>
      <c r="C14" s="45"/>
      <c r="D14" s="45"/>
      <c r="E14" s="45"/>
      <c r="F14" s="45"/>
      <c r="G14" s="45"/>
      <c r="H14" s="45"/>
      <c r="I14" s="40"/>
    </row>
    <row r="15" spans="1:9" x14ac:dyDescent="0.2">
      <c r="A15" s="41"/>
      <c r="B15" s="41"/>
      <c r="C15" s="41"/>
      <c r="D15" s="41"/>
      <c r="E15" s="41"/>
      <c r="F15" s="41"/>
      <c r="G15" s="41"/>
      <c r="H15" s="41"/>
      <c r="I15" s="40"/>
    </row>
    <row r="16" spans="1:9" ht="16" thickBot="1" x14ac:dyDescent="0.25">
      <c r="A16" s="62" t="s">
        <v>132</v>
      </c>
      <c r="B16" s="63"/>
      <c r="C16" s="63" t="s">
        <v>133</v>
      </c>
      <c r="D16" s="63"/>
      <c r="E16" s="63"/>
      <c r="F16" s="63" t="s">
        <v>134</v>
      </c>
      <c r="G16" s="63"/>
      <c r="H16" s="64"/>
      <c r="I16" s="40"/>
    </row>
    <row r="17" spans="1:9" x14ac:dyDescent="0.2">
      <c r="A17" s="60" t="s">
        <v>135</v>
      </c>
      <c r="B17" s="42"/>
      <c r="C17" s="42" t="s">
        <v>136</v>
      </c>
      <c r="D17" s="42"/>
      <c r="E17" s="42"/>
      <c r="F17" s="42" t="s">
        <v>137</v>
      </c>
      <c r="G17" s="42"/>
      <c r="H17" s="61"/>
      <c r="I17" s="40"/>
    </row>
    <row r="18" spans="1:9" x14ac:dyDescent="0.2">
      <c r="A18" s="65" t="s">
        <v>138</v>
      </c>
      <c r="B18" s="66"/>
      <c r="C18" s="66" t="s">
        <v>139</v>
      </c>
      <c r="D18" s="66"/>
      <c r="E18" s="66"/>
      <c r="F18" s="66" t="s">
        <v>140</v>
      </c>
      <c r="G18" s="66"/>
      <c r="H18" s="67"/>
      <c r="I18" s="40"/>
    </row>
    <row r="19" spans="1:9" x14ac:dyDescent="0.2">
      <c r="A19" s="60" t="s">
        <v>141</v>
      </c>
      <c r="B19" s="42"/>
      <c r="C19" s="42" t="s">
        <v>142</v>
      </c>
      <c r="D19" s="42"/>
      <c r="E19" s="42"/>
      <c r="F19" s="42" t="s">
        <v>143</v>
      </c>
      <c r="G19" s="42"/>
      <c r="H19" s="61"/>
      <c r="I19" s="40"/>
    </row>
    <row r="20" spans="1:9" x14ac:dyDescent="0.2">
      <c r="A20" s="68" t="s">
        <v>144</v>
      </c>
      <c r="B20" s="69"/>
      <c r="C20" s="69" t="s">
        <v>145</v>
      </c>
      <c r="D20" s="69"/>
      <c r="E20" s="69"/>
      <c r="F20" s="69" t="s">
        <v>146</v>
      </c>
      <c r="G20" s="69"/>
      <c r="H20" s="70"/>
      <c r="I20" s="40"/>
    </row>
    <row r="21" spans="1:9" x14ac:dyDescent="0.2">
      <c r="A21" s="41"/>
      <c r="B21" s="41"/>
      <c r="C21" s="41"/>
      <c r="D21" s="41"/>
      <c r="E21" s="41"/>
      <c r="F21" s="41"/>
      <c r="G21" s="41"/>
      <c r="H21" s="41"/>
      <c r="I21" s="40"/>
    </row>
    <row r="22" spans="1:9" x14ac:dyDescent="0.2">
      <c r="A22" s="41"/>
      <c r="B22" s="41"/>
      <c r="C22" s="41"/>
      <c r="D22" s="41"/>
      <c r="E22" s="41"/>
      <c r="F22" s="41"/>
      <c r="G22" s="41"/>
      <c r="H22" s="41"/>
      <c r="I22" s="40"/>
    </row>
    <row r="23" spans="1:9" ht="22" customHeight="1" x14ac:dyDescent="0.2">
      <c r="A23" s="59" t="s">
        <v>147</v>
      </c>
      <c r="B23" s="59"/>
      <c r="C23" s="59"/>
      <c r="D23" s="59"/>
      <c r="E23" s="59"/>
      <c r="F23" s="59"/>
      <c r="G23" s="59"/>
      <c r="H23" s="59"/>
      <c r="I23" s="40"/>
    </row>
    <row r="24" spans="1:9" x14ac:dyDescent="0.2">
      <c r="A24" s="41"/>
      <c r="B24" s="41"/>
      <c r="C24" s="41"/>
      <c r="D24" s="41"/>
      <c r="E24" s="41"/>
      <c r="F24" s="41"/>
      <c r="G24" s="41"/>
      <c r="H24" s="41"/>
      <c r="I24" s="40"/>
    </row>
    <row r="25" spans="1:9" ht="16" thickBot="1" x14ac:dyDescent="0.25">
      <c r="A25" s="72" t="s">
        <v>148</v>
      </c>
      <c r="B25" s="73" t="s">
        <v>149</v>
      </c>
      <c r="C25" s="73"/>
      <c r="D25" s="73"/>
      <c r="E25" s="73"/>
      <c r="F25" s="73" t="s">
        <v>150</v>
      </c>
      <c r="G25" s="73"/>
      <c r="H25" s="74"/>
      <c r="I25" s="40"/>
    </row>
    <row r="26" spans="1:9" x14ac:dyDescent="0.2">
      <c r="A26" s="71">
        <v>1</v>
      </c>
      <c r="B26" s="42" t="s">
        <v>151</v>
      </c>
      <c r="C26" s="42"/>
      <c r="D26" s="42"/>
      <c r="E26" s="42"/>
      <c r="F26" s="42" t="s">
        <v>152</v>
      </c>
      <c r="G26" s="42"/>
      <c r="H26" s="61"/>
      <c r="I26" s="40"/>
    </row>
    <row r="27" spans="1:9" x14ac:dyDescent="0.2">
      <c r="A27" s="75">
        <v>2</v>
      </c>
      <c r="B27" s="66" t="s">
        <v>153</v>
      </c>
      <c r="C27" s="66"/>
      <c r="D27" s="66"/>
      <c r="E27" s="66"/>
      <c r="F27" s="66" t="s">
        <v>154</v>
      </c>
      <c r="G27" s="66"/>
      <c r="H27" s="67"/>
      <c r="I27" s="40"/>
    </row>
    <row r="28" spans="1:9" x14ac:dyDescent="0.2">
      <c r="A28" s="71">
        <v>3</v>
      </c>
      <c r="B28" s="42" t="s">
        <v>155</v>
      </c>
      <c r="C28" s="42"/>
      <c r="D28" s="42"/>
      <c r="E28" s="42"/>
      <c r="F28" s="42" t="s">
        <v>156</v>
      </c>
      <c r="G28" s="42"/>
      <c r="H28" s="61"/>
      <c r="I28" s="40"/>
    </row>
    <row r="29" spans="1:9" x14ac:dyDescent="0.2">
      <c r="A29" s="76">
        <v>4</v>
      </c>
      <c r="B29" s="69" t="s">
        <v>157</v>
      </c>
      <c r="C29" s="69"/>
      <c r="D29" s="69"/>
      <c r="E29" s="69"/>
      <c r="F29" s="69" t="s">
        <v>158</v>
      </c>
      <c r="G29" s="69"/>
      <c r="H29" s="70"/>
      <c r="I29" s="40"/>
    </row>
    <row r="30" spans="1:9" x14ac:dyDescent="0.2">
      <c r="A30" s="41"/>
      <c r="B30" s="41"/>
      <c r="C30" s="41"/>
      <c r="D30" s="41"/>
      <c r="E30" s="41"/>
      <c r="F30" s="41"/>
      <c r="G30" s="41"/>
      <c r="H30" s="41"/>
      <c r="I30" s="40"/>
    </row>
    <row r="31" spans="1:9" x14ac:dyDescent="0.2">
      <c r="A31" s="41"/>
      <c r="B31" s="41"/>
      <c r="C31" s="41"/>
      <c r="D31" s="41"/>
      <c r="E31" s="41"/>
      <c r="F31" s="41"/>
      <c r="G31" s="41"/>
      <c r="H31" s="41"/>
      <c r="I31" s="40"/>
    </row>
    <row r="32" spans="1:9" ht="22" customHeight="1" x14ac:dyDescent="0.2">
      <c r="A32" s="45" t="s">
        <v>159</v>
      </c>
      <c r="B32" s="45"/>
      <c r="C32" s="45"/>
      <c r="D32" s="45"/>
      <c r="E32" s="45"/>
      <c r="F32" s="45"/>
      <c r="G32" s="45"/>
      <c r="H32" s="45"/>
      <c r="I32" s="40"/>
    </row>
    <row r="33" spans="1:9" x14ac:dyDescent="0.2">
      <c r="A33" s="41"/>
      <c r="B33" s="41"/>
      <c r="C33" s="41"/>
      <c r="D33" s="41"/>
      <c r="E33" s="41"/>
      <c r="F33" s="41"/>
      <c r="G33" s="41"/>
      <c r="H33" s="41"/>
      <c r="I33" s="40"/>
    </row>
    <row r="34" spans="1:9" ht="25" customHeight="1" x14ac:dyDescent="0.2">
      <c r="A34" s="42" t="s">
        <v>160</v>
      </c>
      <c r="B34" s="42"/>
      <c r="C34" s="42"/>
      <c r="D34" s="42"/>
      <c r="E34" s="42"/>
      <c r="F34" s="42"/>
      <c r="G34" s="42"/>
      <c r="H34" s="42"/>
      <c r="I34" s="40"/>
    </row>
    <row r="35" spans="1:9" ht="25" customHeight="1" x14ac:dyDescent="0.2">
      <c r="A35" s="42"/>
      <c r="B35" s="42"/>
      <c r="C35" s="42"/>
      <c r="D35" s="42"/>
      <c r="E35" s="42"/>
      <c r="F35" s="42"/>
      <c r="G35" s="42"/>
      <c r="H35" s="42"/>
      <c r="I35" s="40"/>
    </row>
    <row r="36" spans="1:9" ht="25" customHeight="1" x14ac:dyDescent="0.2">
      <c r="A36" s="42"/>
      <c r="B36" s="42"/>
      <c r="C36" s="42"/>
      <c r="D36" s="42"/>
      <c r="E36" s="42"/>
      <c r="F36" s="42"/>
      <c r="G36" s="42"/>
      <c r="H36" s="42"/>
      <c r="I36" s="40"/>
    </row>
    <row r="37" spans="1:9" x14ac:dyDescent="0.2">
      <c r="A37" s="40"/>
      <c r="B37" s="40"/>
      <c r="C37" s="40"/>
      <c r="D37" s="40"/>
      <c r="E37" s="40"/>
      <c r="F37" s="40"/>
      <c r="G37" s="40"/>
      <c r="H37" s="40"/>
      <c r="I37" s="40"/>
    </row>
  </sheetData>
  <mergeCells count="45">
    <mergeCell ref="B27:E27"/>
    <mergeCell ref="F27:H27"/>
    <mergeCell ref="B28:E28"/>
    <mergeCell ref="F28:H28"/>
    <mergeCell ref="B29:E29"/>
    <mergeCell ref="F29:H29"/>
    <mergeCell ref="A20:B20"/>
    <mergeCell ref="C20:E20"/>
    <mergeCell ref="F20:H20"/>
    <mergeCell ref="B25:E25"/>
    <mergeCell ref="F25:H25"/>
    <mergeCell ref="B26:E26"/>
    <mergeCell ref="F26:H26"/>
    <mergeCell ref="A18:B18"/>
    <mergeCell ref="C18:E18"/>
    <mergeCell ref="F18:H18"/>
    <mergeCell ref="A19:B19"/>
    <mergeCell ref="C19:E19"/>
    <mergeCell ref="F19:H19"/>
    <mergeCell ref="A16:B16"/>
    <mergeCell ref="C16:E16"/>
    <mergeCell ref="F16:H16"/>
    <mergeCell ref="A17:B17"/>
    <mergeCell ref="C17:E17"/>
    <mergeCell ref="F17:H17"/>
    <mergeCell ref="A32:H32"/>
    <mergeCell ref="A34:H36"/>
    <mergeCell ref="A9:B9"/>
    <mergeCell ref="A10:B10"/>
    <mergeCell ref="A11:B11"/>
    <mergeCell ref="C9:D9"/>
    <mergeCell ref="C10:D10"/>
    <mergeCell ref="C11:D11"/>
    <mergeCell ref="E9:F9"/>
    <mergeCell ref="E10:F10"/>
    <mergeCell ref="A1:H1"/>
    <mergeCell ref="A2:H2"/>
    <mergeCell ref="A4:H4"/>
    <mergeCell ref="A5:H7"/>
    <mergeCell ref="A14:H14"/>
    <mergeCell ref="A23:H23"/>
    <mergeCell ref="E11:F11"/>
    <mergeCell ref="G9:H9"/>
    <mergeCell ref="G10:H10"/>
    <mergeCell ref="G11:H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8032B-97FF-C249-8417-0DE9BA2341CC}">
  <dimension ref="A1:I65"/>
  <sheetViews>
    <sheetView showGridLines="0" workbookViewId="0">
      <selection sqref="A1:H1"/>
    </sheetView>
  </sheetViews>
  <sheetFormatPr baseColWidth="10" defaultRowHeight="15" x14ac:dyDescent="0.2"/>
  <cols>
    <col min="1" max="1" width="18.33203125" customWidth="1"/>
    <col min="2" max="8" width="15.5" customWidth="1"/>
  </cols>
  <sheetData>
    <row r="1" spans="1:9" ht="30" customHeight="1" x14ac:dyDescent="0.2">
      <c r="A1" s="43" t="s">
        <v>161</v>
      </c>
      <c r="B1" s="43"/>
      <c r="C1" s="43"/>
      <c r="D1" s="43"/>
      <c r="E1" s="43"/>
      <c r="F1" s="43"/>
      <c r="G1" s="43"/>
      <c r="H1" s="43"/>
      <c r="I1" s="40"/>
    </row>
    <row r="2" spans="1:9" ht="20" customHeight="1" x14ac:dyDescent="0.2">
      <c r="A2" s="44" t="s">
        <v>162</v>
      </c>
      <c r="B2" s="44"/>
      <c r="C2" s="44"/>
      <c r="D2" s="44"/>
      <c r="E2" s="44"/>
      <c r="F2" s="44"/>
      <c r="G2" s="44"/>
      <c r="H2" s="44"/>
      <c r="I2" s="40"/>
    </row>
    <row r="3" spans="1:9" x14ac:dyDescent="0.2">
      <c r="A3" s="41"/>
      <c r="B3" s="41"/>
      <c r="C3" s="41"/>
      <c r="D3" s="41"/>
      <c r="E3" s="41"/>
      <c r="F3" s="41"/>
      <c r="G3" s="41"/>
      <c r="H3" s="41"/>
      <c r="I3" s="40"/>
    </row>
    <row r="4" spans="1:9" ht="23" customHeight="1" x14ac:dyDescent="0.2">
      <c r="A4" s="42" t="str">
        <f>"O caixa não apresenta deterioração linear; ele alterna meses fortes e fracos. Julho concentra o maior risco, com fluxo histórico mensal de "&amp;TEXT('Detailed Cash Flow'!F9-'Detailed Cash Flow'!F14,"R$ #,##0.00")&amp;" e saldo saneado de "&amp;TEXT('Dashboard &amp; Comparisons'!I13,"R$ #,##0.00")&amp;". A otimização melhora o cenário sem filtro em R$ 600/mês, mas ainda não elimina a insuficiência temporária de caixa."</f>
        <v>O caixa não apresenta deterioração linear; ele alterna meses fortes e fracos. Julho concentra o maior risco, com fluxo histórico mensal de -R$ 18596,12000 e saldo saneado de -R$ 1680,93000. A otimização melhora o cenário sem filtro em R$ 600/mês, mas ainda não elimina a insuficiência temporária de caixa.</v>
      </c>
      <c r="B4" s="42"/>
      <c r="C4" s="42"/>
      <c r="D4" s="42"/>
      <c r="E4" s="42"/>
      <c r="F4" s="42"/>
      <c r="G4" s="42"/>
      <c r="H4" s="42"/>
      <c r="I4" s="40"/>
    </row>
    <row r="5" spans="1:9" ht="23" customHeight="1" x14ac:dyDescent="0.2">
      <c r="A5" s="42"/>
      <c r="B5" s="42"/>
      <c r="C5" s="42"/>
      <c r="D5" s="42"/>
      <c r="E5" s="42"/>
      <c r="F5" s="42"/>
      <c r="G5" s="42"/>
      <c r="H5" s="42"/>
      <c r="I5" s="40"/>
    </row>
    <row r="6" spans="1:9" ht="23" customHeight="1" x14ac:dyDescent="0.2">
      <c r="A6" s="42"/>
      <c r="B6" s="42"/>
      <c r="C6" s="42"/>
      <c r="D6" s="42"/>
      <c r="E6" s="42"/>
      <c r="F6" s="42"/>
      <c r="G6" s="42"/>
      <c r="H6" s="42"/>
      <c r="I6" s="40"/>
    </row>
    <row r="7" spans="1:9" ht="22" customHeight="1" x14ac:dyDescent="0.2">
      <c r="A7" s="45" t="s">
        <v>163</v>
      </c>
      <c r="B7" s="45"/>
      <c r="C7" s="45"/>
      <c r="D7" s="45"/>
      <c r="E7" s="45"/>
      <c r="F7" s="45"/>
      <c r="G7" s="45"/>
      <c r="H7" s="45"/>
      <c r="I7" s="40"/>
    </row>
    <row r="8" spans="1:9" ht="16" thickBot="1" x14ac:dyDescent="0.25">
      <c r="A8" s="83" t="s">
        <v>164</v>
      </c>
      <c r="B8" s="84" t="s">
        <v>165</v>
      </c>
      <c r="C8" s="84" t="s">
        <v>166</v>
      </c>
      <c r="D8" s="84" t="s">
        <v>167</v>
      </c>
      <c r="E8" s="85" t="s">
        <v>168</v>
      </c>
      <c r="F8" s="41"/>
      <c r="G8" s="41"/>
      <c r="H8" s="41"/>
      <c r="I8" s="40"/>
    </row>
    <row r="9" spans="1:9" x14ac:dyDescent="0.2">
      <c r="A9" s="79" t="str">
        <f>'Dashboard &amp; Comparisons'!B10</f>
        <v>Abril 2026</v>
      </c>
      <c r="B9" s="77">
        <f>'Dashboard &amp; Comparisons'!F10</f>
        <v>28424.109999999993</v>
      </c>
      <c r="C9" s="77">
        <f>'Dashboard &amp; Comparisons'!G10</f>
        <v>26174.109999999993</v>
      </c>
      <c r="D9" s="77">
        <f>'Dashboard &amp; Comparisons'!H10</f>
        <v>25124.109999999993</v>
      </c>
      <c r="E9" s="81">
        <f>'Dashboard &amp; Comparisons'!I10</f>
        <v>25724.109999999993</v>
      </c>
      <c r="F9" s="41"/>
      <c r="G9" s="41"/>
      <c r="H9" s="41"/>
      <c r="I9" s="40"/>
    </row>
    <row r="10" spans="1:9" x14ac:dyDescent="0.2">
      <c r="A10" s="86" t="str">
        <f>'Dashboard &amp; Comparisons'!B11</f>
        <v>Maio 2026</v>
      </c>
      <c r="B10" s="87">
        <f>'Dashboard &amp; Comparisons'!F11</f>
        <v>16472.44999999999</v>
      </c>
      <c r="C10" s="87">
        <f>'Dashboard &amp; Comparisons'!G11</f>
        <v>11972.44999999999</v>
      </c>
      <c r="D10" s="87">
        <f>'Dashboard &amp; Comparisons'!H11</f>
        <v>9872.4499999999898</v>
      </c>
      <c r="E10" s="88">
        <f>'Dashboard &amp; Comparisons'!I11</f>
        <v>11072.44999999999</v>
      </c>
      <c r="F10" s="41"/>
      <c r="G10" s="41"/>
      <c r="H10" s="41"/>
      <c r="I10" s="40"/>
    </row>
    <row r="11" spans="1:9" x14ac:dyDescent="0.2">
      <c r="A11" s="79" t="str">
        <f>'Dashboard &amp; Comparisons'!B12</f>
        <v>Junho 2026</v>
      </c>
      <c r="B11" s="77">
        <f>'Dashboard &amp; Comparisons'!F12</f>
        <v>27715.189999999991</v>
      </c>
      <c r="C11" s="77">
        <f>'Dashboard &amp; Comparisons'!G12</f>
        <v>20965.189999999991</v>
      </c>
      <c r="D11" s="77">
        <f>'Dashboard &amp; Comparisons'!H12</f>
        <v>17815.189999999991</v>
      </c>
      <c r="E11" s="81">
        <f>'Dashboard &amp; Comparisons'!I12</f>
        <v>19615.189999999991</v>
      </c>
      <c r="F11" s="41"/>
      <c r="G11" s="41"/>
      <c r="H11" s="41"/>
      <c r="I11" s="40"/>
    </row>
    <row r="12" spans="1:9" x14ac:dyDescent="0.2">
      <c r="A12" s="86" t="str">
        <f>'Dashboard &amp; Comparisons'!B13</f>
        <v>Julho 2026</v>
      </c>
      <c r="B12" s="87">
        <f>'Dashboard &amp; Comparisons'!F13</f>
        <v>9119.0699999999852</v>
      </c>
      <c r="C12" s="87">
        <f>'Dashboard &amp; Comparisons'!G13</f>
        <v>119.0699999999888</v>
      </c>
      <c r="D12" s="94">
        <f>'Dashboard &amp; Comparisons'!H13</f>
        <v>-4080.9300000000112</v>
      </c>
      <c r="E12" s="95">
        <f>'Dashboard &amp; Comparisons'!I13</f>
        <v>-1680.9300000000112</v>
      </c>
      <c r="F12" s="41"/>
      <c r="G12" s="41"/>
      <c r="H12" s="41"/>
      <c r="I12" s="40"/>
    </row>
    <row r="13" spans="1:9" x14ac:dyDescent="0.2">
      <c r="A13" s="80" t="str">
        <f>'Dashboard &amp; Comparisons'!B14</f>
        <v>Agosto 2026</v>
      </c>
      <c r="B13" s="78">
        <f>'Dashboard &amp; Comparisons'!F14</f>
        <v>17836.729999999989</v>
      </c>
      <c r="C13" s="78">
        <f>'Dashboard &amp; Comparisons'!G14</f>
        <v>6586.7299999999886</v>
      </c>
      <c r="D13" s="78">
        <f>'Dashboard &amp; Comparisons'!H14</f>
        <v>1336.7299999999886</v>
      </c>
      <c r="E13" s="82">
        <f>'Dashboard &amp; Comparisons'!I14</f>
        <v>4336.7299999999886</v>
      </c>
      <c r="F13" s="41"/>
      <c r="G13" s="41"/>
      <c r="H13" s="41"/>
      <c r="I13" s="40"/>
    </row>
    <row r="14" spans="1:9" x14ac:dyDescent="0.2">
      <c r="A14" s="41"/>
      <c r="B14" s="41"/>
      <c r="C14" s="41"/>
      <c r="D14" s="41"/>
      <c r="E14" s="41"/>
      <c r="F14" s="41"/>
      <c r="G14" s="41"/>
      <c r="H14" s="41"/>
      <c r="I14" s="40"/>
    </row>
    <row r="15" spans="1:9" x14ac:dyDescent="0.2">
      <c r="A15" s="41"/>
      <c r="B15" s="41"/>
      <c r="C15" s="41"/>
      <c r="D15" s="41"/>
      <c r="E15" s="41"/>
      <c r="F15" s="41"/>
      <c r="G15" s="41"/>
      <c r="H15" s="41"/>
      <c r="I15" s="40"/>
    </row>
    <row r="16" spans="1:9" x14ac:dyDescent="0.2">
      <c r="A16" s="41"/>
      <c r="B16" s="41"/>
      <c r="C16" s="41"/>
      <c r="D16" s="41"/>
      <c r="E16" s="41"/>
      <c r="F16" s="41"/>
      <c r="G16" s="41"/>
      <c r="H16" s="41"/>
      <c r="I16" s="40"/>
    </row>
    <row r="17" spans="1:9" x14ac:dyDescent="0.2">
      <c r="A17" s="41"/>
      <c r="B17" s="41"/>
      <c r="C17" s="41"/>
      <c r="D17" s="41"/>
      <c r="E17" s="41"/>
      <c r="F17" s="41"/>
      <c r="G17" s="41"/>
      <c r="H17" s="41"/>
      <c r="I17" s="40"/>
    </row>
    <row r="18" spans="1:9" x14ac:dyDescent="0.2">
      <c r="A18" s="41"/>
      <c r="B18" s="41"/>
      <c r="C18" s="41"/>
      <c r="D18" s="41"/>
      <c r="E18" s="41"/>
      <c r="F18" s="41"/>
      <c r="G18" s="41"/>
      <c r="H18" s="41"/>
      <c r="I18" s="40"/>
    </row>
    <row r="19" spans="1:9" x14ac:dyDescent="0.2">
      <c r="A19" s="41"/>
      <c r="B19" s="41"/>
      <c r="C19" s="41"/>
      <c r="D19" s="41"/>
      <c r="E19" s="41"/>
      <c r="F19" s="41"/>
      <c r="G19" s="41"/>
      <c r="H19" s="41"/>
      <c r="I19" s="40"/>
    </row>
    <row r="20" spans="1:9" x14ac:dyDescent="0.2">
      <c r="A20" s="41"/>
      <c r="B20" s="41"/>
      <c r="C20" s="41"/>
      <c r="D20" s="41"/>
      <c r="E20" s="41"/>
      <c r="F20" s="41"/>
      <c r="G20" s="41"/>
      <c r="H20" s="41"/>
      <c r="I20" s="40"/>
    </row>
    <row r="21" spans="1:9" x14ac:dyDescent="0.2">
      <c r="A21" s="41"/>
      <c r="B21" s="41"/>
      <c r="C21" s="41"/>
      <c r="D21" s="41"/>
      <c r="E21" s="41"/>
      <c r="F21" s="41"/>
      <c r="G21" s="41"/>
      <c r="H21" s="41"/>
      <c r="I21" s="40"/>
    </row>
    <row r="22" spans="1:9" x14ac:dyDescent="0.2">
      <c r="A22" s="41"/>
      <c r="B22" s="41"/>
      <c r="C22" s="41"/>
      <c r="D22" s="41"/>
      <c r="E22" s="41"/>
      <c r="F22" s="41"/>
      <c r="G22" s="41"/>
      <c r="H22" s="41"/>
      <c r="I22" s="40"/>
    </row>
    <row r="23" spans="1:9" x14ac:dyDescent="0.2">
      <c r="A23" s="41"/>
      <c r="B23" s="41"/>
      <c r="C23" s="41"/>
      <c r="D23" s="41"/>
      <c r="E23" s="41"/>
      <c r="F23" s="41"/>
      <c r="G23" s="41"/>
      <c r="H23" s="41"/>
      <c r="I23" s="40"/>
    </row>
    <row r="24" spans="1:9" x14ac:dyDescent="0.2">
      <c r="A24" s="41"/>
      <c r="B24" s="41"/>
      <c r="C24" s="41"/>
      <c r="D24" s="41"/>
      <c r="E24" s="41"/>
      <c r="F24" s="41"/>
      <c r="G24" s="41"/>
      <c r="H24" s="41"/>
      <c r="I24" s="40"/>
    </row>
    <row r="25" spans="1:9" x14ac:dyDescent="0.2">
      <c r="A25" s="41"/>
      <c r="B25" s="41"/>
      <c r="C25" s="41"/>
      <c r="D25" s="41"/>
      <c r="E25" s="41"/>
      <c r="F25" s="41"/>
      <c r="G25" s="41"/>
      <c r="H25" s="41"/>
      <c r="I25" s="40"/>
    </row>
    <row r="26" spans="1:9" x14ac:dyDescent="0.2">
      <c r="A26" s="41"/>
      <c r="B26" s="41"/>
      <c r="C26" s="41"/>
      <c r="D26" s="41"/>
      <c r="E26" s="41"/>
      <c r="F26" s="41"/>
      <c r="G26" s="41"/>
      <c r="H26" s="41"/>
      <c r="I26" s="40"/>
    </row>
    <row r="27" spans="1:9" x14ac:dyDescent="0.2">
      <c r="A27" s="41"/>
      <c r="B27" s="41"/>
      <c r="C27" s="41"/>
      <c r="D27" s="41"/>
      <c r="E27" s="41"/>
      <c r="F27" s="41"/>
      <c r="G27" s="41"/>
      <c r="H27" s="41"/>
      <c r="I27" s="40"/>
    </row>
    <row r="28" spans="1:9" x14ac:dyDescent="0.2">
      <c r="A28" s="41"/>
      <c r="B28" s="41"/>
      <c r="C28" s="41"/>
      <c r="D28" s="41"/>
      <c r="E28" s="41"/>
      <c r="F28" s="41"/>
      <c r="G28" s="41"/>
      <c r="H28" s="41"/>
      <c r="I28" s="40"/>
    </row>
    <row r="29" spans="1:9" x14ac:dyDescent="0.2">
      <c r="A29" s="41"/>
      <c r="B29" s="41"/>
      <c r="C29" s="41"/>
      <c r="D29" s="41"/>
      <c r="E29" s="41"/>
      <c r="F29" s="41"/>
      <c r="G29" s="41"/>
      <c r="H29" s="41"/>
      <c r="I29" s="40"/>
    </row>
    <row r="30" spans="1:9" x14ac:dyDescent="0.2">
      <c r="A30" s="41"/>
      <c r="B30" s="41"/>
      <c r="C30" s="41"/>
      <c r="D30" s="41"/>
      <c r="E30" s="41"/>
      <c r="F30" s="41"/>
      <c r="G30" s="41"/>
      <c r="H30" s="41"/>
      <c r="I30" s="40"/>
    </row>
    <row r="31" spans="1:9" x14ac:dyDescent="0.2">
      <c r="A31" s="41"/>
      <c r="B31" s="41"/>
      <c r="C31" s="41"/>
      <c r="D31" s="41"/>
      <c r="E31" s="41"/>
      <c r="F31" s="41"/>
      <c r="G31" s="41"/>
      <c r="H31" s="41"/>
      <c r="I31" s="40"/>
    </row>
    <row r="32" spans="1:9" ht="22" customHeight="1" x14ac:dyDescent="0.2">
      <c r="A32" s="45" t="s">
        <v>169</v>
      </c>
      <c r="B32" s="45"/>
      <c r="C32" s="45"/>
      <c r="D32" s="45"/>
      <c r="E32" s="45"/>
      <c r="F32" s="45"/>
      <c r="G32" s="45"/>
      <c r="H32" s="45"/>
      <c r="I32" s="40"/>
    </row>
    <row r="33" spans="1:9" x14ac:dyDescent="0.2">
      <c r="A33" s="41"/>
      <c r="B33" s="41"/>
      <c r="C33" s="41"/>
      <c r="D33" s="41"/>
      <c r="E33" s="41"/>
      <c r="F33" s="41"/>
      <c r="G33" s="41"/>
      <c r="H33" s="41"/>
      <c r="I33" s="40"/>
    </row>
    <row r="34" spans="1:9" ht="16" thickBot="1" x14ac:dyDescent="0.25">
      <c r="A34" s="83" t="s">
        <v>164</v>
      </c>
      <c r="B34" s="84" t="s">
        <v>170</v>
      </c>
      <c r="C34" s="85" t="s">
        <v>171</v>
      </c>
      <c r="D34" s="41"/>
      <c r="E34" s="41"/>
      <c r="F34" s="41"/>
      <c r="G34" s="41"/>
      <c r="H34" s="41"/>
      <c r="I34" s="40"/>
    </row>
    <row r="35" spans="1:9" x14ac:dyDescent="0.2">
      <c r="A35" s="79" t="str">
        <f>'Dashboard &amp; Comparisons'!B10</f>
        <v>Abril 2026</v>
      </c>
      <c r="B35" s="90">
        <f>'Detailed Cash Flow'!C9-'Detailed Cash Flow'!C14</f>
        <v>7269.0199999999968</v>
      </c>
      <c r="C35" s="92" t="str">
        <f>IF(B35&lt;0,"Déficit","Superávit")</f>
        <v>Superávit</v>
      </c>
      <c r="D35" s="41"/>
      <c r="E35" s="41"/>
      <c r="F35" s="41"/>
      <c r="G35" s="41"/>
      <c r="H35" s="41"/>
      <c r="I35" s="40"/>
    </row>
    <row r="36" spans="1:9" x14ac:dyDescent="0.2">
      <c r="A36" s="86" t="str">
        <f>'Dashboard &amp; Comparisons'!B11</f>
        <v>Maio 2026</v>
      </c>
      <c r="B36" s="94">
        <f>'Detailed Cash Flow'!D9-'Detailed Cash Flow'!D14</f>
        <v>-11951.660000000003</v>
      </c>
      <c r="C36" s="96" t="str">
        <f>IF(B36&lt;0,"Déficit","Superávit")</f>
        <v>Déficit</v>
      </c>
      <c r="D36" s="41"/>
      <c r="E36" s="41"/>
      <c r="F36" s="41"/>
      <c r="G36" s="41"/>
      <c r="H36" s="41"/>
      <c r="I36" s="40"/>
    </row>
    <row r="37" spans="1:9" x14ac:dyDescent="0.2">
      <c r="A37" s="79" t="str">
        <f>'Dashboard &amp; Comparisons'!B12</f>
        <v>Junho 2026</v>
      </c>
      <c r="B37" s="90">
        <f>'Detailed Cash Flow'!E9-'Detailed Cash Flow'!E14</f>
        <v>11242.740000000002</v>
      </c>
      <c r="C37" s="92" t="str">
        <f>IF(B37&lt;0,"Déficit","Superávit")</f>
        <v>Superávit</v>
      </c>
      <c r="D37" s="41"/>
      <c r="E37" s="41"/>
      <c r="F37" s="41"/>
      <c r="G37" s="41"/>
      <c r="H37" s="41"/>
      <c r="I37" s="40"/>
    </row>
    <row r="38" spans="1:9" x14ac:dyDescent="0.2">
      <c r="A38" s="86" t="str">
        <f>'Dashboard &amp; Comparisons'!B13</f>
        <v>Julho 2026</v>
      </c>
      <c r="B38" s="94">
        <f>'Detailed Cash Flow'!F9-'Detailed Cash Flow'!F14</f>
        <v>-18596.120000000003</v>
      </c>
      <c r="C38" s="96" t="str">
        <f>IF(B38&lt;0,"Déficit","Superávit")</f>
        <v>Déficit</v>
      </c>
      <c r="D38" s="41"/>
      <c r="E38" s="41"/>
      <c r="F38" s="41"/>
      <c r="G38" s="41"/>
      <c r="H38" s="41"/>
      <c r="I38" s="40"/>
    </row>
    <row r="39" spans="1:9" x14ac:dyDescent="0.2">
      <c r="A39" s="80" t="str">
        <f>'Dashboard &amp; Comparisons'!B14</f>
        <v>Agosto 2026</v>
      </c>
      <c r="B39" s="91">
        <f>'Detailed Cash Flow'!G9-'Detailed Cash Flow'!G14</f>
        <v>8717.66</v>
      </c>
      <c r="C39" s="93" t="str">
        <f>IF(B39&lt;0,"Déficit","Superávit")</f>
        <v>Superávit</v>
      </c>
      <c r="D39" s="41"/>
      <c r="E39" s="41"/>
      <c r="F39" s="41"/>
      <c r="G39" s="41"/>
      <c r="H39" s="41"/>
      <c r="I39" s="40"/>
    </row>
    <row r="40" spans="1:9" x14ac:dyDescent="0.2">
      <c r="A40" s="41"/>
      <c r="B40" s="41"/>
      <c r="C40" s="41"/>
      <c r="D40" s="41"/>
      <c r="E40" s="41"/>
      <c r="F40" s="41"/>
      <c r="G40" s="41"/>
      <c r="H40" s="41"/>
      <c r="I40" s="40"/>
    </row>
    <row r="41" spans="1:9" x14ac:dyDescent="0.2">
      <c r="A41" s="41"/>
      <c r="B41" s="41"/>
      <c r="C41" s="41"/>
      <c r="D41" s="41"/>
      <c r="E41" s="41"/>
      <c r="F41" s="41"/>
      <c r="G41" s="41"/>
      <c r="H41" s="41"/>
      <c r="I41" s="40"/>
    </row>
    <row r="42" spans="1:9" x14ac:dyDescent="0.2">
      <c r="A42" s="41"/>
      <c r="B42" s="41"/>
      <c r="C42" s="41"/>
      <c r="D42" s="41"/>
      <c r="E42" s="41"/>
      <c r="F42" s="41"/>
      <c r="G42" s="41"/>
      <c r="H42" s="41"/>
      <c r="I42" s="40"/>
    </row>
    <row r="43" spans="1:9" x14ac:dyDescent="0.2">
      <c r="A43" s="41"/>
      <c r="B43" s="41"/>
      <c r="C43" s="41"/>
      <c r="D43" s="41"/>
      <c r="E43" s="41"/>
      <c r="F43" s="41"/>
      <c r="G43" s="41"/>
      <c r="H43" s="41"/>
      <c r="I43" s="40"/>
    </row>
    <row r="44" spans="1:9" x14ac:dyDescent="0.2">
      <c r="A44" s="41"/>
      <c r="B44" s="41"/>
      <c r="C44" s="41"/>
      <c r="D44" s="41"/>
      <c r="E44" s="41"/>
      <c r="F44" s="41"/>
      <c r="G44" s="41"/>
      <c r="H44" s="41"/>
      <c r="I44" s="40"/>
    </row>
    <row r="45" spans="1:9" x14ac:dyDescent="0.2">
      <c r="A45" s="41"/>
      <c r="B45" s="41"/>
      <c r="C45" s="41"/>
      <c r="D45" s="41"/>
      <c r="E45" s="41"/>
      <c r="F45" s="41"/>
      <c r="G45" s="41"/>
      <c r="H45" s="41"/>
      <c r="I45" s="40"/>
    </row>
    <row r="46" spans="1:9" x14ac:dyDescent="0.2">
      <c r="A46" s="41"/>
      <c r="B46" s="41"/>
      <c r="C46" s="41"/>
      <c r="D46" s="41"/>
      <c r="E46" s="41"/>
      <c r="F46" s="41"/>
      <c r="G46" s="41"/>
      <c r="H46" s="41"/>
      <c r="I46" s="40"/>
    </row>
    <row r="47" spans="1:9" x14ac:dyDescent="0.2">
      <c r="A47" s="41"/>
      <c r="B47" s="41"/>
      <c r="C47" s="41"/>
      <c r="D47" s="41"/>
      <c r="E47" s="41"/>
      <c r="F47" s="41"/>
      <c r="G47" s="41"/>
      <c r="H47" s="41"/>
      <c r="I47" s="40"/>
    </row>
    <row r="48" spans="1:9" x14ac:dyDescent="0.2">
      <c r="A48" s="41"/>
      <c r="B48" s="41"/>
      <c r="C48" s="41"/>
      <c r="D48" s="41"/>
      <c r="E48" s="41"/>
      <c r="F48" s="41"/>
      <c r="G48" s="41"/>
      <c r="H48" s="41"/>
      <c r="I48" s="40"/>
    </row>
    <row r="49" spans="1:9" x14ac:dyDescent="0.2">
      <c r="A49" s="41"/>
      <c r="B49" s="41"/>
      <c r="C49" s="41"/>
      <c r="D49" s="41"/>
      <c r="E49" s="41"/>
      <c r="F49" s="41"/>
      <c r="G49" s="41"/>
      <c r="H49" s="41"/>
      <c r="I49" s="40"/>
    </row>
    <row r="50" spans="1:9" x14ac:dyDescent="0.2">
      <c r="A50" s="41"/>
      <c r="B50" s="41"/>
      <c r="C50" s="41"/>
      <c r="D50" s="41"/>
      <c r="E50" s="41"/>
      <c r="F50" s="41"/>
      <c r="G50" s="41"/>
      <c r="H50" s="41"/>
      <c r="I50" s="40"/>
    </row>
    <row r="51" spans="1:9" x14ac:dyDescent="0.2">
      <c r="A51" s="41"/>
      <c r="B51" s="41"/>
      <c r="C51" s="41"/>
      <c r="D51" s="41"/>
      <c r="E51" s="41"/>
      <c r="F51" s="41"/>
      <c r="G51" s="41"/>
      <c r="H51" s="41"/>
      <c r="I51" s="40"/>
    </row>
    <row r="52" spans="1:9" x14ac:dyDescent="0.2">
      <c r="A52" s="41"/>
      <c r="B52" s="41"/>
      <c r="C52" s="41"/>
      <c r="D52" s="41"/>
      <c r="E52" s="41"/>
      <c r="F52" s="41"/>
      <c r="G52" s="41"/>
      <c r="H52" s="41"/>
      <c r="I52" s="40"/>
    </row>
    <row r="53" spans="1:9" x14ac:dyDescent="0.2">
      <c r="A53" s="41"/>
      <c r="B53" s="41"/>
      <c r="C53" s="41"/>
      <c r="D53" s="41"/>
      <c r="E53" s="41"/>
      <c r="F53" s="41"/>
      <c r="G53" s="41"/>
      <c r="H53" s="41"/>
      <c r="I53" s="40"/>
    </row>
    <row r="54" spans="1:9" x14ac:dyDescent="0.2">
      <c r="A54" s="41"/>
      <c r="B54" s="41"/>
      <c r="C54" s="41"/>
      <c r="D54" s="41"/>
      <c r="E54" s="41"/>
      <c r="F54" s="41"/>
      <c r="G54" s="41"/>
      <c r="H54" s="41"/>
      <c r="I54" s="40"/>
    </row>
    <row r="55" spans="1:9" x14ac:dyDescent="0.2">
      <c r="A55" s="41"/>
      <c r="B55" s="41"/>
      <c r="C55" s="41"/>
      <c r="D55" s="41"/>
      <c r="E55" s="41"/>
      <c r="F55" s="41"/>
      <c r="G55" s="41"/>
      <c r="H55" s="41"/>
      <c r="I55" s="40"/>
    </row>
    <row r="56" spans="1:9" x14ac:dyDescent="0.2">
      <c r="A56" s="41"/>
      <c r="B56" s="41"/>
      <c r="C56" s="41"/>
      <c r="D56" s="41"/>
      <c r="E56" s="41"/>
      <c r="F56" s="41"/>
      <c r="G56" s="41"/>
      <c r="H56" s="41"/>
      <c r="I56" s="40"/>
    </row>
    <row r="57" spans="1:9" x14ac:dyDescent="0.2">
      <c r="A57" s="41"/>
      <c r="B57" s="41"/>
      <c r="C57" s="41"/>
      <c r="D57" s="41"/>
      <c r="E57" s="41"/>
      <c r="F57" s="41"/>
      <c r="G57" s="41"/>
      <c r="H57" s="41"/>
      <c r="I57" s="40"/>
    </row>
    <row r="58" spans="1:9" x14ac:dyDescent="0.2">
      <c r="A58" s="41"/>
      <c r="B58" s="41"/>
      <c r="C58" s="41"/>
      <c r="D58" s="41"/>
      <c r="E58" s="41"/>
      <c r="F58" s="41"/>
      <c r="G58" s="41"/>
      <c r="H58" s="41"/>
      <c r="I58" s="40"/>
    </row>
    <row r="59" spans="1:9" ht="22" customHeight="1" x14ac:dyDescent="0.2">
      <c r="A59" s="59" t="s">
        <v>172</v>
      </c>
      <c r="B59" s="59"/>
      <c r="C59" s="59"/>
      <c r="D59" s="59"/>
      <c r="E59" s="59"/>
      <c r="F59" s="59"/>
      <c r="G59" s="59"/>
      <c r="H59" s="59"/>
      <c r="I59" s="40"/>
    </row>
    <row r="60" spans="1:9" ht="16" thickBot="1" x14ac:dyDescent="0.25">
      <c r="A60" s="89" t="s">
        <v>173</v>
      </c>
      <c r="B60" s="73"/>
      <c r="C60" s="73" t="s">
        <v>174</v>
      </c>
      <c r="D60" s="73"/>
      <c r="E60" s="73"/>
      <c r="F60" s="73" t="s">
        <v>175</v>
      </c>
      <c r="G60" s="73"/>
      <c r="H60" s="74"/>
      <c r="I60" s="40"/>
    </row>
    <row r="61" spans="1:9" x14ac:dyDescent="0.2">
      <c r="A61" s="60" t="s">
        <v>176</v>
      </c>
      <c r="B61" s="42"/>
      <c r="C61" s="42" t="s">
        <v>177</v>
      </c>
      <c r="D61" s="42"/>
      <c r="E61" s="42"/>
      <c r="F61" s="42" t="s">
        <v>178</v>
      </c>
      <c r="G61" s="42"/>
      <c r="H61" s="61"/>
      <c r="I61" s="40"/>
    </row>
    <row r="62" spans="1:9" x14ac:dyDescent="0.2">
      <c r="A62" s="65" t="s">
        <v>179</v>
      </c>
      <c r="B62" s="66"/>
      <c r="C62" s="66" t="s">
        <v>180</v>
      </c>
      <c r="D62" s="66"/>
      <c r="E62" s="66"/>
      <c r="F62" s="66" t="s">
        <v>181</v>
      </c>
      <c r="G62" s="66"/>
      <c r="H62" s="67"/>
      <c r="I62" s="40"/>
    </row>
    <row r="63" spans="1:9" x14ac:dyDescent="0.2">
      <c r="A63" s="60" t="s">
        <v>182</v>
      </c>
      <c r="B63" s="42"/>
      <c r="C63" s="42" t="s">
        <v>183</v>
      </c>
      <c r="D63" s="42"/>
      <c r="E63" s="42"/>
      <c r="F63" s="42" t="s">
        <v>184</v>
      </c>
      <c r="G63" s="42"/>
      <c r="H63" s="61"/>
      <c r="I63" s="40"/>
    </row>
    <row r="64" spans="1:9" x14ac:dyDescent="0.2">
      <c r="A64" s="68" t="s">
        <v>185</v>
      </c>
      <c r="B64" s="69"/>
      <c r="C64" s="69" t="s">
        <v>186</v>
      </c>
      <c r="D64" s="69"/>
      <c r="E64" s="69"/>
      <c r="F64" s="69" t="s">
        <v>187</v>
      </c>
      <c r="G64" s="69"/>
      <c r="H64" s="70"/>
      <c r="I64" s="40"/>
    </row>
    <row r="65" spans="1:9" x14ac:dyDescent="0.2">
      <c r="A65" s="40"/>
      <c r="B65" s="40"/>
      <c r="C65" s="40"/>
      <c r="D65" s="40"/>
      <c r="E65" s="40"/>
      <c r="F65" s="40"/>
      <c r="G65" s="40"/>
      <c r="H65" s="40"/>
      <c r="I65" s="40"/>
    </row>
  </sheetData>
  <mergeCells count="21">
    <mergeCell ref="A64:B64"/>
    <mergeCell ref="C64:E64"/>
    <mergeCell ref="F64:H64"/>
    <mergeCell ref="A62:B62"/>
    <mergeCell ref="C62:E62"/>
    <mergeCell ref="F62:H62"/>
    <mergeCell ref="A63:B63"/>
    <mergeCell ref="C63:E63"/>
    <mergeCell ref="F63:H63"/>
    <mergeCell ref="A60:B60"/>
    <mergeCell ref="C60:E60"/>
    <mergeCell ref="F60:H60"/>
    <mergeCell ref="A61:B61"/>
    <mergeCell ref="C61:E61"/>
    <mergeCell ref="F61:H61"/>
    <mergeCell ref="A1:H1"/>
    <mergeCell ref="A2:H2"/>
    <mergeCell ref="A4:H6"/>
    <mergeCell ref="A7:H7"/>
    <mergeCell ref="A32:H32"/>
    <mergeCell ref="A59:H59"/>
  </mergeCells>
  <conditionalFormatting sqref="B9:E13">
    <cfRule type="cellIs" dxfId="2" priority="1" operator="lessThan">
      <formula>0</formula>
    </cfRule>
  </conditionalFormatting>
  <conditionalFormatting sqref="B35:B39">
    <cfRule type="cellIs" dxfId="1" priority="2" operator="lessThan">
      <formula>0</formula>
    </cfRule>
  </conditionalFormatting>
  <conditionalFormatting sqref="B35:B39">
    <cfRule type="cellIs" dxfId="0" priority="3" operator="greaterThanOrEqual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TOC &amp; Legend</vt:lpstr>
      <vt:lpstr>Dashboard &amp; Comparisons</vt:lpstr>
      <vt:lpstr>Assumptions</vt:lpstr>
      <vt:lpstr>Detailed Cash Flow</vt:lpstr>
      <vt:lpstr>Resumo Executivo</vt:lpstr>
      <vt:lpstr>Insights &amp; Tendências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eduardo giovannini</cp:lastModifiedBy>
  <dcterms:created xsi:type="dcterms:W3CDTF">2026-09-03T10:58:59Z</dcterms:created>
  <dcterms:modified xsi:type="dcterms:W3CDTF">2026-09-03T23:21:36Z</dcterms:modified>
</cp:coreProperties>
</file>