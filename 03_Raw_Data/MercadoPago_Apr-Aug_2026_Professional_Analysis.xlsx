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3.xml" ContentType="application/vnd.openxmlformats-officedocument.drawing+xml"/>
  <Override PartName="/xl/tables/table4.xml" ContentType="application/vnd.openxmlformats-officedocument.spreadsheetml.table+xml"/>
  <Override PartName="/xl/charts/chart6.xml" ContentType="application/vnd.openxmlformats-officedocument.drawingml.chart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giovannini.eduardogmail.com/Downloads/edu_price_analysis/"/>
    </mc:Choice>
  </mc:AlternateContent>
  <xr:revisionPtr revIDLastSave="0" documentId="8_{DBB1488A-C3BD-5041-AEC2-2006D9924EC0}" xr6:coauthVersionLast="47" xr6:coauthVersionMax="47" xr10:uidLastSave="{00000000-0000-0000-0000-000000000000}"/>
  <bookViews>
    <workbookView xWindow="51360" yWindow="780" windowWidth="25360" windowHeight="20660" activeTab="1" xr2:uid="{00000000-000D-0000-FFFF-FFFF00000000}"/>
  </bookViews>
  <sheets>
    <sheet name="Read Me" sheetId="8" r:id="rId1"/>
    <sheet name="USER_GUIDE" sheetId="11" r:id="rId2"/>
    <sheet name="Executive Summary" sheetId="9" r:id="rId3"/>
    <sheet name="Trends &amp; Insights" sheetId="10" r:id="rId4"/>
    <sheet name="Dashboard" sheetId="1" r:id="rId5"/>
    <sheet name="Monthly Summary" sheetId="2" r:id="rId6"/>
    <sheet name="Transactions" sheetId="3" r:id="rId7"/>
    <sheet name="Outflow Categories" sheetId="4" r:id="rId8"/>
    <sheet name="Counterparties" sheetId="5" r:id="rId9"/>
    <sheet name="Reconciliation" sheetId="6" r:id="rId10"/>
    <sheet name="Analysis &amp; Chat" sheetId="7" r:id="rId11"/>
  </sheets>
  <definedNames>
    <definedName name="_xlnm._FilterDatabase" localSheetId="5" hidden="1">'Monthly Summary'!$A$4:$N$9</definedName>
    <definedName name="_xlnm._FilterDatabase" localSheetId="6" hidden="1">Transactions!$A$4:$N$330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6" i="10" l="1"/>
  <c r="B46" i="10"/>
  <c r="C46" i="10"/>
  <c r="A45" i="10"/>
  <c r="B45" i="10"/>
  <c r="C45" i="10"/>
  <c r="A44" i="10"/>
  <c r="B44" i="10"/>
  <c r="C44" i="10"/>
  <c r="A43" i="10"/>
  <c r="B43" i="10"/>
  <c r="C43" i="10"/>
  <c r="A42" i="10"/>
  <c r="B42" i="10"/>
  <c r="C42" i="10"/>
  <c r="A41" i="10"/>
  <c r="B41" i="10"/>
  <c r="C41" i="10"/>
  <c r="A19" i="10"/>
  <c r="B19" i="10"/>
  <c r="C19" i="10"/>
  <c r="D19" i="10"/>
  <c r="E19" i="10"/>
  <c r="F19" i="10"/>
  <c r="A18" i="10"/>
  <c r="B18" i="10"/>
  <c r="C18" i="10"/>
  <c r="D18" i="10"/>
  <c r="E18" i="10"/>
  <c r="F18" i="10"/>
  <c r="A17" i="10"/>
  <c r="B17" i="10"/>
  <c r="C17" i="10"/>
  <c r="D17" i="10"/>
  <c r="E17" i="10"/>
  <c r="F17" i="10"/>
  <c r="A16" i="10"/>
  <c r="B16" i="10"/>
  <c r="C16" i="10"/>
  <c r="D16" i="10"/>
  <c r="E16" i="10"/>
  <c r="F16" i="10"/>
  <c r="A15" i="10"/>
  <c r="B15" i="10"/>
  <c r="C15" i="10"/>
  <c r="D15" i="10"/>
  <c r="E15" i="10"/>
  <c r="F15" i="10"/>
  <c r="I11" i="10"/>
  <c r="G11" i="10"/>
  <c r="D11" i="10"/>
  <c r="G5" i="9"/>
  <c r="E5" i="9"/>
  <c r="C5" i="9"/>
  <c r="A5" i="9"/>
  <c r="A11" i="10" l="1"/>
</calcChain>
</file>

<file path=xl/sharedStrings.xml><?xml version="1.0" encoding="utf-8"?>
<sst xmlns="http://schemas.openxmlformats.org/spreadsheetml/2006/main" count="3831" uniqueCount="1169">
  <si>
    <t>Mercado Pago — April to August 2026</t>
  </si>
  <si>
    <t>Professional transaction workbook | 5 unique months | June duplicate source excluded from transaction totals</t>
  </si>
  <si>
    <t>Total Transactions</t>
  </si>
  <si>
    <t>Total Inflows</t>
  </si>
  <si>
    <t>Total Outflows</t>
  </si>
  <si>
    <t>Net Cash Movement</t>
  </si>
  <si>
    <t>Investment Yield</t>
  </si>
  <si>
    <t>Min. Observed Balance</t>
  </si>
  <si>
    <t>Monthly Snapshot</t>
  </si>
  <si>
    <t>Month</t>
  </si>
  <si>
    <t>Transactions</t>
  </si>
  <si>
    <t>Opening</t>
  </si>
  <si>
    <t>Inflows</t>
  </si>
  <si>
    <t>Outflows</t>
  </si>
  <si>
    <t>Net</t>
  </si>
  <si>
    <t>Closing</t>
  </si>
  <si>
    <t>Minimum Balance</t>
  </si>
  <si>
    <t>Reconciliation</t>
  </si>
  <si>
    <t>2026-04</t>
  </si>
  <si>
    <t>PASS</t>
  </si>
  <si>
    <t>2026-05</t>
  </si>
  <si>
    <t>2026-06</t>
  </si>
  <si>
    <t>2026-07</t>
  </si>
  <si>
    <t>2026-08</t>
  </si>
  <si>
    <t>Monthly Summary</t>
  </si>
  <si>
    <t>Statement-level reported totals vs. transaction-level calculated totals</t>
  </si>
  <si>
    <t>Period</t>
  </si>
  <si>
    <t>Reported Inflows</t>
  </si>
  <si>
    <t>Reported Outflows</t>
  </si>
  <si>
    <t>Calculated Inflows</t>
  </si>
  <si>
    <t>Calculated Outflows</t>
  </si>
  <si>
    <t>Calculated Net</t>
  </si>
  <si>
    <t>Reported Net</t>
  </si>
  <si>
    <t>Variance Inflows</t>
  </si>
  <si>
    <t>Variance Outflows</t>
  </si>
  <si>
    <t>Variance Closing</t>
  </si>
  <si>
    <t>April 2026</t>
  </si>
  <si>
    <t>May 2026</t>
  </si>
  <si>
    <t>June 2026</t>
  </si>
  <si>
    <t>July 2026</t>
  </si>
  <si>
    <t>August 2026</t>
  </si>
  <si>
    <t>326 unique transactions | June duplicate source excluded from transaction rows</t>
  </si>
  <si>
    <t>Date</t>
  </si>
  <si>
    <t>Description</t>
  </si>
  <si>
    <t>Operation ID</t>
  </si>
  <si>
    <t>Amount</t>
  </si>
  <si>
    <t>Direction</t>
  </si>
  <si>
    <t>Category</t>
  </si>
  <si>
    <t>Subcategory</t>
  </si>
  <si>
    <t>Counterparty</t>
  </si>
  <si>
    <t>Balance</t>
  </si>
  <si>
    <t>Source</t>
  </si>
  <si>
    <t>Amount Absolute</t>
  </si>
  <si>
    <t>Transaction Key</t>
  </si>
  <si>
    <t>Source Status</t>
  </si>
  <si>
    <t>Pix enviado Eva Bezerra da Silva Brandao</t>
  </si>
  <si>
    <t>152151991553</t>
  </si>
  <si>
    <t>Outflow</t>
  </si>
  <si>
    <t>Person / External Transfer</t>
  </si>
  <si>
    <t>Sent Pix</t>
  </si>
  <si>
    <t>Eva Bezerra da Silva Brandao</t>
  </si>
  <si>
    <t>User-supplied statement text</t>
  </si>
  <si>
    <t>2026-04-152151991553</t>
  </si>
  <si>
    <t>Unique transaction</t>
  </si>
  <si>
    <t>Pix enviado Marinaldo Domingos de Souza</t>
  </si>
  <si>
    <t>152189207147</t>
  </si>
  <si>
    <t>Marinaldo Domingos de Souza</t>
  </si>
  <si>
    <t>2026-04-152189207147</t>
  </si>
  <si>
    <t>Pagamento com QR Pix ESTACAO 89 COMERCIO VAREJISTA DE ALIMENTOS LTDA</t>
  </si>
  <si>
    <t>152833636626</t>
  </si>
  <si>
    <t>Groceries &amp; Food</t>
  </si>
  <si>
    <t>Groceries / food</t>
  </si>
  <si>
    <t>ESTACAO 89 COMERCIO VAREJISTA DE ALIMENTOS LTDA</t>
  </si>
  <si>
    <t>2026-04-152833636626</t>
  </si>
  <si>
    <t>Pagamento com QR Pix EDGLEY DE SOUSA FORMIGA</t>
  </si>
  <si>
    <t>152834775544</t>
  </si>
  <si>
    <t>EDGLEY DE SOUSA FORMIGA</t>
  </si>
  <si>
    <t>2026-04-152834775544</t>
  </si>
  <si>
    <t>Rendimentos</t>
  </si>
  <si>
    <t>1741805550939</t>
  </si>
  <si>
    <t>Inflow</t>
  </si>
  <si>
    <t>Mercado Pago / Investment</t>
  </si>
  <si>
    <t>2026-04-1741805550939</t>
  </si>
  <si>
    <t>Pagamento com QR Pix IATA INTERNATIONAL AIR TRANSPORT ASSOCIATION</t>
  </si>
  <si>
    <t>152210734999</t>
  </si>
  <si>
    <t>Travel</t>
  </si>
  <si>
    <t>IATA INTERNATIONAL AIR TRANSPORT ASSOCIATION</t>
  </si>
  <si>
    <t>2026-04-152210734999</t>
  </si>
  <si>
    <t>Pagamento com QR Pix COMPANHIA DE AGUA E ESGOTOS DA PARAIBA CAGEPA</t>
  </si>
  <si>
    <t>152211492245</t>
  </si>
  <si>
    <t>Utilities</t>
  </si>
  <si>
    <t>Electricity / water</t>
  </si>
  <si>
    <t>COMPANHIA DE AGUA E ESGOTOS DA PARAIBA CAGEPA</t>
  </si>
  <si>
    <t>2026-04-152211492245</t>
  </si>
  <si>
    <t>Pix enviado Eduardo Silva dos Santos</t>
  </si>
  <si>
    <t>152285797203</t>
  </si>
  <si>
    <t>Eduardo Silva dos Santos</t>
  </si>
  <si>
    <t>2026-04-152285797203</t>
  </si>
  <si>
    <t>Pagamento com QR Pix REDE MENOR PRECO SUPERMERCADO LTDA</t>
  </si>
  <si>
    <t>152309349407</t>
  </si>
  <si>
    <t>REDE MENOR PRECO SUPERMERCADO LTDA</t>
  </si>
  <si>
    <t>2026-04-152309349407</t>
  </si>
  <si>
    <t>Pix enviado Estacao 89 Comercio Varejista de Alimentos Ltda</t>
  </si>
  <si>
    <t>152317783031</t>
  </si>
  <si>
    <t>Estacao 89 Comercio Varejista de Alimentos Ltda</t>
  </si>
  <si>
    <t>2026-04-152317783031</t>
  </si>
  <si>
    <t>Pagamento com QR Pix REDE BOM COMERCIO LTDA</t>
  </si>
  <si>
    <t>152995794336</t>
  </si>
  <si>
    <t>REDE BOM COMERCIO LTDA</t>
  </si>
  <si>
    <t>2026-04-152995794336</t>
  </si>
  <si>
    <t>Pagamento de conta Vivo Móvel SP</t>
  </si>
  <si>
    <t>153040899150</t>
  </si>
  <si>
    <t>Telecommunications</t>
  </si>
  <si>
    <t>Mobile / telecom</t>
  </si>
  <si>
    <t>Vivo Móvel SP</t>
  </si>
  <si>
    <t>2026-04-153040899150</t>
  </si>
  <si>
    <t>1741860789671</t>
  </si>
  <si>
    <t>2026-04-1741860789671</t>
  </si>
  <si>
    <t>Pix enviado Tambau Jampa Comercio de Bolos Ltda</t>
  </si>
  <si>
    <t>152408085079</t>
  </si>
  <si>
    <t>Tambau Jampa Comercio de Bolos Ltda</t>
  </si>
  <si>
    <t>2026-04-152408085079</t>
  </si>
  <si>
    <t>Pagamento com QR Pix MERCADINHO LACANTO LTDA</t>
  </si>
  <si>
    <t>152742062685</t>
  </si>
  <si>
    <t>MERCADINHO LACANTO LTDA</t>
  </si>
  <si>
    <t>2026-04-152742062685</t>
  </si>
  <si>
    <t>153473539648</t>
  </si>
  <si>
    <t>2026-04-153473539648</t>
  </si>
  <si>
    <t>1741894471920</t>
  </si>
  <si>
    <t>2026-04-1741894471920</t>
  </si>
  <si>
    <t>Pix enviado Gleudson Silva Farias</t>
  </si>
  <si>
    <t>152926299217</t>
  </si>
  <si>
    <t>Gleudson Silva Farias</t>
  </si>
  <si>
    <t>2026-04-152926299217</t>
  </si>
  <si>
    <t>152982291023</t>
  </si>
  <si>
    <t>2026-04-152982291023</t>
  </si>
  <si>
    <t>Pagamento com QR Pix UBER DO BRASIL TECNOLOGIA LTDA.</t>
  </si>
  <si>
    <t>152986917211</t>
  </si>
  <si>
    <t>Transport</t>
  </si>
  <si>
    <t>Uber</t>
  </si>
  <si>
    <t>UBER DO BRASIL TECNOLOGIA LTDA.</t>
  </si>
  <si>
    <t>2026-04-152986917211</t>
  </si>
  <si>
    <t>153702911324</t>
  </si>
  <si>
    <t>2026-04-153702911324</t>
  </si>
  <si>
    <t>153706657664</t>
  </si>
  <si>
    <t>2026-04-153706657664</t>
  </si>
  <si>
    <t>1741975004040</t>
  </si>
  <si>
    <t>2026-04-1741975004040</t>
  </si>
  <si>
    <t>Pagamento com QR Pix THF RESTAURANTES LTDA</t>
  </si>
  <si>
    <t>153014651109</t>
  </si>
  <si>
    <t>Dining</t>
  </si>
  <si>
    <t>Restaurants / delivery</t>
  </si>
  <si>
    <t>THF RESTAURANTES LTDA</t>
  </si>
  <si>
    <t>2026-04-153014651109</t>
  </si>
  <si>
    <t>Pix enviado Gerson Botasso</t>
  </si>
  <si>
    <t>153806481256</t>
  </si>
  <si>
    <t>Gerson Botasso</t>
  </si>
  <si>
    <t>2026-04-153806481256</t>
  </si>
  <si>
    <t>Pagamento com QR Pix CHOPERIA GIOVANETTI DO CAMBUI LTDA</t>
  </si>
  <si>
    <t>153890744706</t>
  </si>
  <si>
    <t>CHOPERIA GIOVANETTI DO CAMBUI LTDA</t>
  </si>
  <si>
    <t>2026-04-153890744706</t>
  </si>
  <si>
    <t>1742042464351</t>
  </si>
  <si>
    <t>2026-04-1742042464351</t>
  </si>
  <si>
    <t>Pagamento com QR Pix NICO PANIFICADORA DO CASTELO LTDA</t>
  </si>
  <si>
    <t>153206446865</t>
  </si>
  <si>
    <t>NICO PANIFICADORA DO CASTELO LTDA</t>
  </si>
  <si>
    <t>2026-04-153206446865</t>
  </si>
  <si>
    <t>Pagamento com QR Pix COVABRA SUPERMERCADOS LTDA</t>
  </si>
  <si>
    <t>153266803713</t>
  </si>
  <si>
    <t>COVABRA SUPERMERCADOS LTDA</t>
  </si>
  <si>
    <t>2026-04-153266803713</t>
  </si>
  <si>
    <t>Pix enviado Gabriel Resende Firmino</t>
  </si>
  <si>
    <t>153981525106</t>
  </si>
  <si>
    <t>Gabriel Resende Firmino</t>
  </si>
  <si>
    <t>2026-04-153981525106</t>
  </si>
  <si>
    <t>Pix enviado Br Brake Comercio e Servicos Automotivos Ltda</t>
  </si>
  <si>
    <t>153982013390</t>
  </si>
  <si>
    <t>Automotive</t>
  </si>
  <si>
    <t>Br Brake Comercio e Servicos Automotivos Ltda</t>
  </si>
  <si>
    <t>2026-04-153982013390</t>
  </si>
  <si>
    <t>Pix enviado Williams Firmino dos Santos</t>
  </si>
  <si>
    <t>153982035656</t>
  </si>
  <si>
    <t>Williams Firmino dos Santos</t>
  </si>
  <si>
    <t>2026-04-153982035656</t>
  </si>
  <si>
    <t>154020467652</t>
  </si>
  <si>
    <t>2026-04-154020467652</t>
  </si>
  <si>
    <t>1742104581060</t>
  </si>
  <si>
    <t>2026-04-1742104581060</t>
  </si>
  <si>
    <t>1742167042945</t>
  </si>
  <si>
    <t>2026-04-1742167042945</t>
  </si>
  <si>
    <t>Pagamento com QR Pix BUTIQUIM DO FORTAO LTDA</t>
  </si>
  <si>
    <t>153638155677</t>
  </si>
  <si>
    <t>BUTIQUIM DO FORTAO LTDA</t>
  </si>
  <si>
    <t>2026-04-153638155677</t>
  </si>
  <si>
    <t>153720548055</t>
  </si>
  <si>
    <t>2026-04-153720548055</t>
  </si>
  <si>
    <t>1742236910982</t>
  </si>
  <si>
    <t>2026-04-1742236910982</t>
  </si>
  <si>
    <t>Pagamento com QR Pix B L SERVICE ADMINISTRADORA DE SERVICOS LTDA</t>
  </si>
  <si>
    <t>153965358981</t>
  </si>
  <si>
    <t>B L SERVICE ADMINISTRADORA DE SERVICOS LTDA</t>
  </si>
  <si>
    <t>2026-04-153965358981</t>
  </si>
  <si>
    <t>Pagamento com QR Pix Bessa Express Loja De Proximidade Ltda</t>
  </si>
  <si>
    <t>154040242241</t>
  </si>
  <si>
    <t>Bessa Express Loja De Proximidade Ltda</t>
  </si>
  <si>
    <t>2026-04-154040242241</t>
  </si>
  <si>
    <t>154718263318</t>
  </si>
  <si>
    <t>2026-04-154718263318</t>
  </si>
  <si>
    <t>Pagamento com QR Pix GF4 PARTICIPACOES LTDA</t>
  </si>
  <si>
    <t>154740821490</t>
  </si>
  <si>
    <t>GF4 PARTICIPACOES LTDA</t>
  </si>
  <si>
    <t>2026-04-154740821490</t>
  </si>
  <si>
    <t>Pix enviado Vilberto Pessoa Soares</t>
  </si>
  <si>
    <t>154791728124</t>
  </si>
  <si>
    <t>Vilberto Pessoa Soares</t>
  </si>
  <si>
    <t>2026-04-154791728124</t>
  </si>
  <si>
    <t>1742319199075</t>
  </si>
  <si>
    <t>2026-04-1742319199075</t>
  </si>
  <si>
    <t>154975430216</t>
  </si>
  <si>
    <t>2026-04-154975430216</t>
  </si>
  <si>
    <t>1742377808375</t>
  </si>
  <si>
    <t>2026-04-1742377808375</t>
  </si>
  <si>
    <t>Pagamento com QR Pix TELEFONICA BRASIL S.A.</t>
  </si>
  <si>
    <t>155004973156</t>
  </si>
  <si>
    <t>TELEFONICA BRASIL S.A.</t>
  </si>
  <si>
    <t>2026-04-155004973156</t>
  </si>
  <si>
    <t>155021530678</t>
  </si>
  <si>
    <t>2026-04-155021530678</t>
  </si>
  <si>
    <t>155033328056</t>
  </si>
  <si>
    <t>2026-04-155033328056</t>
  </si>
  <si>
    <t>1742443569115</t>
  </si>
  <si>
    <t>2026-04-1742443569115</t>
  </si>
  <si>
    <t>1742513417452</t>
  </si>
  <si>
    <t>2026-04-1742513417452</t>
  </si>
  <si>
    <t>Pagamento GOOGLE BRASIL PAGAMENTOS LTDA.</t>
  </si>
  <si>
    <t>154833745935</t>
  </si>
  <si>
    <t>Digital Services</t>
  </si>
  <si>
    <t>Google</t>
  </si>
  <si>
    <t>2026-04-154833745935</t>
  </si>
  <si>
    <t>1742580467993</t>
  </si>
  <si>
    <t>2026-04-1742580467993</t>
  </si>
  <si>
    <t>Pagamento com QR Pix 55.103.928 MARIA EDUARDA CARDOSO DA COSTA</t>
  </si>
  <si>
    <t>155201852175</t>
  </si>
  <si>
    <t>55.103.928 MARIA EDUARDA CARDOSO DA COSTA</t>
  </si>
  <si>
    <t>2026-04-155201852175</t>
  </si>
  <si>
    <t>Pix recebido EDIMILSON RAMOS DE OLIVEIRA JUNIOR</t>
  </si>
  <si>
    <t>155901253900</t>
  </si>
  <si>
    <t>External Transfer Received</t>
  </si>
  <si>
    <t>Received Pix</t>
  </si>
  <si>
    <t>EDIMILSON RAMOS DE OLIVEIRA JUNIOR</t>
  </si>
  <si>
    <t>2026-04-155901253900</t>
  </si>
  <si>
    <t>1742699139127</t>
  </si>
  <si>
    <t>2026-04-1742699139127</t>
  </si>
  <si>
    <t>Pagamento com QR Pix Amanda Gabrielle Freire De Souza</t>
  </si>
  <si>
    <t>155352443049</t>
  </si>
  <si>
    <t>Amanda Gabrielle Freire De Souza</t>
  </si>
  <si>
    <t>2026-04-155352443049</t>
  </si>
  <si>
    <t>1742769856085</t>
  </si>
  <si>
    <t>2026-04-1742769856085</t>
  </si>
  <si>
    <t>1742830331657</t>
  </si>
  <si>
    <t>2026-04-1742830331657</t>
  </si>
  <si>
    <t>1742901877439</t>
  </si>
  <si>
    <t>2026-04-1742901877439</t>
  </si>
  <si>
    <t>1742982409308</t>
  </si>
  <si>
    <t>2026-04-1742982409308</t>
  </si>
  <si>
    <t>1743040115437</t>
  </si>
  <si>
    <t>2026-04-1743040115437</t>
  </si>
  <si>
    <t>Transferência recebida EDUARDO FORSTER GIOVANNINI</t>
  </si>
  <si>
    <t>156287893239</t>
  </si>
  <si>
    <t>Internal Transfer</t>
  </si>
  <si>
    <t>Funding / self transfer</t>
  </si>
  <si>
    <t>EDUARDO FORSTER GIOVANNINI</t>
  </si>
  <si>
    <t>2026-04-156287893239</t>
  </si>
  <si>
    <t>1743110260953</t>
  </si>
  <si>
    <t>2026-04-1743110260953</t>
  </si>
  <si>
    <t>Pix enviado Maria da Luz Assis da Silva</t>
  </si>
  <si>
    <t>156482764763</t>
  </si>
  <si>
    <t>Maria da Luz Assis da Silva</t>
  </si>
  <si>
    <t>2026-05-156482764763</t>
  </si>
  <si>
    <t>Pix enviado Eduardo Forster Giovannini</t>
  </si>
  <si>
    <t>157277283070</t>
  </si>
  <si>
    <t>Eduardo Forster Giovannini</t>
  </si>
  <si>
    <t>2026-05-157277283070</t>
  </si>
  <si>
    <t>157503123146</t>
  </si>
  <si>
    <t>2026-05-157503123146</t>
  </si>
  <si>
    <t>156852973721</t>
  </si>
  <si>
    <t>2026-05-156852973721</t>
  </si>
  <si>
    <t>1743176355208</t>
  </si>
  <si>
    <t>2026-05-1743176355208</t>
  </si>
  <si>
    <t>Pagamento Cartão de crédito</t>
  </si>
  <si>
    <t>157139914617</t>
  </si>
  <si>
    <t>Credit Card Settlement</t>
  </si>
  <si>
    <t>Credit card</t>
  </si>
  <si>
    <t>2026-05-157139914617</t>
  </si>
  <si>
    <t>Pagamento SALUTARE MEDICINA E SAUDE</t>
  </si>
  <si>
    <t>157802402212</t>
  </si>
  <si>
    <t>Health</t>
  </si>
  <si>
    <t>Health / pharmacy</t>
  </si>
  <si>
    <t>2026-05-157802402212</t>
  </si>
  <si>
    <t>157905028464</t>
  </si>
  <si>
    <t>2026-05-157905028464</t>
  </si>
  <si>
    <t>157907424040</t>
  </si>
  <si>
    <t>2026-05-157907424040</t>
  </si>
  <si>
    <t>1743260411771</t>
  </si>
  <si>
    <t>2026-05-1743260411771</t>
  </si>
  <si>
    <t>157214670055</t>
  </si>
  <si>
    <t>2026-05-157214670055</t>
  </si>
  <si>
    <t>157231141069</t>
  </si>
  <si>
    <t>2026-05-157231141069</t>
  </si>
  <si>
    <t>Pix enviado Casa dos Criadores Comercio Ltda</t>
  </si>
  <si>
    <t>157252225025</t>
  </si>
  <si>
    <t>Purchases &amp; Services</t>
  </si>
  <si>
    <t>Business / service</t>
  </si>
  <si>
    <t>Casa dos Criadores Comercio Ltda</t>
  </si>
  <si>
    <t>2026-05-157252225025</t>
  </si>
  <si>
    <t>157981953362</t>
  </si>
  <si>
    <t>2026-05-157981953362</t>
  </si>
  <si>
    <t>158021830828</t>
  </si>
  <si>
    <t>2026-05-158021830828</t>
  </si>
  <si>
    <t>1743324850487</t>
  </si>
  <si>
    <t>2026-05-1743324850487</t>
  </si>
  <si>
    <t>Pagamento com QR Pix VINDI PAGAMENTOS SA</t>
  </si>
  <si>
    <t>157467292465</t>
  </si>
  <si>
    <t>VINDI PAGAMENTOS SA</t>
  </si>
  <si>
    <t>2026-05-157467292465</t>
  </si>
  <si>
    <t>1743387752167</t>
  </si>
  <si>
    <t>2026-05-1743387752167</t>
  </si>
  <si>
    <t>Pagamento com QR Pix PANIFICADORA SAO GONCALO LTDA</t>
  </si>
  <si>
    <t>157566215629</t>
  </si>
  <si>
    <t>PANIFICADORA SAO GONCALO LTDA</t>
  </si>
  <si>
    <t>2026-05-157566215629</t>
  </si>
  <si>
    <t>Pagamento com QR Pix SUPERMERCADO LITORAL LTDA</t>
  </si>
  <si>
    <t>157570731541</t>
  </si>
  <si>
    <t>SUPERMERCADO LITORAL LTDA</t>
  </si>
  <si>
    <t>2026-05-157570731541</t>
  </si>
  <si>
    <t>157589983803</t>
  </si>
  <si>
    <t>2026-05-157589983803</t>
  </si>
  <si>
    <t>Pagamento Mercado Libre</t>
  </si>
  <si>
    <t>157607162465</t>
  </si>
  <si>
    <t>E-commerce</t>
  </si>
  <si>
    <t>Mercado Libre</t>
  </si>
  <si>
    <t>2026-05-157607162465</t>
  </si>
  <si>
    <t>158276307540</t>
  </si>
  <si>
    <t>2026-05-158276307540</t>
  </si>
  <si>
    <t>1743455883028</t>
  </si>
  <si>
    <t>2026-05-1743455883028</t>
  </si>
  <si>
    <t>157692336095</t>
  </si>
  <si>
    <t>2026-05-157692336095</t>
  </si>
  <si>
    <t>157713825511</t>
  </si>
  <si>
    <t>2026-05-157713825511</t>
  </si>
  <si>
    <t>158711310526</t>
  </si>
  <si>
    <t>2026-05-158711310526</t>
  </si>
  <si>
    <t>Pix enviado MEGA BYTE COMPUTADORES</t>
  </si>
  <si>
    <t>158738697878</t>
  </si>
  <si>
    <t>MEGA BYTE COMPUTADORES</t>
  </si>
  <si>
    <t>2026-05-158738697878</t>
  </si>
  <si>
    <t>Pagamento com QR Pix SECRETARIA DE ESTADO DA FAZENDA SEFAZ PB</t>
  </si>
  <si>
    <t>158765690240</t>
  </si>
  <si>
    <t>Taxes &amp; Government</t>
  </si>
  <si>
    <t>Government</t>
  </si>
  <si>
    <t>SECRETARIA DE ESTADO DA FAZENDA SEFAZ PB</t>
  </si>
  <si>
    <t>2026-05-158765690240</t>
  </si>
  <si>
    <t>1743527514456</t>
  </si>
  <si>
    <t>2026-05-1743527514456</t>
  </si>
  <si>
    <t>158199268649</t>
  </si>
  <si>
    <t>2026-05-158199268649</t>
  </si>
  <si>
    <t>158978731712</t>
  </si>
  <si>
    <t>2026-05-158978731712</t>
  </si>
  <si>
    <t>Pagamento com QR Pix ATLANTICO SUL HOTELARIA E RESTAURANTES L</t>
  </si>
  <si>
    <t>158997083882</t>
  </si>
  <si>
    <t>ATLANTICO SUL HOTELARIA E RESTAURANTES L</t>
  </si>
  <si>
    <t>2026-05-158997083882</t>
  </si>
  <si>
    <t>Pagamento com QR Pix LINDEMBERG FRANCISCO DA SILVA</t>
  </si>
  <si>
    <t>159034648594</t>
  </si>
  <si>
    <t>LINDEMBERG FRANCISCO DA SILVA</t>
  </si>
  <si>
    <t>2026-05-159034648594</t>
  </si>
  <si>
    <t>1743608351070</t>
  </si>
  <si>
    <t>2026-05-1743608351070</t>
  </si>
  <si>
    <t>1743680014253</t>
  </si>
  <si>
    <t>2026-05-1743680014253</t>
  </si>
  <si>
    <t>158525703339</t>
  </si>
  <si>
    <t>2026-05-158525703339</t>
  </si>
  <si>
    <t>1743740277941</t>
  </si>
  <si>
    <t>2026-05-1743740277941</t>
  </si>
  <si>
    <t>Pix enviado LUMIAR HEALTH BUILDERS EQUIPAMENTOS HOSPITALARES LTDA</t>
  </si>
  <si>
    <t>158627713907</t>
  </si>
  <si>
    <t>LUMIAR HEALTH BUILDERS EQUIPAMENTOS HOSPITALARES LTDA</t>
  </si>
  <si>
    <t>2026-05-158627713907</t>
  </si>
  <si>
    <t>Pagamento com QR Pix Matias Alejandro Sanchez Suarez</t>
  </si>
  <si>
    <t>158720150329</t>
  </si>
  <si>
    <t>Matias Alejandro Sanchez Suarez</t>
  </si>
  <si>
    <t>2026-05-158720150329</t>
  </si>
  <si>
    <t>Pagamento com QR Pix EDNA DA SILVA ROCHA</t>
  </si>
  <si>
    <t>159368262616</t>
  </si>
  <si>
    <t>EDNA DA SILVA ROCHA</t>
  </si>
  <si>
    <t>2026-05-159368262616</t>
  </si>
  <si>
    <t>159477158596</t>
  </si>
  <si>
    <t>2026-05-159477158596</t>
  </si>
  <si>
    <t>1743806389661</t>
  </si>
  <si>
    <t>2026-05-1743806389661</t>
  </si>
  <si>
    <t>158876698655</t>
  </si>
  <si>
    <t>2026-05-158876698655</t>
  </si>
  <si>
    <t>Pagamento com QR Pix JACARE COMERCIO DE COMBUSTIVEIS LTDA</t>
  </si>
  <si>
    <t>159556144598</t>
  </si>
  <si>
    <t>Fuel</t>
  </si>
  <si>
    <t>Fuel station</t>
  </si>
  <si>
    <t>JACARE COMERCIO DE COMBUSTIVEIS LTDA</t>
  </si>
  <si>
    <t>2026-05-159556144598</t>
  </si>
  <si>
    <t>158921915515</t>
  </si>
  <si>
    <t>2026-05-158921915515</t>
  </si>
  <si>
    <t>Pagamento com QR Pix UMI SUSHI BAR LTDA</t>
  </si>
  <si>
    <t>159782722086</t>
  </si>
  <si>
    <t>UMI SUSHI BAR LTDA</t>
  </si>
  <si>
    <t>2026-05-159782722086</t>
  </si>
  <si>
    <t>159069634595</t>
  </si>
  <si>
    <t>2026-05-159069634595</t>
  </si>
  <si>
    <t>Pix enviado Ewerton de Sousa Emeri</t>
  </si>
  <si>
    <t>159848695704</t>
  </si>
  <si>
    <t>Ewerton de Sousa Emeri</t>
  </si>
  <si>
    <t>2026-05-159848695704</t>
  </si>
  <si>
    <t>1743878340337</t>
  </si>
  <si>
    <t>2026-05-1743878340337</t>
  </si>
  <si>
    <t>1743959522015</t>
  </si>
  <si>
    <t>2026-05-1743959522015</t>
  </si>
  <si>
    <t>160115426126</t>
  </si>
  <si>
    <t>2026-05-160115426126</t>
  </si>
  <si>
    <t>1744023964803</t>
  </si>
  <si>
    <t>2026-05-1744023964803</t>
  </si>
  <si>
    <t>1744090581773</t>
  </si>
  <si>
    <t>2026-05-1744090581773</t>
  </si>
  <si>
    <t>1744156081670</t>
  </si>
  <si>
    <t>2026-05-1744156081670</t>
  </si>
  <si>
    <t>160985845840</t>
  </si>
  <si>
    <t>2026-05-160985845840</t>
  </si>
  <si>
    <t>1744220281503</t>
  </si>
  <si>
    <t>2026-05-1744220281503</t>
  </si>
  <si>
    <t>161143729776</t>
  </si>
  <si>
    <t>2026-05-161143729776</t>
  </si>
  <si>
    <t>1744264426037</t>
  </si>
  <si>
    <t>2026-05-1744264426037</t>
  </si>
  <si>
    <t>160519108265</t>
  </si>
  <si>
    <t>2026-05-160519108265</t>
  </si>
  <si>
    <t>1744336964814</t>
  </si>
  <si>
    <t>2026-05-1744336964814</t>
  </si>
  <si>
    <t>Pix recebido EDUARDO F GIOVANNINI</t>
  </si>
  <si>
    <t>160583092359</t>
  </si>
  <si>
    <t>EDUARDO F GIOVANNINI</t>
  </si>
  <si>
    <t>2026-05-160583092359</t>
  </si>
  <si>
    <t>160584707703</t>
  </si>
  <si>
    <t>2026-05-160584707703</t>
  </si>
  <si>
    <t>161453335256</t>
  </si>
  <si>
    <t>2026-05-161453335256</t>
  </si>
  <si>
    <t>1744402543850</t>
  </si>
  <si>
    <t>2026-05-1744402543850</t>
  </si>
  <si>
    <t>160803252937</t>
  </si>
  <si>
    <t>2026-05-160803252937</t>
  </si>
  <si>
    <t>Pagamento com código QR Erasmo Luiz Travassos De Souza</t>
  </si>
  <si>
    <t>161616983178</t>
  </si>
  <si>
    <t>Merchant Purchase</t>
  </si>
  <si>
    <t>Merchant / QR Pix</t>
  </si>
  <si>
    <t>Erasmo Luiz Travassos De Souza</t>
  </si>
  <si>
    <t>2026-05-161616983178</t>
  </si>
  <si>
    <t>Pagamento com QR Pix VIRGINIA BARROS VIEIRA</t>
  </si>
  <si>
    <t>161627388234</t>
  </si>
  <si>
    <t>VIRGINIA BARROS VIEIRA</t>
  </si>
  <si>
    <t>2026-05-161627388234</t>
  </si>
  <si>
    <t>Pix enviado Maria Edilza de Souza</t>
  </si>
  <si>
    <t>161629808910</t>
  </si>
  <si>
    <t>Maria Edilza de Souza</t>
  </si>
  <si>
    <t>2026-05-161629808910</t>
  </si>
  <si>
    <t>1744469902926</t>
  </si>
  <si>
    <t>2026-05-1744469902926</t>
  </si>
  <si>
    <t>Pagamento com QR Pix ENERGISA PARAIBA - DISTRIBUIDORA DE ENERGIA S.A</t>
  </si>
  <si>
    <t>161722276508</t>
  </si>
  <si>
    <t>ENERGISA PARAIBA - DISTRIBUIDORA DE ENERGIA S.A</t>
  </si>
  <si>
    <t>2026-05-161722276508</t>
  </si>
  <si>
    <t>161722772400</t>
  </si>
  <si>
    <t>2026-05-161722772400</t>
  </si>
  <si>
    <t>161051451749</t>
  </si>
  <si>
    <t>2026-05-161051451749</t>
  </si>
  <si>
    <t>Pagamento Mercado Livre</t>
  </si>
  <si>
    <t>161087686309</t>
  </si>
  <si>
    <t>2026-05-161087686309</t>
  </si>
  <si>
    <t>161880342250</t>
  </si>
  <si>
    <t>2026-05-161880342250</t>
  </si>
  <si>
    <t>161901119204</t>
  </si>
  <si>
    <t>2026-05-161901119204</t>
  </si>
  <si>
    <t>161177447109</t>
  </si>
  <si>
    <t>MercadoPago.pdf</t>
  </si>
  <si>
    <t>2026-06-161177447109</t>
  </si>
  <si>
    <t>161972213288</t>
  </si>
  <si>
    <t>2026-06-161972213288</t>
  </si>
  <si>
    <t>161993896860</t>
  </si>
  <si>
    <t>2026-06-161993896860</t>
  </si>
  <si>
    <t>1744539734583</t>
  </si>
  <si>
    <t>2026-06-1744539734583</t>
  </si>
  <si>
    <t>161457148295</t>
  </si>
  <si>
    <t>2026-06-161457148295</t>
  </si>
  <si>
    <t>Pix enviado Jonathan Borba da Silva</t>
  </si>
  <si>
    <t>162229671794</t>
  </si>
  <si>
    <t>Jonathan Borba da Silva</t>
  </si>
  <si>
    <t>2026-06-162229671794</t>
  </si>
  <si>
    <t>162231392520</t>
  </si>
  <si>
    <t>2026-06-162231392520</t>
  </si>
  <si>
    <t>1744624699005</t>
  </si>
  <si>
    <t>2026-06-1744624699005</t>
  </si>
  <si>
    <t>161612165053</t>
  </si>
  <si>
    <t>2026-06-161612165053</t>
  </si>
  <si>
    <t>Pagamento com QR Pix PEDRO HENRIQUE ALMEIDA DANTAS</t>
  </si>
  <si>
    <t>162363729096</t>
  </si>
  <si>
    <t>PEDRO HENRIQUE ALMEIDA DANTAS</t>
  </si>
  <si>
    <t>2026-06-162363729096</t>
  </si>
  <si>
    <t>1744683051011</t>
  </si>
  <si>
    <t>2026-06-1744683051011</t>
  </si>
  <si>
    <t>161694231459</t>
  </si>
  <si>
    <t>2026-06-161694231459</t>
  </si>
  <si>
    <t>Pagamento com QR Pix AUTO POSTO INTERMARES LTDA</t>
  </si>
  <si>
    <t>161774339399</t>
  </si>
  <si>
    <t>AUTO POSTO INTERMARES LTDA</t>
  </si>
  <si>
    <t>2026-06-161774339399</t>
  </si>
  <si>
    <t>Pagamento com QR Pix DROGARIA DROGAVISTA LTDA</t>
  </si>
  <si>
    <t>161774623709</t>
  </si>
  <si>
    <t>DROGARIA DROGAVISTA LTDA</t>
  </si>
  <si>
    <t>2026-06-161774623709</t>
  </si>
  <si>
    <t>Pagamento com QR Pix COMERCIAL DE ALIMENTOS HORA H LTDA</t>
  </si>
  <si>
    <t>161775266583</t>
  </si>
  <si>
    <t>COMERCIAL DE ALIMENTOS HORA H LTDA</t>
  </si>
  <si>
    <t>2026-06-161775266583</t>
  </si>
  <si>
    <t>Pagamento com QR Pix ELSE LUDIMILLA CAVALCANTE DREYER DINN</t>
  </si>
  <si>
    <t>161775887019</t>
  </si>
  <si>
    <t>ELSE LUDIMILLA CAVALCANTE DREYER DINN</t>
  </si>
  <si>
    <t>2026-06-161775887019</t>
  </si>
  <si>
    <t>162492669506</t>
  </si>
  <si>
    <t>2026-06-162492669506</t>
  </si>
  <si>
    <t>161885578685</t>
  </si>
  <si>
    <t>2026-06-161885578685</t>
  </si>
  <si>
    <t>162686702112</t>
  </si>
  <si>
    <t>2026-06-162686702112</t>
  </si>
  <si>
    <t>Pix enviado Veronica Freitas Lira</t>
  </si>
  <si>
    <t>162730765138</t>
  </si>
  <si>
    <t>Veronica Freitas Lira</t>
  </si>
  <si>
    <t>2026-06-162730765138</t>
  </si>
  <si>
    <t>1744801360987</t>
  </si>
  <si>
    <t>2026-06-1744801360987</t>
  </si>
  <si>
    <t>162033938523</t>
  </si>
  <si>
    <t>2026-06-162033938523</t>
  </si>
  <si>
    <t>Pagamento com QR Pix MFT - MADEIRA FERMELA TRENDS FOODS LTDA</t>
  </si>
  <si>
    <t>162055205089</t>
  </si>
  <si>
    <t>MFT - MADEIRA FERMELA TRENDS FOODS LTDA</t>
  </si>
  <si>
    <t>2026-06-162055205089</t>
  </si>
  <si>
    <t>162056531603</t>
  </si>
  <si>
    <t>2026-06-162056531603</t>
  </si>
  <si>
    <t>Pagamento com QR Pix BBP GASTRONOMIA LTDA</t>
  </si>
  <si>
    <t>162112697031</t>
  </si>
  <si>
    <t>BBP GASTRONOMIA LTDA</t>
  </si>
  <si>
    <t>2026-06-162112697031</t>
  </si>
  <si>
    <t>DROGAMAR MEDICAMENTOS E</t>
  </si>
  <si>
    <t>162830267966</t>
  </si>
  <si>
    <t>2026-06-162830267966</t>
  </si>
  <si>
    <t>162845628436</t>
  </si>
  <si>
    <t>2026-06-162845628436</t>
  </si>
  <si>
    <t>162348473661</t>
  </si>
  <si>
    <t>2026-06-162348473661</t>
  </si>
  <si>
    <t>1744878873282</t>
  </si>
  <si>
    <t>2026-06-1744878873282</t>
  </si>
  <si>
    <t>1744963697093</t>
  </si>
  <si>
    <t>2026-06-1744963697093</t>
  </si>
  <si>
    <t>163466907332</t>
  </si>
  <si>
    <t>2026-06-163466907332</t>
  </si>
  <si>
    <t>1745028810537</t>
  </si>
  <si>
    <t>2026-06-1745028810537</t>
  </si>
  <si>
    <t>1745099110608</t>
  </si>
  <si>
    <t>2026-06-1745099110608</t>
  </si>
  <si>
    <t>1745172275984</t>
  </si>
  <si>
    <t>2026-06-1745172275984</t>
  </si>
  <si>
    <t>163965988564</t>
  </si>
  <si>
    <t>2026-06-163965988564</t>
  </si>
  <si>
    <t>164100571848</t>
  </si>
  <si>
    <t>2026-06-164100571848</t>
  </si>
  <si>
    <t>1745239670517</t>
  </si>
  <si>
    <t>2026-06-1745239670517</t>
  </si>
  <si>
    <t>1745286157555</t>
  </si>
  <si>
    <t>2026-06-1745286157555</t>
  </si>
  <si>
    <t>1745360513722</t>
  </si>
  <si>
    <t>2026-06-1745360513722</t>
  </si>
  <si>
    <t>1745429382164</t>
  </si>
  <si>
    <t>2026-06-1745429382164</t>
  </si>
  <si>
    <t>164088596127</t>
  </si>
  <si>
    <t>2026-06-164088596127</t>
  </si>
  <si>
    <t>1745498110981</t>
  </si>
  <si>
    <t>2026-06-1745498110981</t>
  </si>
  <si>
    <t>164328795951</t>
  </si>
  <si>
    <t>2026-06-164328795951</t>
  </si>
  <si>
    <t>1745570971932</t>
  </si>
  <si>
    <t>2026-06-1745570971932</t>
  </si>
  <si>
    <t>166304840980</t>
  </si>
  <si>
    <t>2026-06-166304840980</t>
  </si>
  <si>
    <t>165614947201</t>
  </si>
  <si>
    <t>2026-06-165614947201</t>
  </si>
  <si>
    <t>1746002229340</t>
  </si>
  <si>
    <t>2026-06-1746002229340</t>
  </si>
  <si>
    <t>Pix enviado Bianca Mikaella Nascimento Lima</t>
  </si>
  <si>
    <t>165822170651</t>
  </si>
  <si>
    <t>Bianca Mikaella Nascimento Lima</t>
  </si>
  <si>
    <t>MercadoPago 3.pdf</t>
  </si>
  <si>
    <t>2026-07-165822170651</t>
  </si>
  <si>
    <t>165843214821</t>
  </si>
  <si>
    <t>2026-07-165843214821</t>
  </si>
  <si>
    <t>166600401824</t>
  </si>
  <si>
    <t>2026-07-166600401824</t>
  </si>
  <si>
    <t>Pix recebido TATIANA MORIMOTO</t>
  </si>
  <si>
    <t>166664687334</t>
  </si>
  <si>
    <t>TATIANA MORIMOTO</t>
  </si>
  <si>
    <t>2026-07-166664687334</t>
  </si>
  <si>
    <t>1746071372052</t>
  </si>
  <si>
    <t>2026-07-1746071372052</t>
  </si>
  <si>
    <t>1746141260127</t>
  </si>
  <si>
    <t>2026-07-1746141260127</t>
  </si>
  <si>
    <t>166989150624</t>
  </si>
  <si>
    <t>2026-07-166989150624</t>
  </si>
  <si>
    <t>1746213299643</t>
  </si>
  <si>
    <t>2026-07-1746213299643</t>
  </si>
  <si>
    <t>Pagamento de conta BANCO XP S.A</t>
  </si>
  <si>
    <t>167209829252</t>
  </si>
  <si>
    <t>Bills &amp; Services</t>
  </si>
  <si>
    <t>Bill payment</t>
  </si>
  <si>
    <t>BANCO XP S.A</t>
  </si>
  <si>
    <t>2026-07-167209829252</t>
  </si>
  <si>
    <t>166510300355</t>
  </si>
  <si>
    <t>2026-07-166510300355</t>
  </si>
  <si>
    <t>166560927621</t>
  </si>
  <si>
    <t>2026-07-166560927621</t>
  </si>
  <si>
    <t>Pagamento com QR Pix TIM S A</t>
  </si>
  <si>
    <t>166564097417</t>
  </si>
  <si>
    <t>TIM S A</t>
  </si>
  <si>
    <t>2026-07-166564097417</t>
  </si>
  <si>
    <t>166564228585</t>
  </si>
  <si>
    <t>2026-07-166564228585</t>
  </si>
  <si>
    <t>166642420855</t>
  </si>
  <si>
    <t>2026-07-166642420855</t>
  </si>
  <si>
    <t>1746287484689</t>
  </si>
  <si>
    <t>2026-07-1746287484689</t>
  </si>
  <si>
    <t>166747081089</t>
  </si>
  <si>
    <t>2026-07-166747081089</t>
  </si>
  <si>
    <t>166801634625</t>
  </si>
  <si>
    <t>2026-07-166801634625</t>
  </si>
  <si>
    <t>1746369624846</t>
  </si>
  <si>
    <t>2026-07-1746369624846</t>
  </si>
  <si>
    <t>166972839363</t>
  </si>
  <si>
    <t>2026-07-166972839363</t>
  </si>
  <si>
    <t>1746440516625</t>
  </si>
  <si>
    <t>2026-07-1746440516625</t>
  </si>
  <si>
    <t>Pagamento com QR Pix ROMA VAREJO LTDA</t>
  </si>
  <si>
    <t>167930404114</t>
  </si>
  <si>
    <t>ROMA VAREJO LTDA</t>
  </si>
  <si>
    <t>2026-07-167930404114</t>
  </si>
  <si>
    <t>1746508534022</t>
  </si>
  <si>
    <t>2026-07-1746508534022</t>
  </si>
  <si>
    <t>167316433679</t>
  </si>
  <si>
    <t>2026-07-167316433679</t>
  </si>
  <si>
    <t>1746544410775</t>
  </si>
  <si>
    <t>2026-07-1746544410775</t>
  </si>
  <si>
    <t>168307215268</t>
  </si>
  <si>
    <t>2026-07-168307215268</t>
  </si>
  <si>
    <t>MULTIDISPLAY COMERCIO E SERVICOS TECNOLOGICOS</t>
  </si>
  <si>
    <t>167628441103</t>
  </si>
  <si>
    <t>Other</t>
  </si>
  <si>
    <t>2026-07-167628441103</t>
  </si>
  <si>
    <t>Pagamento de conta RENTAL PROJECTA SERVICOS E LOCACAO LTDA</t>
  </si>
  <si>
    <t>168631780840</t>
  </si>
  <si>
    <t>RENTAL PROJECTA SERVICOS E LOCACAO LTDA</t>
  </si>
  <si>
    <t>2026-07-168631780840</t>
  </si>
  <si>
    <t>168671821000</t>
  </si>
  <si>
    <t>2026-07-168671821000</t>
  </si>
  <si>
    <t>1746590372411</t>
  </si>
  <si>
    <t>2026-07-1746590372411</t>
  </si>
  <si>
    <t>167980814895</t>
  </si>
  <si>
    <t>2026-07-167980814895</t>
  </si>
  <si>
    <t>1746677743463</t>
  </si>
  <si>
    <t>2026-07-1746677743463</t>
  </si>
  <si>
    <t>1746742728060</t>
  </si>
  <si>
    <t>2026-07-1746742728060</t>
  </si>
  <si>
    <t>1746813710616</t>
  </si>
  <si>
    <t>2026-07-1746813710616</t>
  </si>
  <si>
    <t>168398084911</t>
  </si>
  <si>
    <t>2026-07-168398084911</t>
  </si>
  <si>
    <t>1746882225828</t>
  </si>
  <si>
    <t>2026-07-1746882225828</t>
  </si>
  <si>
    <t>168576463395</t>
  </si>
  <si>
    <t>2026-07-168576463395</t>
  </si>
  <si>
    <t>Pagamento com QR Pix THALES JERONIMO DO NASCIMENTO SEIXAS</t>
  </si>
  <si>
    <t>168610795753</t>
  </si>
  <si>
    <t>THALES JERONIMO DO NASCIMENTO SEIXAS</t>
  </si>
  <si>
    <t>2026-07-168610795753</t>
  </si>
  <si>
    <t>168727528099</t>
  </si>
  <si>
    <t>2026-07-168727528099</t>
  </si>
  <si>
    <t>169650573934</t>
  </si>
  <si>
    <t>2026-07-169650573934</t>
  </si>
  <si>
    <t>1746956554470</t>
  </si>
  <si>
    <t>2026-07-1746956554470</t>
  </si>
  <si>
    <t>ESTACAO 89 COMERCIO VAREJISTA DE ALIMENTOS</t>
  </si>
  <si>
    <t>168953262229</t>
  </si>
  <si>
    <t>2026-07-168953262229</t>
  </si>
  <si>
    <t>169817013134</t>
  </si>
  <si>
    <t>2026-07-169817013134</t>
  </si>
  <si>
    <t>1747042993232</t>
  </si>
  <si>
    <t>2026-07-1747042993232</t>
  </si>
  <si>
    <t>169115002867</t>
  </si>
  <si>
    <t>2026-07-169115002867</t>
  </si>
  <si>
    <t>169990121594</t>
  </si>
  <si>
    <t>2026-07-169990121594</t>
  </si>
  <si>
    <t>1747106862287</t>
  </si>
  <si>
    <t>2026-07-1747106862287</t>
  </si>
  <si>
    <t>Pagamento com QR Pix EDR PARK SERVICOS LTDA</t>
  </si>
  <si>
    <t>169374697807</t>
  </si>
  <si>
    <t>Parking</t>
  </si>
  <si>
    <t>EDR PARK SERVICOS LTDA</t>
  </si>
  <si>
    <t>2026-07-169374697807</t>
  </si>
  <si>
    <t>POSTO EXPRESSAO COMBUSTIVEIS E</t>
  </si>
  <si>
    <t>169377701381</t>
  </si>
  <si>
    <t>2026-07-169377701381</t>
  </si>
  <si>
    <t>169377891027</t>
  </si>
  <si>
    <t>2026-07-169377891027</t>
  </si>
  <si>
    <t>Pix enviado Kleiton Mendes da Silva</t>
  </si>
  <si>
    <t>170256835618</t>
  </si>
  <si>
    <t>Kleiton Mendes da Silva</t>
  </si>
  <si>
    <t>2026-07-170256835618</t>
  </si>
  <si>
    <t>1747177536611</t>
  </si>
  <si>
    <t>2026-07-1747177536611</t>
  </si>
  <si>
    <t>169442212353</t>
  </si>
  <si>
    <t>2026-07-169442212353</t>
  </si>
  <si>
    <t>169442634035</t>
  </si>
  <si>
    <t>2026-07-169442634035</t>
  </si>
  <si>
    <t>169503581135</t>
  </si>
  <si>
    <t>2026-07-169503581135</t>
  </si>
  <si>
    <t>1747247526094</t>
  </si>
  <si>
    <t>2026-07-1747247526094</t>
  </si>
  <si>
    <t>170518599304</t>
  </si>
  <si>
    <t>2026-07-170518599304</t>
  </si>
  <si>
    <t>Pix enviado Edney Geovany Florencio da Silva</t>
  </si>
  <si>
    <t>169846755335</t>
  </si>
  <si>
    <t>Edney Geovany Florencio da Silva</t>
  </si>
  <si>
    <t>2026-07-169846755335</t>
  </si>
  <si>
    <t>Pagamento com QR Pix CROSSBORDER TECHNOLOGIES S.A.</t>
  </si>
  <si>
    <t>170738973076</t>
  </si>
  <si>
    <t>CROSSBORDER TECHNOLOGIES S.A.</t>
  </si>
  <si>
    <t>2026-07-170738973076</t>
  </si>
  <si>
    <t>1747320622593</t>
  </si>
  <si>
    <t>2026-07-1747320622593</t>
  </si>
  <si>
    <t>Pix enviado Carpediem Homes</t>
  </si>
  <si>
    <t>170949557946</t>
  </si>
  <si>
    <t>Carpediem Homes</t>
  </si>
  <si>
    <t>2026-07-170949557946</t>
  </si>
  <si>
    <t>1747400081339</t>
  </si>
  <si>
    <t>2026-07-1747400081339</t>
  </si>
  <si>
    <t>1747469957313</t>
  </si>
  <si>
    <t>2026-07-1747469957313</t>
  </si>
  <si>
    <t>1747539269447</t>
  </si>
  <si>
    <t>2026-07-1747539269447</t>
  </si>
  <si>
    <t>Pix enviado Marileide Bento de Lima</t>
  </si>
  <si>
    <t>170466730161</t>
  </si>
  <si>
    <t>Marileide Bento de Lima</t>
  </si>
  <si>
    <t>2026-07-170466730161</t>
  </si>
  <si>
    <t>GRANFER - IMPORTADORA E DISTRIBUIDORA DE</t>
  </si>
  <si>
    <t>170517558051</t>
  </si>
  <si>
    <t>2026-07-170517558051</t>
  </si>
  <si>
    <t>171343440844</t>
  </si>
  <si>
    <t>2026-07-171343440844</t>
  </si>
  <si>
    <t>171381537622</t>
  </si>
  <si>
    <t>2026-07-171381537622</t>
  </si>
  <si>
    <t>171470597412</t>
  </si>
  <si>
    <t>2026-07-171470597412</t>
  </si>
  <si>
    <t>1747611343853</t>
  </si>
  <si>
    <t>2026-07-1747611343853</t>
  </si>
  <si>
    <t>Pagamento com QR Pix Express 24h Mercado E Loja De Proximidade Ltda</t>
  </si>
  <si>
    <t>171642403370</t>
  </si>
  <si>
    <t>Express 24h Mercado E Loja De Proximidade Ltda</t>
  </si>
  <si>
    <t>MercadoPago 2.pdf</t>
  </si>
  <si>
    <t>2026-08-171642403370</t>
  </si>
  <si>
    <t>170947401463</t>
  </si>
  <si>
    <t>2026-08-170947401463</t>
  </si>
  <si>
    <t>1747684279286</t>
  </si>
  <si>
    <t>2026-08-1747684279286</t>
  </si>
  <si>
    <t>171066091881</t>
  </si>
  <si>
    <t>2026-08-171066091881</t>
  </si>
  <si>
    <t>171118122489</t>
  </si>
  <si>
    <t>2026-08-171118122489</t>
  </si>
  <si>
    <t>1747766910378</t>
  </si>
  <si>
    <t>2026-08-1747766910378</t>
  </si>
  <si>
    <t>1747838033033</t>
  </si>
  <si>
    <t>2026-08-1747838033033</t>
  </si>
  <si>
    <t>171402156309</t>
  </si>
  <si>
    <t>2026-08-171402156309</t>
  </si>
  <si>
    <t>Pagamento com QR Pix GLOBAL DISTRIBUICAO DE BENS DE CONSUMO LTDA</t>
  </si>
  <si>
    <t>171499195119</t>
  </si>
  <si>
    <t>GLOBAL DISTRIBUICAO DE BENS DE CONSUMO LTDA</t>
  </si>
  <si>
    <t>2026-08-171499195119</t>
  </si>
  <si>
    <t>172460991898</t>
  </si>
  <si>
    <t>2026-08-172460991898</t>
  </si>
  <si>
    <t>1747910389686</t>
  </si>
  <si>
    <t>2026-08-1747910389686</t>
  </si>
  <si>
    <t>171685970029</t>
  </si>
  <si>
    <t>2026-08-171685970029</t>
  </si>
  <si>
    <t>172633660140</t>
  </si>
  <si>
    <t>2026-08-172633660140</t>
  </si>
  <si>
    <t>1747987059022</t>
  </si>
  <si>
    <t>2026-08-1747987059022</t>
  </si>
  <si>
    <t>172713032514</t>
  </si>
  <si>
    <t>2026-08-172713032514</t>
  </si>
  <si>
    <t>172034376675</t>
  </si>
  <si>
    <t>2026-08-172034376675</t>
  </si>
  <si>
    <t>Pagamento com QR Pix Oficina Wr Mecanica Em Geral Ltda</t>
  </si>
  <si>
    <t>172155746629</t>
  </si>
  <si>
    <t>Oficina Wr Mecanica Em Geral Ltda</t>
  </si>
  <si>
    <t>2026-08-172155746629</t>
  </si>
  <si>
    <t>1748064055292</t>
  </si>
  <si>
    <t>2026-08-1748064055292</t>
  </si>
  <si>
    <t>CONVENIENCIAS LTDA</t>
  </si>
  <si>
    <t>172251197207</t>
  </si>
  <si>
    <t>2026-08-172251197207</t>
  </si>
  <si>
    <t>Pix recebido EDUARDO FORSTER GIOVANNINI</t>
  </si>
  <si>
    <t>172322800945</t>
  </si>
  <si>
    <t>2026-08-172322800945</t>
  </si>
  <si>
    <t>173163831330</t>
  </si>
  <si>
    <t>2026-08-173163831330</t>
  </si>
  <si>
    <t>1748159952013</t>
  </si>
  <si>
    <t>2026-08-1748159952013</t>
  </si>
  <si>
    <t>172418091967</t>
  </si>
  <si>
    <t>2026-08-172418091967</t>
  </si>
  <si>
    <t>172420164291</t>
  </si>
  <si>
    <t>2026-08-172420164291</t>
  </si>
  <si>
    <t>173335700666</t>
  </si>
  <si>
    <t>2026-08-173335700666</t>
  </si>
  <si>
    <t>173336256110</t>
  </si>
  <si>
    <t>2026-08-173336256110</t>
  </si>
  <si>
    <t>Pagamento com QR Pix DOM HENRIQUE CHOPERIA E RESTAURANTE LTDA</t>
  </si>
  <si>
    <t>173457626904</t>
  </si>
  <si>
    <t>DOM HENRIQUE CHOPERIA E RESTAURANTE LTDA</t>
  </si>
  <si>
    <t>2026-08-173457626904</t>
  </si>
  <si>
    <t>1748223027893</t>
  </si>
  <si>
    <t>2026-08-1748223027893</t>
  </si>
  <si>
    <t>Pagamento com QR Pix RAIA DROGASIL S A</t>
  </si>
  <si>
    <t>172787818231</t>
  </si>
  <si>
    <t>RAIA DROGASIL S A</t>
  </si>
  <si>
    <t>2026-08-172787818231</t>
  </si>
  <si>
    <t>1748296463123</t>
  </si>
  <si>
    <t>2026-08-1748296463123</t>
  </si>
  <si>
    <t>1748365642516</t>
  </si>
  <si>
    <t>2026-08-1748365642516</t>
  </si>
  <si>
    <t>Dinheiro retido Bloqueio por ordem judicial</t>
  </si>
  <si>
    <t>3400454393</t>
  </si>
  <si>
    <t>Judicial Restriction</t>
  </si>
  <si>
    <t>Court-ordered hold</t>
  </si>
  <si>
    <t>2026-08-3400454393</t>
  </si>
  <si>
    <t>3474612522</t>
  </si>
  <si>
    <t>2026-08-3474612522</t>
  </si>
  <si>
    <t>173123594623</t>
  </si>
  <si>
    <t>2026-08-173123594623</t>
  </si>
  <si>
    <t>Pix enviado VAI DE PROMO VIAGENS E TURISMO LTDA</t>
  </si>
  <si>
    <t>174049386958</t>
  </si>
  <si>
    <t>VAI DE PROMO VIAGENS E TURISMO LTDA</t>
  </si>
  <si>
    <t>2026-08-174049386958</t>
  </si>
  <si>
    <t>Pagamento com QR Pix IFOOD.COM AGENCIA DE RESTAURANTES ONLINE S.A.</t>
  </si>
  <si>
    <t>173279147771</t>
  </si>
  <si>
    <t>IFOOD.COM AGENCIA DE RESTAURANTES ONLINE S.A.</t>
  </si>
  <si>
    <t>2026-08-173279147771</t>
  </si>
  <si>
    <t>174149870324</t>
  </si>
  <si>
    <t>2026-08-174149870324</t>
  </si>
  <si>
    <t>174207173896</t>
  </si>
  <si>
    <t>2026-08-174207173896</t>
  </si>
  <si>
    <t>Pagamento com QR Pix NP COMERCIO DE ALIMENTOS LTDA</t>
  </si>
  <si>
    <t>173416314101</t>
  </si>
  <si>
    <t>NP COMERCIO DE ALIMENTOS LTDA</t>
  </si>
  <si>
    <t>2026-08-173416314101</t>
  </si>
  <si>
    <t>OLIVIA A. DA SILVA COMERCIO E</t>
  </si>
  <si>
    <t>173423690853</t>
  </si>
  <si>
    <t>2026-08-173423690853</t>
  </si>
  <si>
    <t>Pagamento com QR Pix GSS EMPREENDIMENTOS ALIMENTICIOS LTDA</t>
  </si>
  <si>
    <t>173435589759</t>
  </si>
  <si>
    <t>GSS EMPREENDIMENTOS ALIMENTICIOS LTDA</t>
  </si>
  <si>
    <t>2026-08-173435589759</t>
  </si>
  <si>
    <t>Pagamento com QR Pix DUFRY DO BRASIL DUTY FREE SHOP LTDA.</t>
  </si>
  <si>
    <t>173438894115</t>
  </si>
  <si>
    <t>DUFRY DO BRASIL DUTY FREE SHOP LTDA.</t>
  </si>
  <si>
    <t>2026-08-173438894115</t>
  </si>
  <si>
    <t>174310951296</t>
  </si>
  <si>
    <t>2026-08-174310951296</t>
  </si>
  <si>
    <t>174335551736</t>
  </si>
  <si>
    <t>2026-08-174335551736</t>
  </si>
  <si>
    <t>ESTACIONAMENTO ROTATIVO LTDA</t>
  </si>
  <si>
    <t>173457819139</t>
  </si>
  <si>
    <t>2026-08-173457819139</t>
  </si>
  <si>
    <t>173458379729</t>
  </si>
  <si>
    <t>2026-08-173458379729</t>
  </si>
  <si>
    <t>173583048391</t>
  </si>
  <si>
    <t>2026-08-173583048391</t>
  </si>
  <si>
    <t>1748482113616</t>
  </si>
  <si>
    <t>2026-08-1748482113616</t>
  </si>
  <si>
    <t>COMPANHIA DE AGUA E ESGOTOS DA PARAIBA</t>
  </si>
  <si>
    <t>173692059751</t>
  </si>
  <si>
    <t>2026-08-173692059751</t>
  </si>
  <si>
    <t>Pix enviado Thales Jeronimo do Nascimento Seixas</t>
  </si>
  <si>
    <t>173770367543</t>
  </si>
  <si>
    <t>Thales Jeronimo do Nascimento Seixas</t>
  </si>
  <si>
    <t>2026-08-173770367543</t>
  </si>
  <si>
    <t>1748562225145</t>
  </si>
  <si>
    <t>2026-08-1748562225145</t>
  </si>
  <si>
    <t>174727014172</t>
  </si>
  <si>
    <t>2026-08-174727014172</t>
  </si>
  <si>
    <t>1748631931586</t>
  </si>
  <si>
    <t>2026-08-1748631931586</t>
  </si>
  <si>
    <t>1748703756389</t>
  </si>
  <si>
    <t>2026-08-1748703756389</t>
  </si>
  <si>
    <t>174255050159</t>
  </si>
  <si>
    <t>2026-08-174255050159</t>
  </si>
  <si>
    <t>175209099438</t>
  </si>
  <si>
    <t>2026-08-175209099438</t>
  </si>
  <si>
    <t>175244215430</t>
  </si>
  <si>
    <t>2026-08-175244215430</t>
  </si>
  <si>
    <t>174409038827</t>
  </si>
  <si>
    <t>2026-08-174409038827</t>
  </si>
  <si>
    <t>174521409375</t>
  </si>
  <si>
    <t>2026-08-174521409375</t>
  </si>
  <si>
    <t>1748781304931</t>
  </si>
  <si>
    <t>2026-08-1748781304931</t>
  </si>
  <si>
    <t>Pagamento com QR Pix ONR</t>
  </si>
  <si>
    <t>174585405645</t>
  </si>
  <si>
    <t>ONR</t>
  </si>
  <si>
    <t>2026-08-174585405645</t>
  </si>
  <si>
    <t>1748863950569</t>
  </si>
  <si>
    <t>2026-08-1748863950569</t>
  </si>
  <si>
    <t>174763350169</t>
  </si>
  <si>
    <t>2026-08-174763350169</t>
  </si>
  <si>
    <t>1748934289005</t>
  </si>
  <si>
    <t>2026-08-1748934289005</t>
  </si>
  <si>
    <t>1749005246341</t>
  </si>
  <si>
    <t>2026-08-1749005246341</t>
  </si>
  <si>
    <t>1749076184198</t>
  </si>
  <si>
    <t>2026-08-1749076184198</t>
  </si>
  <si>
    <t>175173584369</t>
  </si>
  <si>
    <t>2026-08-175173584369</t>
  </si>
  <si>
    <t>176086188748</t>
  </si>
  <si>
    <t>2026-08-176086188748</t>
  </si>
  <si>
    <t>1749151764479</t>
  </si>
  <si>
    <t>2026-08-1749151764479</t>
  </si>
  <si>
    <t>Pagamento com QR Pix 52.875.146 VALDEBAM PROCOPIO DE ARAUJO</t>
  </si>
  <si>
    <t>176480894912</t>
  </si>
  <si>
    <t>52.875.146 VALDEBAM PROCOPIO DE ARAUJO</t>
  </si>
  <si>
    <t>2026-08-176480894912</t>
  </si>
  <si>
    <t>Outflow Categories</t>
  </si>
  <si>
    <t>Classification is analytical; transfers and credit-card settlements are separated from ordinary merchant consumption.</t>
  </si>
  <si>
    <t>Outflow Amount</t>
  </si>
  <si>
    <t>Share of Outflows</t>
  </si>
  <si>
    <t>Transaction Count</t>
  </si>
  <si>
    <t>Counterparty Analysis</t>
  </si>
  <si>
    <t>Recurring names are aggregated across the five unique months.</t>
  </si>
  <si>
    <t>Primary Category</t>
  </si>
  <si>
    <t>Net Amount</t>
  </si>
  <si>
    <t>Absolute Flow</t>
  </si>
  <si>
    <t>Reconciliation &amp; Source Control</t>
  </si>
  <si>
    <t>Statement totals are compared against the transaction ledger. Duplicate June source is documented but excluded.</t>
  </si>
  <si>
    <t>Source / Period</t>
  </si>
  <si>
    <t>Opening Balance</t>
  </si>
  <si>
    <t>Inflows Variance</t>
  </si>
  <si>
    <t>Outflows Variance</t>
  </si>
  <si>
    <t>Closing Balance</t>
  </si>
  <si>
    <t>Status</t>
  </si>
  <si>
    <t>Source Register</t>
  </si>
  <si>
    <t>Role</t>
  </si>
  <si>
    <t>Workbook Treatment</t>
  </si>
  <si>
    <t>Transaction Detail</t>
  </si>
  <si>
    <t>Unique month source</t>
  </si>
  <si>
    <t>Included</t>
  </si>
  <si>
    <t>47 transactions</t>
  </si>
  <si>
    <t>70 transactions</t>
  </si>
  <si>
    <t>69 transactions</t>
  </si>
  <si>
    <t>MercadoPago 4.pdf</t>
  </si>
  <si>
    <t>Duplicate of MercadoPago.pdf</t>
  </si>
  <si>
    <t>Excluded</t>
  </si>
  <si>
    <t>0 added; duplicate</t>
  </si>
  <si>
    <t>Statement content pasted in chat</t>
  </si>
  <si>
    <t>76 transactions</t>
  </si>
  <si>
    <t>64 transactions</t>
  </si>
  <si>
    <t>Analysis Log &amp; Insights</t>
  </si>
  <si>
    <t>Condensed record of the analytical conclusions produced during the file-by-file review.</t>
  </si>
  <si>
    <t>Methodology</t>
  </si>
  <si>
    <t>• Applied the same procedure to each monthly statement: structure → data profile → inflows/outflows → liquidity trajectory → recurring counterparties → modeling distinctions → reconciliation.</t>
  </si>
  <si>
    <t>• Operation ID is retained as the transaction-level identifier.</t>
  </si>
  <si>
    <t>• Positive amounts are inflows; negative amounts are outflows; balance is the running balance.</t>
  </si>
  <si>
    <t>• Internal/self transfers are not automatically classified as income; credit-card settlements are not automatically treated as current-period consumption.</t>
  </si>
  <si>
    <t>• Opening R$21,155.09; inflows R$27,262.06; outflows R$21,193.04; closing R$27,224.11.</t>
  </si>
  <si>
    <t>• Dominant event: R$27,193.14 transfer received on Apr 30 after the balance fell to R$30.97.</t>
  </si>
  <si>
    <t>• Large Apr 9 outflows: R$3,235.00, R$3,200.00 and R$2,085.00.</t>
  </si>
  <si>
    <t>• Minimum observed balance: R$30.90. Reconciled.</t>
  </si>
  <si>
    <t>• Opening R$27,224.11; inflows R$17,065.63; outflows R$30,217.29; closing R$14,072.45.</t>
  </si>
  <si>
    <t>• Dominant funding event: R$17,000.00 received May 28.</t>
  </si>
  <si>
    <t>• Credit-card settlements: R$10,350.03 combined.</t>
  </si>
  <si>
    <t>• Minimum observed balance: R$471.20 before the May 28 funding transfer. Reconciled.</t>
  </si>
  <si>
    <t>• Opening R$14,072.45; inflows R$24,151.04; outflows R$14,108.30; closing R$24,115.19.</t>
  </si>
  <si>
    <t>• R$6,813.48 credit-card payment materially compressed liquidity.</t>
  </si>
  <si>
    <t>• Balance reached R$0.88 on Jun 21, then received R$17,000.00 and R$7,107.05 near month-end.</t>
  </si>
  <si>
    <t>• Reconciled. MercadoPago 4 is an exact duplicate source of this month.</t>
  </si>
  <si>
    <t>• Opening R$24,115.19; inflows R$11,272.89; outflows R$31,069.01; closing R$4,319.07.</t>
  </si>
  <si>
    <t>• Large outflows include R$9,377.49 Banco XP payment and R$3,803.89 credit-card settlement.</t>
  </si>
  <si>
    <t>• Balance reached R$33.11 on Jul 24, followed by R$7,500.00 received.</t>
  </si>
  <si>
    <t>• Reconciled.</t>
  </si>
  <si>
    <t>• Opening R$4,319.07; inflows R$25,518.65; outflows R$18,000.99; closing R$11,836.73.</t>
  </si>
  <si>
    <t>• Large inflows: R$6,000.00, R$2,500.00, R$5,000.00 and R$12,000.00.</t>
  </si>
  <si>
    <t>• R$8,573.23 credit-card settlement was the largest outflow.</t>
  </si>
  <si>
    <t>• Two court-ordered holds total R$155.58 and are kept separate from consumption.</t>
  </si>
  <si>
    <t>• Transaction-level totals reconcile to the statement once both court-ordered holds are included.</t>
  </si>
  <si>
    <t>Cross-Month Insights</t>
  </si>
  <si>
    <t>• Across Apr–Aug: 326 unique transactions; R$105,270.27 inflows; R$114,588.63 outflows; net cash movement −R$9,318.36.</t>
  </si>
  <si>
    <t>• Funding transfers dominate inflows; they should not be treated as operating income without additional context.</t>
  </si>
  <si>
    <t>• Credit-card settlements total R$29,540.63 across May–Aug and should be separated from merchant consumption to avoid double-counting.</t>
  </si>
  <si>
    <t>• The recurring liquidity pattern is large funding transfers followed by rapid balance depletion.</t>
  </si>
  <si>
    <t>• Lowest observed balance across the five months: R$0.00, occurring in August during court-ordered holds.</t>
  </si>
  <si>
    <t>• June duplicate source is excluded from the transaction ledger using the duplicate-source rule.</t>
  </si>
  <si>
    <t>Data Quality</t>
  </si>
  <si>
    <t>• April: PASS. May: PASS. June: PASS. July: PASS. August: PASS after including both 10-digit court-order transaction IDs.</t>
  </si>
  <si>
    <t>• Source files and user-pasted statements are distinguished in the Source column.</t>
  </si>
  <si>
    <t>• No transaction was fabricated to force reconciliation; the ledger is kept tied to supplied source data.</t>
  </si>
  <si>
    <t>Workbook Guide</t>
  </si>
  <si>
    <t>Purpose, structure, definitions and controls</t>
  </si>
  <si>
    <t>Purpose</t>
  </si>
  <si>
    <t>Consolidated professional analysis of Mercado Pago account activity for April–August 2026.</t>
  </si>
  <si>
    <t>Coverage</t>
  </si>
  <si>
    <t>Five unique monthly statements: April, May, June, July and August 2026.</t>
  </si>
  <si>
    <t>Duplicate handling</t>
  </si>
  <si>
    <t>MercadoPago 4.pdf is a duplicate of the June statement and contributes no additional transactions.</t>
  </si>
  <si>
    <t>Transaction grain</t>
  </si>
  <si>
    <t>One row per unique operation ID.</t>
  </si>
  <si>
    <t>Amount convention</t>
  </si>
  <si>
    <t>Positive = inflow; negative = outflow.</t>
  </si>
  <si>
    <t>Running account balance reported after each operation.</t>
  </si>
  <si>
    <t>Category logic</t>
  </si>
  <si>
    <t>Analytical classification based on the source description; it does not replace accounting treatment.</t>
  </si>
  <si>
    <t>Transfers</t>
  </si>
  <si>
    <t>Transfers to/from the account holder are kept separate from income/consumption.</t>
  </si>
  <si>
    <t>Card settlement is separated because the underlying purchases may belong to an earlier period.</t>
  </si>
  <si>
    <t>Judicial holds</t>
  </si>
  <si>
    <t>Court-ordered holds are kept separate from ordinary spending.</t>
  </si>
  <si>
    <t>Source fidelity</t>
  </si>
  <si>
    <t>April and May were transcribed from statement text supplied in chat; June–August were extracted from the uploaded PDFs.</t>
  </si>
  <si>
    <t>Mercado Pago — Executive Summary</t>
  </si>
  <si>
    <t>Five-minute guide to activity from April–August 2026 | 326 unique transactions</t>
  </si>
  <si>
    <t>MAIN TOPICS</t>
  </si>
  <si>
    <t>TOP HIGHLIGHTS</t>
  </si>
  <si>
    <t>ACTION ITEMS</t>
  </si>
  <si>
    <t>Topic</t>
  </si>
  <si>
    <t>What it means / where to look</t>
  </si>
  <si>
    <t>Cash position</t>
  </si>
  <si>
    <t>Monthly openings, inflows, outflows, closing balances and net movement — Monthly Summary and Dashboard.</t>
  </si>
  <si>
    <t>Transaction detail</t>
  </si>
  <si>
    <t>326 unique operations with date, category, counterparty and running balance — Transactions.</t>
  </si>
  <si>
    <t>Spending structure</t>
  </si>
  <si>
    <t>Outflows split between transfers, card settlements and ordinary consumption — Outflow Categories.</t>
  </si>
  <si>
    <t>Counterparties</t>
  </si>
  <si>
    <t>Recurring names and absolute flow concentration — Counterparties.</t>
  </si>
  <si>
    <t>Controls</t>
  </si>
  <si>
    <t>All five months reconcile; duplicate June source is excluded — Reconciliation.</t>
  </si>
  <si>
    <t>• Net cash movement was −R$9,318.36: inflows of R$105,270.27 did not cover R$114,588.63 of outflows.</t>
  </si>
  <si>
    <t>• July was the weakest month (−R$19,796.12); June was strongest (+R$10,042.74). Only 2 of 5 months were negative.</t>
  </si>
  <si>
    <t>• Liquidity was tight every month: the observed minimum stayed below R$500, reaching R$0.00 in August.</t>
  </si>
  <si>
    <t>• Transfers plus credit-card settlements represented 67.1% of all outflows, so they should be separated from ordinary consumption.</t>
  </si>
  <si>
    <t>• All five monthly statements passed reconciliation; the duplicate June source does not inflate the 326-transaction total.</t>
  </si>
  <si>
    <t>Priority</t>
  </si>
  <si>
    <t>Action</t>
  </si>
  <si>
    <t>Why it matters</t>
  </si>
  <si>
    <t>High</t>
  </si>
  <si>
    <t>Set a minimum operating cash buffer and alert threshold.</t>
  </si>
  <si>
    <t>All five months fell below R$500; four approached R$33 or less.</t>
  </si>
  <si>
    <t>Schedule large card and bill payments against confirmed funding dates.</t>
  </si>
  <si>
    <t>The largest outflow was R$9,377.49; card settlements reached R$29,540.63.</t>
  </si>
  <si>
    <t>Medium</t>
  </si>
  <si>
    <t>Budget ordinary consumption separately from transfers and card settlements.</t>
  </si>
  <si>
    <t>Those two categories make up 67.1% of outflows and can distort spending analysis.</t>
  </si>
  <si>
    <t>Review recurring personal transfers and standardize counterparty names.</t>
  </si>
  <si>
    <t>Name variants fragment the counterparty view and make recurring flows harder to monitor.</t>
  </si>
  <si>
    <t>Routine</t>
  </si>
  <si>
    <t>Continue monthly reconciliation and duplicate-source control.</t>
  </si>
  <si>
    <t>Current controls passed for every included month and should remain in place.</t>
  </si>
  <si>
    <t>Trends &amp; Insights</t>
  </si>
  <si>
    <t>Cash flow, liquidity pressure and outflow concentration | April–August 2026</t>
  </si>
  <si>
    <t>STORY IN BRIEF</t>
  </si>
  <si>
    <t>The account ended the five-month period R$9,318.36 lower despite large, concentrated funding transfers.</t>
  </si>
  <si>
    <t>Monthly performance swung sharply: June added R$10,042.74, while July consumed R$19,796.12.</t>
  </si>
  <si>
    <t>Liquidity is the clearest risk signal: every month reached below R$500, and four months reached about R$33 or less.</t>
  </si>
  <si>
    <t>Transfers and card settlements dominate outflows, while ordinary spending is led by bills, groceries and e-commerce.</t>
  </si>
  <si>
    <t>Months Below R$500</t>
  </si>
  <si>
    <t>Negative Months</t>
  </si>
  <si>
    <t>Transfer + Card Share</t>
  </si>
  <si>
    <t>Funding Concentration</t>
  </si>
  <si>
    <t>Outflow Category</t>
  </si>
  <si>
    <t>Share</t>
  </si>
  <si>
    <t>KEY INSIGHTS</t>
  </si>
  <si>
    <t>1. Cash-flow volatility is high: the gap between the best and worst monthly net movement is R$29,838.86.</t>
  </si>
  <si>
    <t>2. Account-holder funding names supplied about 96.2% of inflows, indicating strong dependence on concentrated transfers.</t>
  </si>
  <si>
    <t>3. Person/external transfers are the largest outflow category (R$47,343.84; 41.3%), followed by card settlements (R$29,540.63; 25.8%).</t>
  </si>
  <si>
    <t>4. Among ordinary categories, bills &amp; services (R$9,790.60) and groceries &amp; food (R$6,716.58) are the largest.</t>
  </si>
  <si>
    <t>5. Reconciliation quality is strong: all included months pass, and the duplicated June source is explicitly excluded.</t>
  </si>
  <si>
    <t>USER GUIDE</t>
  </si>
  <si>
    <t>A simple guide to understanding and using this Mercado Pago workbook — no technical knowledge required</t>
  </si>
  <si>
    <t>START HERE — UNDER 5 MINUTES</t>
  </si>
  <si>
    <t>Open Executive Summary for the headline totals, main topics, highlights, and recommended actions.</t>
  </si>
  <si>
    <t>Open Trends &amp; Insights to see monthly cash flow, low-balance risk, and the largest outflow categories.</t>
  </si>
  <si>
    <t>Use Transactions only when you need to check a specific payment, date, category, counterparty, or balance.</t>
  </si>
  <si>
    <t>Check Reconciliation before relying on the analysis: PASS means the monthly transaction totals agree with the statement.</t>
  </si>
  <si>
    <t>WHAT EACH SHEET IS FOR</t>
  </si>
  <si>
    <t>Sheet</t>
  </si>
  <si>
    <t>What you will find</t>
  </si>
  <si>
    <t>Use it when you want to…</t>
  </si>
  <si>
    <t>Read Me</t>
  </si>
  <si>
    <t>Executive Summary</t>
  </si>
  <si>
    <t>Dashboard</t>
  </si>
  <si>
    <t>Analysis &amp; Chat</t>
  </si>
  <si>
    <t>Scope, definitions, and source-handling rules.</t>
  </si>
  <si>
    <t>A five-minute overview with totals, highlights, and actions.</t>
  </si>
  <si>
    <t>Charts, key indicators, monthly trends, and interpretation.</t>
  </si>
  <si>
    <t>Headline indicators and a compact monthly snapshot.</t>
  </si>
  <si>
    <t>Opening, inflows, outflows, closing, net movement, and variances by month.</t>
  </si>
  <si>
    <t>All 326 unique operations with dates, descriptions, categories, and balances.</t>
  </si>
  <si>
    <t>Spending totals and shares by analytical category.</t>
  </si>
  <si>
    <t>Names grouped by transaction count and money moved.</t>
  </si>
  <si>
    <t>Checks against statement totals and the source register.</t>
  </si>
  <si>
    <t>Detailed month-by-month analytical notes.</t>
  </si>
  <si>
    <t>Understand how the workbook was prepared.</t>
  </si>
  <si>
    <t>Get the answer quickly.</t>
  </si>
  <si>
    <t>See patterns and financial risks.</t>
  </si>
  <si>
    <t>Monitor the account at a glance.</t>
  </si>
  <si>
    <t>Compare one month with another.</t>
  </si>
  <si>
    <t>Investigate a particular transaction.</t>
  </si>
  <si>
    <t>Understand where money went.</t>
  </si>
  <si>
    <t>Find recurring or concentrated relationships.</t>
  </si>
  <si>
    <t>Confirm completeness and duplicate handling.</t>
  </si>
  <si>
    <t>Read the reasoning behind the conclusions.</t>
  </si>
  <si>
    <t>SIMPLE MONTHLY ROUTINE</t>
  </si>
  <si>
    <t>Step</t>
  </si>
  <si>
    <t>What to do</t>
  </si>
  <si>
    <t>Where to check</t>
  </si>
  <si>
    <t>Confirm the new month appears and the transaction count looks reasonable.</t>
  </si>
  <si>
    <t>Confirm Reconciliation says PASS and all variances are zero.</t>
  </si>
  <si>
    <t>Review the monthly net movement and minimum observed balance.</t>
  </si>
  <si>
    <t>Investigate unusually large payments or unfamiliar counterparties.</t>
  </si>
  <si>
    <t>Update your cash-buffer and payment-timing actions if liquidity was tight.</t>
  </si>
  <si>
    <t>Dashboard / Monthly Summary</t>
  </si>
  <si>
    <t>Transactions / Counterparties</t>
  </si>
  <si>
    <t>SAFE USE — WHAT YOU MAY AND MAY NOT CHANGE</t>
  </si>
  <si>
    <t>• Use filters and sorting in the data tables to find information; this does not change the underlying transactions.</t>
  </si>
  <si>
    <t>• You may add notes in a new blank column, but avoid overwriting existing formulas, table headers, operation IDs, or balances.</t>
  </si>
  <si>
    <t>• Do not delete rows that look duplicated unless the operation ID and source control have been checked first.</t>
  </si>
  <si>
    <t>• Treat transfers and credit-card settlements separately from ordinary consumption; combining them can distort spending.</t>
  </si>
  <si>
    <t>• If a reconciliation status stops showing PASS, pause and review the source and formulas before using the totals.</t>
  </si>
  <si>
    <t>PLAIN-LANGUAGE GLOSSARY</t>
  </si>
  <si>
    <t>Net movement</t>
  </si>
  <si>
    <t>Closing balance</t>
  </si>
  <si>
    <t>Minimum balance</t>
  </si>
  <si>
    <t>Money entering the Mercado Pago account.</t>
  </si>
  <si>
    <t>Money leaving the account.</t>
  </si>
  <si>
    <t>Inflows minus outflows. Positive means cash increased; negative means cash decreased.</t>
  </si>
  <si>
    <t>The account balance at the end of the month.</t>
  </si>
  <si>
    <t>The lowest balance observed after any transaction during the month.</t>
  </si>
  <si>
    <t>A check that calculated transaction totals match the statement totals.</t>
  </si>
  <si>
    <t>IMPORTANT LIMITATIONS</t>
  </si>
  <si>
    <t>• Categories are analytical labels based on transaction descriptions; they are not formal accounting or tax classifications.</t>
  </si>
  <si>
    <t>• Credit-card settlements show when the card bill was paid, not necessarily when the underlying purchases occurred.</t>
  </si>
  <si>
    <t>• April and May were transcribed from statement text; June through August were extracted from PDFs.</t>
  </si>
  <si>
    <t>• MercadoPago 4.pdf duplicates June and is deliberately excluded, so it does not inflate the 326-transaction total.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</si>
</sst>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R$&quot;\ #,##0.00;[Red]\-&quot;R$&quot;\ #,##0.00"/>
    <numFmt numFmtId="164" formatCode="\R\$\ #,##0.00"/>
    <numFmt numFmtId="166" formatCode="dd/mm/yyyy"/>
    <numFmt numFmtId="167" formatCode="0.0%"/>
  </numFmts>
  <fonts count="24" x14ac:knownFonts="1">
    <font>
      <sz val="11"/>
      <color theme="1"/>
      <name val="Calibri"/>
      <family val="2"/>
      <scheme val="minor"/>
    </font>
    <font>
      <b/>
      <sz val="20"/>
      <color rgb="FFFFFFFF"/>
      <name val="Calibri"/>
      <family val="2"/>
    </font>
    <font>
      <i/>
      <sz val="10"/>
      <color rgb="FF6B7280"/>
      <name val="Calibri"/>
      <family val="2"/>
    </font>
    <font>
      <b/>
      <sz val="9"/>
      <color rgb="FF6B7280"/>
      <name val="Calibri"/>
      <family val="2"/>
    </font>
    <font>
      <b/>
      <sz val="16"/>
      <color rgb="FF1F2937"/>
      <name val="Calibri"/>
      <family val="2"/>
    </font>
    <font>
      <b/>
      <sz val="14"/>
      <color rgb="FF17324D"/>
      <name val="Calibri"/>
      <family val="2"/>
    </font>
    <font>
      <b/>
      <sz val="11"/>
      <color rgb="FFFFFFFF"/>
      <name val="Calibri"/>
      <family val="2"/>
    </font>
    <font>
      <b/>
      <sz val="13"/>
      <color rgb="FF17324D"/>
      <name val="Calibri"/>
      <family val="2"/>
    </font>
    <font>
      <b/>
      <sz val="11"/>
      <color rgb="FF17324D"/>
      <name val="Calibri"/>
      <family val="2"/>
    </font>
    <font>
      <sz val="11"/>
      <color rgb="FF262626"/>
      <name val="Aptos"/>
    </font>
    <font>
      <sz val="11"/>
      <color rgb="FFFFFFFF"/>
      <name val="Aptos"/>
    </font>
    <font>
      <b/>
      <sz val="11"/>
      <color rgb="FFFFFFFF"/>
      <name val="Aptos"/>
    </font>
    <font>
      <sz val="11"/>
      <color rgb="FF001F43"/>
      <name val="Aptos"/>
    </font>
    <font>
      <b/>
      <sz val="11"/>
      <color rgb="FF262626"/>
      <name val="Aptos"/>
    </font>
    <font>
      <sz val="11"/>
      <color rgb="FFC50F1F"/>
      <name val="Aptos"/>
    </font>
    <font>
      <b/>
      <sz val="11"/>
      <color rgb="FFC50F1F"/>
      <name val="Aptos"/>
    </font>
    <font>
      <b/>
      <sz val="11"/>
      <color rgb="FF001F43"/>
      <name val="Aptos"/>
    </font>
    <font>
      <sz val="11"/>
      <color rgb="FFE17305"/>
      <name val="Aptos"/>
    </font>
    <font>
      <sz val="11"/>
      <color rgb="FF117E39"/>
      <name val="Aptos"/>
    </font>
    <font>
      <b/>
      <sz val="11"/>
      <color rgb="FFE17305"/>
      <name val="Aptos"/>
    </font>
    <font>
      <sz val="10"/>
      <color rgb="FF262626"/>
      <name val="Aptos"/>
    </font>
    <font>
      <sz val="10"/>
      <color rgb="FFFFFFFF"/>
      <name val="Aptos"/>
    </font>
    <font>
      <b/>
      <sz val="18"/>
      <color rgb="FFFFFFFF"/>
      <name val="Aptos"/>
    </font>
    <font>
      <b/>
      <sz val="10"/>
      <color rgb="FF001F43"/>
      <name val="Aptos"/>
    </font>
  </fonts>
  <fills count="13">
    <fill>
      <patternFill patternType="none"/>
    </fill>
    <fill>
      <patternFill patternType="gray125"/>
    </fill>
    <fill>
      <patternFill patternType="solid">
        <fgColor rgb="FF17324D"/>
      </patternFill>
    </fill>
    <fill>
      <patternFill patternType="solid">
        <fgColor rgb="FFEAF1F7"/>
      </patternFill>
    </fill>
    <fill>
      <patternFill patternType="solid">
        <fgColor rgb="FFFFFFFF"/>
      </patternFill>
    </fill>
    <fill>
      <patternFill patternType="solid">
        <fgColor rgb="FF2F5B84"/>
      </patternFill>
    </fill>
    <fill>
      <patternFill patternType="solid">
        <fgColor rgb="FFFFFFFF"/>
        <bgColor indexed="64"/>
      </patternFill>
    </fill>
    <fill>
      <patternFill patternType="solid">
        <fgColor rgb="FF001F43"/>
        <bgColor indexed="64"/>
      </patternFill>
    </fill>
    <fill>
      <patternFill patternType="solid">
        <fgColor rgb="FFF2F6FF"/>
        <bgColor indexed="64"/>
      </patternFill>
    </fill>
    <fill>
      <patternFill patternType="solid">
        <fgColor rgb="FFB9D5F3"/>
        <bgColor indexed="64"/>
      </patternFill>
    </fill>
    <fill>
      <patternFill patternType="solid">
        <fgColor rgb="FFF3C79B"/>
        <bgColor indexed="64"/>
      </patternFill>
    </fill>
    <fill>
      <patternFill patternType="solid">
        <fgColor rgb="FFF8F8F8"/>
        <bgColor indexed="64"/>
      </patternFill>
    </fill>
    <fill>
      <patternFill patternType="solid">
        <fgColor rgb="FFF9E3CD"/>
        <bgColor indexed="64"/>
      </patternFill>
    </fill>
  </fills>
  <borders count="13">
    <border>
      <left/>
      <right/>
      <top/>
      <bottom/>
      <diagonal/>
    </border>
    <border>
      <left style="thin">
        <color rgb="FFD7DEE7"/>
      </left>
      <right style="thin">
        <color rgb="FFD7DEE7"/>
      </right>
      <top style="thin">
        <color rgb="FFD7DEE7"/>
      </top>
      <bottom style="thin">
        <color rgb="FFD7DEE7"/>
      </bottom>
      <diagonal/>
    </border>
    <border>
      <left/>
      <right/>
      <top style="thin">
        <color rgb="FFD9D9D9"/>
      </top>
      <bottom/>
      <diagonal/>
    </border>
    <border>
      <left/>
      <right/>
      <top/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/>
      <diagonal/>
    </border>
    <border>
      <left style="thin">
        <color rgb="FFD9D9D9"/>
      </left>
      <right/>
      <top/>
      <bottom/>
      <diagonal/>
    </border>
    <border>
      <left style="thin">
        <color rgb="FFD9D9D9"/>
      </left>
      <right/>
      <top/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/>
      <diagonal/>
    </border>
    <border>
      <left/>
      <right style="thin">
        <color rgb="FFD9D9D9"/>
      </right>
      <top/>
      <bottom/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medium">
        <color rgb="FF001F43"/>
      </bottom>
      <diagonal/>
    </border>
    <border>
      <left/>
      <right style="thin">
        <color rgb="FFD9D9D9"/>
      </right>
      <top style="thin">
        <color rgb="FFD9D9D9"/>
      </top>
      <bottom style="medium">
        <color rgb="FF001F43"/>
      </bottom>
      <diagonal/>
    </border>
    <border>
      <left/>
      <right/>
      <top style="thin">
        <color rgb="FFD9D9D9"/>
      </top>
      <bottom style="medium">
        <color rgb="FF001F43"/>
      </bottom>
      <diagonal/>
    </border>
  </borders>
  <cellStyleXfs count="1">
    <xf numFmtId="0" fontId="0" fillId="0" borderId="0"/>
  </cellStyleXfs>
  <cellXfs count="105">
    <xf numFmtId="0" fontId="0" fillId="0" borderId="0" xfId="0"/>
    <xf numFmtId="0" fontId="5" fillId="0" borderId="0" xfId="0" applyFont="1" applyAlignment="1">
      <alignment vertical="center"/>
    </xf>
    <xf numFmtId="0" fontId="6" fillId="5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3" fontId="0" fillId="0" borderId="0" xfId="0" applyNumberFormat="1" applyAlignment="1">
      <alignment vertical="center"/>
    </xf>
    <xf numFmtId="166" fontId="0" fillId="0" borderId="0" xfId="0" applyNumberFormat="1" applyAlignment="1">
      <alignment vertical="center"/>
    </xf>
    <xf numFmtId="167" fontId="0" fillId="0" borderId="0" xfId="0" applyNumberFormat="1" applyAlignment="1">
      <alignment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3" fillId="3" borderId="1" xfId="0" applyFont="1" applyFill="1" applyBorder="1" applyAlignment="1">
      <alignment horizontal="center" vertical="center"/>
    </xf>
    <xf numFmtId="0" fontId="0" fillId="0" borderId="1" xfId="0" applyBorder="1"/>
    <xf numFmtId="0" fontId="1" fillId="2" borderId="0" xfId="0" applyFont="1" applyFill="1" applyAlignment="1">
      <alignment vertical="center"/>
    </xf>
    <xf numFmtId="0" fontId="0" fillId="0" borderId="0" xfId="0"/>
    <xf numFmtId="164" fontId="4" fillId="4" borderId="1" xfId="0" applyNumberFormat="1" applyFont="1" applyFill="1" applyBorder="1" applyAlignment="1">
      <alignment horizontal="center" vertical="center"/>
    </xf>
    <xf numFmtId="3" fontId="4" fillId="4" borderId="1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0" fillId="0" borderId="0" xfId="0" applyAlignment="1">
      <alignment vertical="center" wrapText="1"/>
    </xf>
    <xf numFmtId="0" fontId="0" fillId="6" borderId="0" xfId="0" applyFill="1"/>
    <xf numFmtId="0" fontId="9" fillId="6" borderId="0" xfId="0" applyFont="1" applyFill="1" applyBorder="1"/>
    <xf numFmtId="0" fontId="9" fillId="6" borderId="0" xfId="0" applyFont="1" applyFill="1" applyBorder="1" applyAlignment="1">
      <alignment wrapText="1"/>
    </xf>
    <xf numFmtId="0" fontId="9" fillId="6" borderId="0" xfId="0" applyFont="1" applyFill="1" applyBorder="1" applyAlignment="1">
      <alignment wrapText="1"/>
    </xf>
    <xf numFmtId="0" fontId="10" fillId="7" borderId="0" xfId="0" applyFont="1" applyFill="1" applyBorder="1"/>
    <xf numFmtId="0" fontId="11" fillId="7" borderId="0" xfId="0" applyFont="1" applyFill="1" applyBorder="1"/>
    <xf numFmtId="0" fontId="12" fillId="8" borderId="4" xfId="0" applyFont="1" applyFill="1" applyBorder="1"/>
    <xf numFmtId="1" fontId="13" fillId="8" borderId="5" xfId="0" applyNumberFormat="1" applyFont="1" applyFill="1" applyBorder="1"/>
    <xf numFmtId="1" fontId="13" fillId="8" borderId="6" xfId="0" applyNumberFormat="1" applyFont="1" applyFill="1" applyBorder="1"/>
    <xf numFmtId="0" fontId="12" fillId="8" borderId="2" xfId="0" applyFont="1" applyFill="1" applyBorder="1"/>
    <xf numFmtId="1" fontId="13" fillId="8" borderId="0" xfId="0" applyNumberFormat="1" applyFont="1" applyFill="1" applyBorder="1"/>
    <xf numFmtId="1" fontId="13" fillId="8" borderId="3" xfId="0" applyNumberFormat="1" applyFont="1" applyFill="1" applyBorder="1"/>
    <xf numFmtId="8" fontId="13" fillId="8" borderId="5" xfId="0" applyNumberFormat="1" applyFont="1" applyFill="1" applyBorder="1"/>
    <xf numFmtId="8" fontId="13" fillId="8" borderId="6" xfId="0" applyNumberFormat="1" applyFont="1" applyFill="1" applyBorder="1"/>
    <xf numFmtId="8" fontId="13" fillId="8" borderId="0" xfId="0" applyNumberFormat="1" applyFont="1" applyFill="1" applyBorder="1"/>
    <xf numFmtId="8" fontId="13" fillId="8" borderId="3" xfId="0" applyNumberFormat="1" applyFont="1" applyFill="1" applyBorder="1"/>
    <xf numFmtId="0" fontId="14" fillId="8" borderId="4" xfId="0" applyFont="1" applyFill="1" applyBorder="1"/>
    <xf numFmtId="0" fontId="14" fillId="8" borderId="7" xfId="0" applyFont="1" applyFill="1" applyBorder="1"/>
    <xf numFmtId="8" fontId="15" fillId="8" borderId="5" xfId="0" applyNumberFormat="1" applyFont="1" applyFill="1" applyBorder="1"/>
    <xf numFmtId="8" fontId="15" fillId="8" borderId="8" xfId="0" applyNumberFormat="1" applyFont="1" applyFill="1" applyBorder="1"/>
    <xf numFmtId="8" fontId="15" fillId="8" borderId="6" xfId="0" applyNumberFormat="1" applyFont="1" applyFill="1" applyBorder="1"/>
    <xf numFmtId="8" fontId="15" fillId="8" borderId="9" xfId="0" applyNumberFormat="1" applyFont="1" applyFill="1" applyBorder="1"/>
    <xf numFmtId="0" fontId="16" fillId="9" borderId="0" xfId="0" applyFont="1" applyFill="1" applyBorder="1"/>
    <xf numFmtId="0" fontId="16" fillId="10" borderId="0" xfId="0" applyFont="1" applyFill="1" applyBorder="1"/>
    <xf numFmtId="0" fontId="9" fillId="6" borderId="3" xfId="0" applyFont="1" applyFill="1" applyBorder="1" applyAlignment="1">
      <alignment wrapText="1"/>
    </xf>
    <xf numFmtId="0" fontId="9" fillId="6" borderId="5" xfId="0" applyFont="1" applyFill="1" applyBorder="1" applyAlignment="1">
      <alignment wrapText="1"/>
    </xf>
    <xf numFmtId="0" fontId="9" fillId="6" borderId="6" xfId="0" applyFont="1" applyFill="1" applyBorder="1" applyAlignment="1">
      <alignment wrapText="1"/>
    </xf>
    <xf numFmtId="0" fontId="9" fillId="6" borderId="8" xfId="0" applyFont="1" applyFill="1" applyBorder="1" applyAlignment="1">
      <alignment wrapText="1"/>
    </xf>
    <xf numFmtId="0" fontId="9" fillId="6" borderId="9" xfId="0" applyFont="1" applyFill="1" applyBorder="1" applyAlignment="1">
      <alignment wrapText="1"/>
    </xf>
    <xf numFmtId="0" fontId="16" fillId="8" borderId="10" xfId="0" applyFont="1" applyFill="1" applyBorder="1" applyAlignment="1">
      <alignment wrapText="1"/>
    </xf>
    <xf numFmtId="0" fontId="16" fillId="8" borderId="11" xfId="0" applyFont="1" applyFill="1" applyBorder="1" applyAlignment="1">
      <alignment wrapText="1"/>
    </xf>
    <xf numFmtId="0" fontId="9" fillId="11" borderId="5" xfId="0" applyFont="1" applyFill="1" applyBorder="1" applyAlignment="1">
      <alignment wrapText="1"/>
    </xf>
    <xf numFmtId="0" fontId="9" fillId="11" borderId="8" xfId="0" applyFont="1" applyFill="1" applyBorder="1" applyAlignment="1">
      <alignment wrapText="1"/>
    </xf>
    <xf numFmtId="0" fontId="16" fillId="12" borderId="10" xfId="0" applyFont="1" applyFill="1" applyBorder="1" applyAlignment="1">
      <alignment wrapText="1"/>
    </xf>
    <xf numFmtId="0" fontId="16" fillId="12" borderId="12" xfId="0" applyFont="1" applyFill="1" applyBorder="1" applyAlignment="1">
      <alignment wrapText="1"/>
    </xf>
    <xf numFmtId="0" fontId="16" fillId="12" borderId="11" xfId="0" applyFont="1" applyFill="1" applyBorder="1" applyAlignment="1">
      <alignment wrapText="1"/>
    </xf>
    <xf numFmtId="0" fontId="9" fillId="11" borderId="0" xfId="0" applyFont="1" applyFill="1" applyBorder="1" applyAlignment="1">
      <alignment wrapText="1"/>
    </xf>
    <xf numFmtId="0" fontId="17" fillId="6" borderId="5" xfId="0" applyFont="1" applyFill="1" applyBorder="1" applyAlignment="1">
      <alignment wrapText="1"/>
    </xf>
    <xf numFmtId="0" fontId="17" fillId="11" borderId="5" xfId="0" applyFont="1" applyFill="1" applyBorder="1" applyAlignment="1">
      <alignment wrapText="1"/>
    </xf>
    <xf numFmtId="0" fontId="18" fillId="6" borderId="6" xfId="0" applyFont="1" applyFill="1" applyBorder="1" applyAlignment="1">
      <alignment wrapText="1"/>
    </xf>
    <xf numFmtId="8" fontId="9" fillId="6" borderId="0" xfId="0" applyNumberFormat="1" applyFont="1" applyFill="1" applyBorder="1"/>
    <xf numFmtId="167" fontId="9" fillId="6" borderId="0" xfId="0" applyNumberFormat="1" applyFont="1" applyFill="1" applyBorder="1"/>
    <xf numFmtId="0" fontId="17" fillId="8" borderId="4" xfId="0" applyFont="1" applyFill="1" applyBorder="1"/>
    <xf numFmtId="0" fontId="17" fillId="8" borderId="7" xfId="0" applyFont="1" applyFill="1" applyBorder="1"/>
    <xf numFmtId="1" fontId="19" fillId="8" borderId="5" xfId="0" applyNumberFormat="1" applyFont="1" applyFill="1" applyBorder="1"/>
    <xf numFmtId="1" fontId="19" fillId="8" borderId="8" xfId="0" applyNumberFormat="1" applyFont="1" applyFill="1" applyBorder="1"/>
    <xf numFmtId="1" fontId="19" fillId="8" borderId="6" xfId="0" applyNumberFormat="1" applyFont="1" applyFill="1" applyBorder="1"/>
    <xf numFmtId="1" fontId="19" fillId="8" borderId="9" xfId="0" applyNumberFormat="1" applyFont="1" applyFill="1" applyBorder="1"/>
    <xf numFmtId="1" fontId="15" fillId="8" borderId="5" xfId="0" applyNumberFormat="1" applyFont="1" applyFill="1" applyBorder="1"/>
    <xf numFmtId="1" fontId="15" fillId="8" borderId="8" xfId="0" applyNumberFormat="1" applyFont="1" applyFill="1" applyBorder="1"/>
    <xf numFmtId="1" fontId="15" fillId="8" borderId="6" xfId="0" applyNumberFormat="1" applyFont="1" applyFill="1" applyBorder="1"/>
    <xf numFmtId="1" fontId="15" fillId="8" borderId="9" xfId="0" applyNumberFormat="1" applyFont="1" applyFill="1" applyBorder="1"/>
    <xf numFmtId="167" fontId="19" fillId="8" borderId="5" xfId="0" applyNumberFormat="1" applyFont="1" applyFill="1" applyBorder="1"/>
    <xf numFmtId="167" fontId="19" fillId="8" borderId="8" xfId="0" applyNumberFormat="1" applyFont="1" applyFill="1" applyBorder="1"/>
    <xf numFmtId="167" fontId="19" fillId="8" borderId="6" xfId="0" applyNumberFormat="1" applyFont="1" applyFill="1" applyBorder="1"/>
    <xf numFmtId="167" fontId="19" fillId="8" borderId="9" xfId="0" applyNumberFormat="1" applyFont="1" applyFill="1" applyBorder="1"/>
    <xf numFmtId="0" fontId="17" fillId="8" borderId="2" xfId="0" applyFont="1" applyFill="1" applyBorder="1"/>
    <xf numFmtId="167" fontId="19" fillId="8" borderId="0" xfId="0" applyNumberFormat="1" applyFont="1" applyFill="1" applyBorder="1"/>
    <xf numFmtId="167" fontId="19" fillId="8" borderId="3" xfId="0" applyNumberFormat="1" applyFont="1" applyFill="1" applyBorder="1"/>
    <xf numFmtId="0" fontId="20" fillId="6" borderId="0" xfId="0" applyFont="1" applyFill="1" applyBorder="1" applyAlignment="1">
      <alignment vertical="center"/>
    </xf>
    <xf numFmtId="0" fontId="20" fillId="6" borderId="0" xfId="0" applyFont="1" applyFill="1" applyBorder="1" applyAlignment="1">
      <alignment vertical="center" wrapText="1"/>
    </xf>
    <xf numFmtId="0" fontId="20" fillId="6" borderId="0" xfId="0" applyFont="1" applyFill="1" applyBorder="1" applyAlignment="1">
      <alignment vertical="center"/>
    </xf>
    <xf numFmtId="0" fontId="20" fillId="6" borderId="0" xfId="0" applyFont="1" applyFill="1" applyBorder="1" applyAlignment="1">
      <alignment horizontal="center" vertical="center"/>
    </xf>
    <xf numFmtId="0" fontId="22" fillId="7" borderId="0" xfId="0" applyFont="1" applyFill="1" applyBorder="1" applyAlignment="1">
      <alignment vertical="center"/>
    </xf>
    <xf numFmtId="0" fontId="21" fillId="7" borderId="0" xfId="0" applyFont="1" applyFill="1" applyBorder="1" applyAlignment="1">
      <alignment vertical="center" wrapText="1"/>
    </xf>
    <xf numFmtId="0" fontId="23" fillId="9" borderId="0" xfId="0" applyFont="1" applyFill="1" applyBorder="1" applyAlignment="1">
      <alignment vertical="center"/>
    </xf>
    <xf numFmtId="0" fontId="23" fillId="10" borderId="0" xfId="0" applyFont="1" applyFill="1" applyBorder="1" applyAlignment="1">
      <alignment vertical="center"/>
    </xf>
    <xf numFmtId="0" fontId="20" fillId="6" borderId="3" xfId="0" applyFont="1" applyFill="1" applyBorder="1" applyAlignment="1">
      <alignment vertical="center" wrapText="1"/>
    </xf>
    <xf numFmtId="0" fontId="20" fillId="6" borderId="5" xfId="0" applyFont="1" applyFill="1" applyBorder="1" applyAlignment="1">
      <alignment vertical="center"/>
    </xf>
    <xf numFmtId="0" fontId="20" fillId="6" borderId="6" xfId="0" applyFont="1" applyFill="1" applyBorder="1" applyAlignment="1">
      <alignment vertical="center"/>
    </xf>
    <xf numFmtId="0" fontId="20" fillId="6" borderId="8" xfId="0" applyFont="1" applyFill="1" applyBorder="1" applyAlignment="1">
      <alignment vertical="center" wrapText="1"/>
    </xf>
    <xf numFmtId="0" fontId="20" fillId="6" borderId="9" xfId="0" applyFont="1" applyFill="1" applyBorder="1" applyAlignment="1">
      <alignment vertical="center" wrapText="1"/>
    </xf>
    <xf numFmtId="0" fontId="23" fillId="8" borderId="10" xfId="0" applyFont="1" applyFill="1" applyBorder="1" applyAlignment="1">
      <alignment horizontal="center" vertical="center"/>
    </xf>
    <xf numFmtId="0" fontId="23" fillId="8" borderId="12" xfId="0" applyFont="1" applyFill="1" applyBorder="1" applyAlignment="1">
      <alignment horizontal="center" vertical="center"/>
    </xf>
    <xf numFmtId="0" fontId="23" fillId="8" borderId="11" xfId="0" applyFont="1" applyFill="1" applyBorder="1" applyAlignment="1">
      <alignment horizontal="center" vertical="center"/>
    </xf>
    <xf numFmtId="0" fontId="20" fillId="11" borderId="5" xfId="0" applyFont="1" applyFill="1" applyBorder="1" applyAlignment="1">
      <alignment vertical="center"/>
    </xf>
    <xf numFmtId="0" fontId="20" fillId="11" borderId="0" xfId="0" applyFont="1" applyFill="1" applyBorder="1" applyAlignment="1">
      <alignment vertical="center" wrapText="1"/>
    </xf>
    <xf numFmtId="0" fontId="20" fillId="11" borderId="8" xfId="0" applyFont="1" applyFill="1" applyBorder="1" applyAlignment="1">
      <alignment vertical="center" wrapText="1"/>
    </xf>
    <xf numFmtId="0" fontId="20" fillId="11" borderId="6" xfId="0" applyFont="1" applyFill="1" applyBorder="1" applyAlignment="1">
      <alignment vertical="center"/>
    </xf>
    <xf numFmtId="0" fontId="20" fillId="11" borderId="3" xfId="0" applyFont="1" applyFill="1" applyBorder="1" applyAlignment="1">
      <alignment vertical="center" wrapText="1"/>
    </xf>
    <xf numFmtId="0" fontId="20" fillId="11" borderId="9" xfId="0" applyFont="1" applyFill="1" applyBorder="1" applyAlignment="1">
      <alignment vertical="center" wrapText="1"/>
    </xf>
    <xf numFmtId="0" fontId="20" fillId="6" borderId="5" xfId="0" applyFont="1" applyFill="1" applyBorder="1" applyAlignment="1">
      <alignment horizontal="center" vertical="center"/>
    </xf>
    <xf numFmtId="0" fontId="20" fillId="6" borderId="6" xfId="0" applyFont="1" applyFill="1" applyBorder="1" applyAlignment="1">
      <alignment horizontal="center" vertical="center"/>
    </xf>
    <xf numFmtId="0" fontId="20" fillId="11" borderId="5" xfId="0" applyFont="1" applyFill="1" applyBorder="1" applyAlignment="1">
      <alignment horizontal="center" vertical="center"/>
    </xf>
    <xf numFmtId="0" fontId="23" fillId="9" borderId="10" xfId="0" applyFont="1" applyFill="1" applyBorder="1" applyAlignment="1">
      <alignment vertical="center"/>
    </xf>
    <xf numFmtId="0" fontId="23" fillId="9" borderId="12" xfId="0" applyFont="1" applyFill="1" applyBorder="1" applyAlignment="1">
      <alignment vertical="center" wrapText="1"/>
    </xf>
    <xf numFmtId="0" fontId="23" fillId="9" borderId="11" xfId="0" applyFont="1" applyFill="1" applyBorder="1" applyAlignment="1">
      <alignment vertical="center" wrapText="1"/>
    </xf>
  </cellXfs>
  <cellStyles count="1">
    <cellStyle name="Normal" xfId="0" builtinId="0"/>
  </cellStyles>
  <dxfs count="13">
    <dxf>
      <font>
        <color rgb="FF262626"/>
        <name val="Aptos"/>
      </font>
      <fill>
        <patternFill patternType="solid">
          <fgColor indexed="64"/>
          <bgColor rgb="FFFFFFFF"/>
        </patternFill>
      </fill>
    </dxf>
    <dxf>
      <font>
        <color rgb="FF262626"/>
        <name val="Aptos"/>
      </font>
      <fill>
        <patternFill patternType="solid">
          <fgColor indexed="64"/>
          <bgColor rgb="FFFFFFFF"/>
        </patternFill>
      </fill>
    </dxf>
    <dxf>
      <font>
        <color rgb="FF262626"/>
        <name val="Aptos"/>
      </font>
      <numFmt numFmtId="167" formatCode="0.0%"/>
      <fill>
        <patternFill patternType="solid">
          <fgColor indexed="64"/>
          <bgColor rgb="FFFFFFFF"/>
        </patternFill>
      </fill>
    </dxf>
    <dxf>
      <font>
        <color rgb="FF262626"/>
        <name val="Aptos"/>
      </font>
      <numFmt numFmtId="12" formatCode="&quot;R$&quot;\ #,##0.00;[Red]\-&quot;R$&quot;\ #,##0.00"/>
      <fill>
        <patternFill patternType="solid">
          <fgColor indexed="64"/>
          <bgColor rgb="FFFFFFFF"/>
        </patternFill>
      </fill>
    </dxf>
    <dxf>
      <font>
        <color rgb="FF262626"/>
        <name val="Aptos"/>
      </font>
      <fill>
        <patternFill patternType="solid">
          <fgColor indexed="64"/>
          <bgColor rgb="FFFFFFFF"/>
        </patternFill>
      </fill>
    </dxf>
    <dxf>
      <font>
        <color rgb="FF262626"/>
        <name val="Aptos"/>
      </font>
      <fill>
        <patternFill patternType="solid">
          <fgColor indexed="64"/>
          <bgColor rgb="FFFFFFFF"/>
        </patternFill>
      </fill>
    </dxf>
    <dxf>
      <font>
        <color rgb="FF262626"/>
        <name val="Aptos"/>
      </font>
      <fill>
        <patternFill patternType="solid">
          <fgColor indexed="64"/>
          <bgColor rgb="FFFFFFFF"/>
        </patternFill>
      </fill>
    </dxf>
    <dxf>
      <font>
        <color rgb="FF262626"/>
        <name val="Aptos"/>
      </font>
      <numFmt numFmtId="12" formatCode="&quot;R$&quot;\ #,##0.00;[Red]\-&quot;R$&quot;\ #,##0.00"/>
      <fill>
        <patternFill patternType="solid">
          <fgColor indexed="64"/>
          <bgColor rgb="FFFFFFFF"/>
        </patternFill>
      </fill>
    </dxf>
    <dxf>
      <font>
        <color rgb="FF262626"/>
        <name val="Aptos"/>
      </font>
      <numFmt numFmtId="12" formatCode="&quot;R$&quot;\ #,##0.00;[Red]\-&quot;R$&quot;\ #,##0.00"/>
      <fill>
        <patternFill patternType="solid">
          <fgColor indexed="64"/>
          <bgColor rgb="FFFFFFFF"/>
        </patternFill>
      </fill>
    </dxf>
    <dxf>
      <font>
        <color rgb="FF262626"/>
        <name val="Aptos"/>
      </font>
      <numFmt numFmtId="12" formatCode="&quot;R$&quot;\ #,##0.00;[Red]\-&quot;R$&quot;\ #,##0.00"/>
      <fill>
        <patternFill patternType="solid">
          <fgColor indexed="64"/>
          <bgColor rgb="FFFFFFFF"/>
        </patternFill>
      </fill>
    </dxf>
    <dxf>
      <font>
        <color rgb="FF262626"/>
        <name val="Aptos"/>
      </font>
      <numFmt numFmtId="12" formatCode="&quot;R$&quot;\ #,##0.00;[Red]\-&quot;R$&quot;\ #,##0.00"/>
      <fill>
        <patternFill patternType="solid">
          <fgColor indexed="64"/>
          <bgColor rgb="FFFFFFFF"/>
        </patternFill>
      </fill>
    </dxf>
    <dxf>
      <font>
        <color rgb="FF262626"/>
        <name val="Aptos"/>
      </font>
      <numFmt numFmtId="12" formatCode="&quot;R$&quot;\ #,##0.00;[Red]\-&quot;R$&quot;\ #,##0.00"/>
      <fill>
        <patternFill patternType="solid">
          <fgColor indexed="64"/>
          <bgColor rgb="FFFFFFFF"/>
        </patternFill>
      </fill>
    </dxf>
    <dxf>
      <font>
        <color rgb="FF262626"/>
        <name val="Aptos"/>
      </font>
      <fill>
        <patternFill patternType="solid">
          <fgColor indexed="64"/>
          <bgColor rgb="FFFFFFFF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Inflows vs Outflows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'Trends &amp; Insights'!$B$14</c:f>
              <c:strCache>
                <c:ptCount val="1"/>
                <c:pt idx="0">
                  <c:v>Inflows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'Trends &amp; Insights'!$A$15:$A$19</c:f>
              <c:strCache>
                <c:ptCount val="5"/>
                <c:pt idx="0">
                  <c:v>April 2026</c:v>
                </c:pt>
                <c:pt idx="1">
                  <c:v>May 2026</c:v>
                </c:pt>
                <c:pt idx="2">
                  <c:v>June 2026</c:v>
                </c:pt>
                <c:pt idx="3">
                  <c:v>July 2026</c:v>
                </c:pt>
                <c:pt idx="4">
                  <c:v>August 2026</c:v>
                </c:pt>
              </c:strCache>
            </c:strRef>
          </c:cat>
          <c:val>
            <c:numRef>
              <c:f>'Trends &amp; Insights'!$B$15:$B$19</c:f>
              <c:numCache>
                <c:formatCode>"R$"#,##0.00_);[Red]\("R$"#,##0.00\)</c:formatCode>
                <c:ptCount val="5"/>
                <c:pt idx="0">
                  <c:v>27262.06</c:v>
                </c:pt>
                <c:pt idx="1">
                  <c:v>17065.63</c:v>
                </c:pt>
                <c:pt idx="2">
                  <c:v>24151.040000000001</c:v>
                </c:pt>
                <c:pt idx="3">
                  <c:v>11272.89</c:v>
                </c:pt>
                <c:pt idx="4">
                  <c:v>25518.65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4B-8B41-B8A8-6432E91E929A}"/>
            </c:ext>
          </c:extLst>
        </c:ser>
        <c:ser>
          <c:idx val="1"/>
          <c:order val="1"/>
          <c:tx>
            <c:strRef>
              <c:f>'Trends &amp; Insights'!$C$14</c:f>
              <c:strCache>
                <c:ptCount val="1"/>
                <c:pt idx="0">
                  <c:v>Outflows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'Trends &amp; Insights'!$A$15:$A$19</c:f>
              <c:strCache>
                <c:ptCount val="5"/>
                <c:pt idx="0">
                  <c:v>April 2026</c:v>
                </c:pt>
                <c:pt idx="1">
                  <c:v>May 2026</c:v>
                </c:pt>
                <c:pt idx="2">
                  <c:v>June 2026</c:v>
                </c:pt>
                <c:pt idx="3">
                  <c:v>July 2026</c:v>
                </c:pt>
                <c:pt idx="4">
                  <c:v>August 2026</c:v>
                </c:pt>
              </c:strCache>
            </c:strRef>
          </c:cat>
          <c:val>
            <c:numRef>
              <c:f>'Trends &amp; Insights'!$C$15:$C$19</c:f>
              <c:numCache>
                <c:formatCode>"R$"#,##0.00_);[Red]\("R$"#,##0.00\)</c:formatCode>
                <c:ptCount val="5"/>
                <c:pt idx="0">
                  <c:v>21193.040000000001</c:v>
                </c:pt>
                <c:pt idx="1">
                  <c:v>30217.29</c:v>
                </c:pt>
                <c:pt idx="2">
                  <c:v>14108.3</c:v>
                </c:pt>
                <c:pt idx="3">
                  <c:v>31069.01</c:v>
                </c:pt>
                <c:pt idx="4">
                  <c:v>18000.990000000002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B4B-8B41-B8A8-6432E91E92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10811008"/>
        <c:axId val="910802944"/>
      </c:barChart>
      <c:catAx>
        <c:axId val="9108110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BR"/>
          </a:p>
        </c:txPr>
        <c:crossAx val="910802944"/>
        <c:crosses val="autoZero"/>
        <c:auto val="1"/>
        <c:lblAlgn val="ctr"/>
        <c:lblOffset val="100"/>
        <c:noMultiLvlLbl val="0"/>
      </c:catAx>
      <c:valAx>
        <c:axId val="910802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Amount (R$)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BR"/>
            </a:p>
          </c:txPr>
        </c:title>
        <c:numFmt formatCode="\R&quot;R$&quot;\ #.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BR"/>
          </a:p>
        </c:txPr>
        <c:crossAx val="910811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B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Closing vs Minimum Balance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'Trends &amp; Insights'!$E$14</c:f>
              <c:strCache>
                <c:ptCount val="1"/>
                <c:pt idx="0">
                  <c:v>Closing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'Trends &amp; Insights'!$A$15:$A$19</c:f>
              <c:strCache>
                <c:ptCount val="5"/>
                <c:pt idx="0">
                  <c:v>April 2026</c:v>
                </c:pt>
                <c:pt idx="1">
                  <c:v>May 2026</c:v>
                </c:pt>
                <c:pt idx="2">
                  <c:v>June 2026</c:v>
                </c:pt>
                <c:pt idx="3">
                  <c:v>July 2026</c:v>
                </c:pt>
                <c:pt idx="4">
                  <c:v>August 2026</c:v>
                </c:pt>
              </c:strCache>
            </c:strRef>
          </c:cat>
          <c:val>
            <c:numRef>
              <c:f>'Trends &amp; Insights'!$E$15:$E$19</c:f>
              <c:numCache>
                <c:formatCode>"R$"#,##0.00_);[Red]\("R$"#,##0.00\)</c:formatCode>
                <c:ptCount val="5"/>
                <c:pt idx="0">
                  <c:v>27224.11</c:v>
                </c:pt>
                <c:pt idx="1">
                  <c:v>14072.45</c:v>
                </c:pt>
                <c:pt idx="2">
                  <c:v>24115.19</c:v>
                </c:pt>
                <c:pt idx="3">
                  <c:v>4319.07</c:v>
                </c:pt>
                <c:pt idx="4">
                  <c:v>11836.73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C5D-3D42-BE45-86C760E18E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20018368"/>
        <c:axId val="920021952"/>
      </c:lineChart>
      <c:lineChart>
        <c:grouping val="standard"/>
        <c:varyColors val="0"/>
        <c:ser>
          <c:idx val="1"/>
          <c:order val="1"/>
          <c:tx>
            <c:strRef>
              <c:f>'Trends &amp; Insights'!$F$14</c:f>
              <c:strCache>
                <c:ptCount val="1"/>
                <c:pt idx="0">
                  <c:v>Minimum Balance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'Trends &amp; Insights'!$A$15:$A$19</c:f>
              <c:strCache>
                <c:ptCount val="5"/>
                <c:pt idx="0">
                  <c:v>April 2026</c:v>
                </c:pt>
                <c:pt idx="1">
                  <c:v>May 2026</c:v>
                </c:pt>
                <c:pt idx="2">
                  <c:v>June 2026</c:v>
                </c:pt>
                <c:pt idx="3">
                  <c:v>July 2026</c:v>
                </c:pt>
                <c:pt idx="4">
                  <c:v>August 2026</c:v>
                </c:pt>
              </c:strCache>
            </c:strRef>
          </c:cat>
          <c:val>
            <c:numRef>
              <c:f>'Trends &amp; Insights'!$F$15:$F$19</c:f>
              <c:numCache>
                <c:formatCode>"R$"#,##0.00_);[Red]\("R$"#,##0.00\)</c:formatCode>
                <c:ptCount val="5"/>
                <c:pt idx="0">
                  <c:v>30.9</c:v>
                </c:pt>
                <c:pt idx="1">
                  <c:v>471.2</c:v>
                </c:pt>
                <c:pt idx="2">
                  <c:v>0.88</c:v>
                </c:pt>
                <c:pt idx="3">
                  <c:v>33.11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C5D-3D42-BE45-86C760E18E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10845568"/>
        <c:axId val="765773568"/>
      </c:lineChart>
      <c:catAx>
        <c:axId val="9200183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BR"/>
          </a:p>
        </c:txPr>
        <c:crossAx val="920021952"/>
        <c:crosses val="autoZero"/>
        <c:auto val="1"/>
        <c:lblAlgn val="ctr"/>
        <c:lblOffset val="100"/>
        <c:noMultiLvlLbl val="0"/>
      </c:catAx>
      <c:valAx>
        <c:axId val="920021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Closing Balance (R$)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BR"/>
            </a:p>
          </c:txPr>
        </c:title>
        <c:numFmt formatCode="\R&quot;R$&quot;\ #.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BR"/>
          </a:p>
        </c:txPr>
        <c:crossAx val="920018368"/>
        <c:crosses val="autoZero"/>
        <c:crossBetween val="between"/>
      </c:valAx>
      <c:valAx>
        <c:axId val="765773568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Minimum Balance (R$)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BR"/>
            </a:p>
          </c:txPr>
        </c:title>
        <c:numFmt formatCode="\R&quot;R$&quot;\ #.##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BR"/>
          </a:p>
        </c:txPr>
        <c:crossAx val="910845568"/>
        <c:crosses val="max"/>
        <c:crossBetween val="between"/>
      </c:valAx>
      <c:catAx>
        <c:axId val="91084556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65773568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B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Six Outflow Categories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B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'Trends &amp; Insights'!$B$40</c:f>
              <c:strCache>
                <c:ptCount val="1"/>
                <c:pt idx="0">
                  <c:v>Amount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\R&quot;R$&quot;\ #.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'Trends &amp; Insights'!$A$41:$A$46</c:f>
              <c:strCache>
                <c:ptCount val="6"/>
                <c:pt idx="0">
                  <c:v>Person / External Transfer</c:v>
                </c:pt>
                <c:pt idx="1">
                  <c:v>Credit Card Settlement</c:v>
                </c:pt>
                <c:pt idx="2">
                  <c:v>Bills &amp; Services</c:v>
                </c:pt>
                <c:pt idx="3">
                  <c:v>Groceries &amp; Food</c:v>
                </c:pt>
                <c:pt idx="4">
                  <c:v>E-commerce</c:v>
                </c:pt>
                <c:pt idx="5">
                  <c:v>Travel</c:v>
                </c:pt>
              </c:strCache>
            </c:strRef>
          </c:cat>
          <c:val>
            <c:numRef>
              <c:f>'Trends &amp; Insights'!$B$41:$B$46</c:f>
              <c:numCache>
                <c:formatCode>"R$"#,##0.00_);[Red]\("R$"#,##0.00\)</c:formatCode>
                <c:ptCount val="6"/>
                <c:pt idx="0">
                  <c:v>47343.839999999997</c:v>
                </c:pt>
                <c:pt idx="1">
                  <c:v>29540.63</c:v>
                </c:pt>
                <c:pt idx="2">
                  <c:v>9790.6</c:v>
                </c:pt>
                <c:pt idx="3">
                  <c:v>6716.58</c:v>
                </c:pt>
                <c:pt idx="4">
                  <c:v>4805.3900000000003</c:v>
                </c:pt>
                <c:pt idx="5">
                  <c:v>3529.31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6F-8544-B859-98D2A57672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11486336"/>
        <c:axId val="790088768"/>
      </c:barChart>
      <c:catAx>
        <c:axId val="91148633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Category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BR"/>
          </a:p>
        </c:txPr>
        <c:crossAx val="790088768"/>
        <c:crosses val="autoZero"/>
        <c:auto val="1"/>
        <c:lblAlgn val="ctr"/>
        <c:lblOffset val="100"/>
        <c:noMultiLvlLbl val="0"/>
      </c:catAx>
      <c:valAx>
        <c:axId val="7900887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Outflow Amount (R$)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BR"/>
            </a:p>
          </c:txPr>
        </c:title>
        <c:numFmt formatCode="\R&quot;R$&quot;\ #.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BR"/>
          </a:p>
        </c:txPr>
        <c:crossAx val="9114863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B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Monthly Net Cash Movement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Dashboard!$F$10</c:f>
              <c:strCache>
                <c:ptCount val="1"/>
                <c:pt idx="0">
                  <c:v>Net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Dashboard!$A$11:$A$15</c:f>
              <c:strCache>
                <c:ptCount val="5"/>
                <c:pt idx="0">
                  <c:v>2026-04</c:v>
                </c:pt>
                <c:pt idx="1">
                  <c:v>2026-05</c:v>
                </c:pt>
                <c:pt idx="2">
                  <c:v>2026-06</c:v>
                </c:pt>
                <c:pt idx="3">
                  <c:v>2026-07</c:v>
                </c:pt>
                <c:pt idx="4">
                  <c:v>2026-08</c:v>
                </c:pt>
              </c:strCache>
            </c:strRef>
          </c:cat>
          <c:val>
            <c:numRef>
              <c:f>Dashboard!$F$11:$F$15</c:f>
              <c:numCache>
                <c:formatCode>\R\$\ #,##0.00</c:formatCode>
                <c:ptCount val="5"/>
                <c:pt idx="0">
                  <c:v>6069.02</c:v>
                </c:pt>
                <c:pt idx="1">
                  <c:v>-13151.66</c:v>
                </c:pt>
                <c:pt idx="2">
                  <c:v>10042.74</c:v>
                </c:pt>
                <c:pt idx="3">
                  <c:v>-19796.12</c:v>
                </c:pt>
                <c:pt idx="4">
                  <c:v>7517.66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EE-214F-B807-0D8C91EDAC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R$</a:t>
                </a:r>
              </a:p>
            </c:rich>
          </c:tx>
          <c:overlay val="1"/>
        </c:title>
        <c:numFmt formatCode="\R\$\ #,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Closing Balance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Dashboard!$G$10</c:f>
              <c:strCache>
                <c:ptCount val="1"/>
                <c:pt idx="0">
                  <c:v>Closing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Dashboard!$A$11:$A$15</c:f>
              <c:strCache>
                <c:ptCount val="5"/>
                <c:pt idx="0">
                  <c:v>2026-04</c:v>
                </c:pt>
                <c:pt idx="1">
                  <c:v>2026-05</c:v>
                </c:pt>
                <c:pt idx="2">
                  <c:v>2026-06</c:v>
                </c:pt>
                <c:pt idx="3">
                  <c:v>2026-07</c:v>
                </c:pt>
                <c:pt idx="4">
                  <c:v>2026-08</c:v>
                </c:pt>
              </c:strCache>
            </c:strRef>
          </c:cat>
          <c:val>
            <c:numRef>
              <c:f>Dashboard!$G$11:$G$15</c:f>
              <c:numCache>
                <c:formatCode>\R\$\ #,##0.00</c:formatCode>
                <c:ptCount val="5"/>
                <c:pt idx="0">
                  <c:v>27224.11</c:v>
                </c:pt>
                <c:pt idx="1">
                  <c:v>14072.45</c:v>
                </c:pt>
                <c:pt idx="2">
                  <c:v>24115.19</c:v>
                </c:pt>
                <c:pt idx="3">
                  <c:v>4319.07</c:v>
                </c:pt>
                <c:pt idx="4">
                  <c:v>11836.73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685-2B47-B8D6-BF03B5C559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R$</a:t>
                </a:r>
              </a:p>
            </c:rich>
          </c:tx>
          <c:overlay val="1"/>
        </c:title>
        <c:numFmt formatCode="\R\$\ #,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Outflows by Category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'Outflow Categories'!$B$4</c:f>
              <c:strCache>
                <c:ptCount val="1"/>
                <c:pt idx="0">
                  <c:v>Outflow Amount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'Outflow Categories'!$A$5:$A$24</c:f>
              <c:strCache>
                <c:ptCount val="20"/>
                <c:pt idx="0">
                  <c:v>Person / External Transfer</c:v>
                </c:pt>
                <c:pt idx="1">
                  <c:v>Credit Card Settlement</c:v>
                </c:pt>
                <c:pt idx="2">
                  <c:v>Bills &amp; Services</c:v>
                </c:pt>
                <c:pt idx="3">
                  <c:v>Groceries &amp; Food</c:v>
                </c:pt>
                <c:pt idx="4">
                  <c:v>E-commerce</c:v>
                </c:pt>
                <c:pt idx="5">
                  <c:v>Travel</c:v>
                </c:pt>
                <c:pt idx="6">
                  <c:v>Automotive</c:v>
                </c:pt>
                <c:pt idx="7">
                  <c:v>Purchases &amp; Services</c:v>
                </c:pt>
                <c:pt idx="8">
                  <c:v>Dining</c:v>
                </c:pt>
                <c:pt idx="9">
                  <c:v>Taxes &amp; Government</c:v>
                </c:pt>
                <c:pt idx="10">
                  <c:v>Utilities</c:v>
                </c:pt>
                <c:pt idx="11">
                  <c:v>Health</c:v>
                </c:pt>
                <c:pt idx="12">
                  <c:v>Telecommunications</c:v>
                </c:pt>
                <c:pt idx="13">
                  <c:v>Fuel</c:v>
                </c:pt>
                <c:pt idx="14">
                  <c:v>Digital Services</c:v>
                </c:pt>
                <c:pt idx="15">
                  <c:v>Parking</c:v>
                </c:pt>
                <c:pt idx="16">
                  <c:v>Other</c:v>
                </c:pt>
                <c:pt idx="17">
                  <c:v>Judicial Restriction</c:v>
                </c:pt>
                <c:pt idx="18">
                  <c:v>Transport</c:v>
                </c:pt>
                <c:pt idx="19">
                  <c:v>Merchant Purchase</c:v>
                </c:pt>
              </c:strCache>
            </c:strRef>
          </c:cat>
          <c:val>
            <c:numRef>
              <c:f>'Outflow Categories'!$B$5:$B$24</c:f>
              <c:numCache>
                <c:formatCode>\R\$\ #,##0.00</c:formatCode>
                <c:ptCount val="20"/>
                <c:pt idx="0">
                  <c:v>47343.839999999997</c:v>
                </c:pt>
                <c:pt idx="1">
                  <c:v>29540.63</c:v>
                </c:pt>
                <c:pt idx="2">
                  <c:v>9790.6</c:v>
                </c:pt>
                <c:pt idx="3">
                  <c:v>6716.58</c:v>
                </c:pt>
                <c:pt idx="4">
                  <c:v>4805.3900000000003</c:v>
                </c:pt>
                <c:pt idx="5">
                  <c:v>3529.31</c:v>
                </c:pt>
                <c:pt idx="6">
                  <c:v>3340</c:v>
                </c:pt>
                <c:pt idx="7">
                  <c:v>2096.13</c:v>
                </c:pt>
                <c:pt idx="8">
                  <c:v>1448.9</c:v>
                </c:pt>
                <c:pt idx="9">
                  <c:v>1342.74</c:v>
                </c:pt>
                <c:pt idx="10">
                  <c:v>1181.9100000000001</c:v>
                </c:pt>
                <c:pt idx="11">
                  <c:v>814.88999999999987</c:v>
                </c:pt>
                <c:pt idx="12">
                  <c:v>800.78</c:v>
                </c:pt>
                <c:pt idx="13">
                  <c:v>520.74</c:v>
                </c:pt>
                <c:pt idx="14">
                  <c:v>387.96</c:v>
                </c:pt>
                <c:pt idx="15">
                  <c:v>346</c:v>
                </c:pt>
                <c:pt idx="16">
                  <c:v>337.66</c:v>
                </c:pt>
                <c:pt idx="17">
                  <c:v>155.58000000000001</c:v>
                </c:pt>
                <c:pt idx="18">
                  <c:v>78.989999999999995</c:v>
                </c:pt>
                <c:pt idx="19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83-BC45-A4E4-AC8396C803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Category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R$</a:t>
                </a:r>
              </a:p>
            </c:rich>
          </c:tx>
          <c:overlay val="1"/>
        </c:title>
        <c:numFmt formatCode="\R\$\ #,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20</xdr:row>
      <xdr:rowOff>0</xdr:rowOff>
    </xdr:from>
    <xdr:to>
      <xdr:col>5</xdr:col>
      <xdr:colOff>0</xdr:colOff>
      <xdr:row>37</xdr:row>
      <xdr:rowOff>0</xdr:rowOff>
    </xdr:to>
    <xdr:graphicFrame macro="">
      <xdr:nvGraphicFramePr>
        <xdr:cNvPr id="2" name="Monthly Cash Flow">
          <a:extLst>
            <a:ext uri="{FF2B5EF4-FFF2-40B4-BE49-F238E27FC236}">
              <a16:creationId xmlns:a16="http://schemas.microsoft.com/office/drawing/2014/main" id="{5BEA3DF5-7EE6-03EB-3A78-A6F0073B4F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20</xdr:row>
      <xdr:rowOff>0</xdr:rowOff>
    </xdr:from>
    <xdr:to>
      <xdr:col>11</xdr:col>
      <xdr:colOff>0</xdr:colOff>
      <xdr:row>37</xdr:row>
      <xdr:rowOff>0</xdr:rowOff>
    </xdr:to>
    <xdr:graphicFrame macro="">
      <xdr:nvGraphicFramePr>
        <xdr:cNvPr id="3" name="Liquidity Trend">
          <a:extLst>
            <a:ext uri="{FF2B5EF4-FFF2-40B4-BE49-F238E27FC236}">
              <a16:creationId xmlns:a16="http://schemas.microsoft.com/office/drawing/2014/main" id="{B1350F26-2B5E-F208-CBDE-C63F4CCC90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0</xdr:colOff>
      <xdr:row>39</xdr:row>
      <xdr:rowOff>0</xdr:rowOff>
    </xdr:from>
    <xdr:to>
      <xdr:col>11</xdr:col>
      <xdr:colOff>0</xdr:colOff>
      <xdr:row>54</xdr:row>
      <xdr:rowOff>0</xdr:rowOff>
    </xdr:to>
    <xdr:graphicFrame macro="">
      <xdr:nvGraphicFramePr>
        <xdr:cNvPr id="4" name="Top Outflow Categories">
          <a:extLst>
            <a:ext uri="{FF2B5EF4-FFF2-40B4-BE49-F238E27FC236}">
              <a16:creationId xmlns:a16="http://schemas.microsoft.com/office/drawing/2014/main" id="{52088232-F901-8B7C-49CA-531DAEBA1B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3</xdr:row>
      <xdr:rowOff>0</xdr:rowOff>
    </xdr:from>
    <xdr:ext cx="432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10</xdr:col>
      <xdr:colOff>0</xdr:colOff>
      <xdr:row>18</xdr:row>
      <xdr:rowOff>0</xdr:rowOff>
    </xdr:from>
    <xdr:ext cx="4320000" cy="252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3</xdr:row>
      <xdr:rowOff>0</xdr:rowOff>
    </xdr:from>
    <xdr:ext cx="5400000" cy="32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31871BC-B6E1-4646-9F87-B1CDE2A2A756}" name="TrendMonthly" displayName="TrendMonthly" ref="A14:F19" totalsRowShown="0" headerRowDxfId="6" dataDxfId="5">
  <autoFilter ref="A14:F19" xr:uid="{B31871BC-B6E1-4646-9F87-B1CDE2A2A756}"/>
  <tableColumns count="6">
    <tableColumn id="1" xr3:uid="{6F9630A8-65B3-A94B-807E-ED3976CB6D45}" name="Month" dataDxfId="12">
      <calculatedColumnFormula>'Monthly Summary'!B5</calculatedColumnFormula>
    </tableColumn>
    <tableColumn id="2" xr3:uid="{53CD7672-44C6-C74F-A911-0F59BDE8B706}" name="Inflows" dataDxfId="11">
      <calculatedColumnFormula>'Monthly Summary'!H5</calculatedColumnFormula>
    </tableColumn>
    <tableColumn id="3" xr3:uid="{5A9AB683-D153-C944-A56B-EF1456D35D91}" name="Outflows" dataDxfId="10">
      <calculatedColumnFormula>'Monthly Summary'!I5</calculatedColumnFormula>
    </tableColumn>
    <tableColumn id="4" xr3:uid="{A62F94AB-B1DE-4448-8873-E403A3438E4E}" name="Net" dataDxfId="9">
      <calculatedColumnFormula>'Monthly Summary'!J5</calculatedColumnFormula>
    </tableColumn>
    <tableColumn id="5" xr3:uid="{1681567E-F2B5-C142-997C-BAB541F5BCEA}" name="Closing" dataDxfId="8">
      <calculatedColumnFormula>'Monthly Summary'!F5</calculatedColumnFormula>
    </tableColumn>
    <tableColumn id="6" xr3:uid="{ACD45976-8C1E-8746-96B3-0BC9D7FC009B}" name="Minimum Balance" dataDxfId="7">
      <calculatedColumnFormula>Dashboard!H11</calculatedColumnFormula>
    </tableColumn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EB35340-0416-4246-ACEE-68D84A6F41FE}" name="TrendCategories" displayName="TrendCategories" ref="A40:C46" totalsRowShown="0" headerRowDxfId="1" dataDxfId="0">
  <autoFilter ref="A40:C46" xr:uid="{6EB35340-0416-4246-ACEE-68D84A6F41FE}"/>
  <tableColumns count="3">
    <tableColumn id="1" xr3:uid="{8C92EF25-E69D-B048-AA91-2F69D06608D9}" name="Outflow Category" dataDxfId="4">
      <calculatedColumnFormula>'Outflow Categories'!A5</calculatedColumnFormula>
    </tableColumn>
    <tableColumn id="2" xr3:uid="{3808DD7D-704F-7248-BE6C-05E6D56BCDC3}" name="Amount" dataDxfId="3">
      <calculatedColumnFormula>'Outflow Categories'!B5</calculatedColumnFormula>
    </tableColumn>
    <tableColumn id="3" xr3:uid="{A9AD7F47-CC4B-794F-BDB0-FD96D10173A3}" name="Share" dataDxfId="2">
      <calculatedColumnFormula>'Outflow Categories'!C5</calculatedColumnFormula>
    </tableColumn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MonthlySnapshot" displayName="MonthlySnapshot" ref="A10:I15">
  <autoFilter ref="A10:I15" xr:uid="{00000000-0009-0000-0100-000001000000}"/>
  <tableColumns count="9">
    <tableColumn id="1" xr3:uid="{00000000-0010-0000-0000-000001000000}" name="Month"/>
    <tableColumn id="2" xr3:uid="{00000000-0010-0000-0000-000002000000}" name="Transactions"/>
    <tableColumn id="3" xr3:uid="{00000000-0010-0000-0000-000003000000}" name="Opening"/>
    <tableColumn id="4" xr3:uid="{00000000-0010-0000-0000-000004000000}" name="Inflows"/>
    <tableColumn id="5" xr3:uid="{00000000-0010-0000-0000-000005000000}" name="Outflows"/>
    <tableColumn id="6" xr3:uid="{00000000-0010-0000-0000-000006000000}" name="Net"/>
    <tableColumn id="7" xr3:uid="{00000000-0010-0000-0000-000007000000}" name="Closing"/>
    <tableColumn id="8" xr3:uid="{00000000-0010-0000-0000-000008000000}" name="Minimum Balance"/>
    <tableColumn id="9" xr3:uid="{00000000-0010-0000-0000-000009000000}" name="Reconciliation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OutflowCategories" displayName="OutflowCategories" ref="A4:D24">
  <autoFilter ref="A4:D24" xr:uid="{00000000-0009-0000-0100-000004000000}"/>
  <tableColumns count="4">
    <tableColumn id="1" xr3:uid="{00000000-0010-0000-0300-000001000000}" name="Category"/>
    <tableColumn id="2" xr3:uid="{00000000-0010-0000-0300-000002000000}" name="Outflow Amount"/>
    <tableColumn id="3" xr3:uid="{00000000-0010-0000-0300-000003000000}" name="Share of Outflows"/>
    <tableColumn id="4" xr3:uid="{00000000-0010-0000-0300-000004000000}" name="Transaction Count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CounterpartiesTable" displayName="CounterpartiesTable" ref="A4:E108">
  <autoFilter ref="A4:E108" xr:uid="{00000000-0009-0000-0100-000005000000}"/>
  <tableColumns count="5">
    <tableColumn id="1" xr3:uid="{00000000-0010-0000-0400-000001000000}" name="Counterparty"/>
    <tableColumn id="2" xr3:uid="{00000000-0010-0000-0400-000002000000}" name="Primary Category"/>
    <tableColumn id="3" xr3:uid="{00000000-0010-0000-0400-000003000000}" name="Transactions"/>
    <tableColumn id="4" xr3:uid="{00000000-0010-0000-0400-000004000000}" name="Net Amount"/>
    <tableColumn id="5" xr3:uid="{00000000-0010-0000-0400-000005000000}" name="Absolute Flow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ReconciliationTable" displayName="ReconciliationTable" ref="A4:J9">
  <autoFilter ref="A4:J9" xr:uid="{00000000-0009-0000-0100-000006000000}"/>
  <tableColumns count="10">
    <tableColumn id="1" xr3:uid="{00000000-0010-0000-0500-000001000000}" name="Source / Period"/>
    <tableColumn id="2" xr3:uid="{00000000-0010-0000-0500-000002000000}" name="Opening Balance"/>
    <tableColumn id="3" xr3:uid="{00000000-0010-0000-0500-000003000000}" name="Reported Inflows"/>
    <tableColumn id="4" xr3:uid="{00000000-0010-0000-0500-000004000000}" name="Calculated Inflows"/>
    <tableColumn id="5" xr3:uid="{00000000-0010-0000-0500-000005000000}" name="Inflows Variance"/>
    <tableColumn id="6" xr3:uid="{00000000-0010-0000-0500-000006000000}" name="Reported Outflows"/>
    <tableColumn id="7" xr3:uid="{00000000-0010-0000-0500-000007000000}" name="Calculated Outflows"/>
    <tableColumn id="8" xr3:uid="{00000000-0010-0000-0500-000008000000}" name="Outflows Variance"/>
    <tableColumn id="9" xr3:uid="{00000000-0010-0000-0500-000009000000}" name="Closing Balance"/>
    <tableColumn id="10" xr3:uid="{00000000-0010-0000-0500-00000A000000}" name="Statu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SourceRegister" displayName="SourceRegister" ref="A12:E18">
  <autoFilter ref="A12:E18" xr:uid="{00000000-0009-0000-0100-000007000000}"/>
  <tableColumns count="5">
    <tableColumn id="1" xr3:uid="{00000000-0010-0000-0600-000001000000}" name="Source"/>
    <tableColumn id="2" xr3:uid="{00000000-0010-0000-0600-000002000000}" name="Period"/>
    <tableColumn id="3" xr3:uid="{00000000-0010-0000-0600-000003000000}" name="Role"/>
    <tableColumn id="4" xr3:uid="{00000000-0010-0000-0600-000004000000}" name="Workbook Treatment"/>
    <tableColumn id="5" xr3:uid="{00000000-0010-0000-0600-000005000000}" name="Transaction Detai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2F5B84"/>
  </sheetPr>
  <dimension ref="A1:H14"/>
  <sheetViews>
    <sheetView showGridLines="0" workbookViewId="0">
      <pane ySplit="3" topLeftCell="A4" activePane="bottomLeft" state="frozen"/>
      <selection pane="bottomLeft" sqref="A1:H1"/>
    </sheetView>
  </sheetViews>
  <sheetFormatPr baseColWidth="10" defaultColWidth="8.83203125" defaultRowHeight="15" x14ac:dyDescent="0.2"/>
  <cols>
    <col min="1" max="1" width="25" customWidth="1"/>
    <col min="2" max="2" width="90" customWidth="1"/>
  </cols>
  <sheetData>
    <row r="1" spans="1:8" ht="32" customHeight="1" x14ac:dyDescent="0.2">
      <c r="A1" s="12" t="s">
        <v>1023</v>
      </c>
      <c r="B1" s="13"/>
      <c r="C1" s="13"/>
      <c r="D1" s="13"/>
      <c r="E1" s="13"/>
      <c r="F1" s="13"/>
      <c r="G1" s="13"/>
      <c r="H1" s="13"/>
    </row>
    <row r="2" spans="1:8" ht="22" customHeight="1" x14ac:dyDescent="0.2">
      <c r="A2" s="16" t="s">
        <v>1024</v>
      </c>
      <c r="B2" s="13"/>
      <c r="C2" s="13"/>
      <c r="D2" s="13"/>
      <c r="E2" s="13"/>
      <c r="F2" s="13"/>
      <c r="G2" s="13"/>
      <c r="H2" s="13"/>
    </row>
    <row r="4" spans="1:8" x14ac:dyDescent="0.2">
      <c r="A4" s="9" t="s">
        <v>1025</v>
      </c>
      <c r="B4" s="17" t="s">
        <v>1026</v>
      </c>
      <c r="C4" s="13"/>
      <c r="D4" s="13"/>
      <c r="E4" s="13"/>
      <c r="F4" s="13"/>
      <c r="G4" s="13"/>
      <c r="H4" s="13"/>
    </row>
    <row r="5" spans="1:8" x14ac:dyDescent="0.2">
      <c r="A5" s="9" t="s">
        <v>1027</v>
      </c>
      <c r="B5" s="17" t="s">
        <v>1028</v>
      </c>
      <c r="C5" s="13"/>
      <c r="D5" s="13"/>
      <c r="E5" s="13"/>
      <c r="F5" s="13"/>
      <c r="G5" s="13"/>
      <c r="H5" s="13"/>
    </row>
    <row r="6" spans="1:8" x14ac:dyDescent="0.2">
      <c r="A6" s="9" t="s">
        <v>1029</v>
      </c>
      <c r="B6" s="17" t="s">
        <v>1030</v>
      </c>
      <c r="C6" s="13"/>
      <c r="D6" s="13"/>
      <c r="E6" s="13"/>
      <c r="F6" s="13"/>
      <c r="G6" s="13"/>
      <c r="H6" s="13"/>
    </row>
    <row r="7" spans="1:8" x14ac:dyDescent="0.2">
      <c r="A7" s="9" t="s">
        <v>1031</v>
      </c>
      <c r="B7" s="17" t="s">
        <v>1032</v>
      </c>
      <c r="C7" s="13"/>
      <c r="D7" s="13"/>
      <c r="E7" s="13"/>
      <c r="F7" s="13"/>
      <c r="G7" s="13"/>
      <c r="H7" s="13"/>
    </row>
    <row r="8" spans="1:8" x14ac:dyDescent="0.2">
      <c r="A8" s="9" t="s">
        <v>1033</v>
      </c>
      <c r="B8" s="17" t="s">
        <v>1034</v>
      </c>
      <c r="C8" s="13"/>
      <c r="D8" s="13"/>
      <c r="E8" s="13"/>
      <c r="F8" s="13"/>
      <c r="G8" s="13"/>
      <c r="H8" s="13"/>
    </row>
    <row r="9" spans="1:8" x14ac:dyDescent="0.2">
      <c r="A9" s="9" t="s">
        <v>50</v>
      </c>
      <c r="B9" s="17" t="s">
        <v>1035</v>
      </c>
      <c r="C9" s="13"/>
      <c r="D9" s="13"/>
      <c r="E9" s="13"/>
      <c r="F9" s="13"/>
      <c r="G9" s="13"/>
      <c r="H9" s="13"/>
    </row>
    <row r="10" spans="1:8" x14ac:dyDescent="0.2">
      <c r="A10" s="9" t="s">
        <v>1036</v>
      </c>
      <c r="B10" s="17" t="s">
        <v>1037</v>
      </c>
      <c r="C10" s="13"/>
      <c r="D10" s="13"/>
      <c r="E10" s="13"/>
      <c r="F10" s="13"/>
      <c r="G10" s="13"/>
      <c r="H10" s="13"/>
    </row>
    <row r="11" spans="1:8" x14ac:dyDescent="0.2">
      <c r="A11" s="9" t="s">
        <v>1038</v>
      </c>
      <c r="B11" s="17" t="s">
        <v>1039</v>
      </c>
      <c r="C11" s="13"/>
      <c r="D11" s="13"/>
      <c r="E11" s="13"/>
      <c r="F11" s="13"/>
      <c r="G11" s="13"/>
      <c r="H11" s="13"/>
    </row>
    <row r="12" spans="1:8" x14ac:dyDescent="0.2">
      <c r="A12" s="9" t="s">
        <v>293</v>
      </c>
      <c r="B12" s="17" t="s">
        <v>1040</v>
      </c>
      <c r="C12" s="13"/>
      <c r="D12" s="13"/>
      <c r="E12" s="13"/>
      <c r="F12" s="13"/>
      <c r="G12" s="13"/>
      <c r="H12" s="13"/>
    </row>
    <row r="13" spans="1:8" x14ac:dyDescent="0.2">
      <c r="A13" s="9" t="s">
        <v>1041</v>
      </c>
      <c r="B13" s="17" t="s">
        <v>1042</v>
      </c>
      <c r="C13" s="13"/>
      <c r="D13" s="13"/>
      <c r="E13" s="13"/>
      <c r="F13" s="13"/>
      <c r="G13" s="13"/>
      <c r="H13" s="13"/>
    </row>
    <row r="14" spans="1:8" x14ac:dyDescent="0.2">
      <c r="A14" s="9" t="s">
        <v>1043</v>
      </c>
      <c r="B14" s="17" t="s">
        <v>1044</v>
      </c>
      <c r="C14" s="13"/>
      <c r="D14" s="13"/>
      <c r="E14" s="13"/>
      <c r="F14" s="13"/>
      <c r="G14" s="13"/>
      <c r="H14" s="13"/>
    </row>
  </sheetData>
  <mergeCells count="13">
    <mergeCell ref="A2:H2"/>
    <mergeCell ref="B12:H12"/>
    <mergeCell ref="B6:H6"/>
    <mergeCell ref="B7:H7"/>
    <mergeCell ref="A1:H1"/>
    <mergeCell ref="B10:H10"/>
    <mergeCell ref="B11:H11"/>
    <mergeCell ref="B5:H5"/>
    <mergeCell ref="B8:H8"/>
    <mergeCell ref="B14:H14"/>
    <mergeCell ref="B9:H9"/>
    <mergeCell ref="B13:H13"/>
    <mergeCell ref="B4:H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81492A-DC4B-B94C-A823-FD01E1908E8B}">
  <dimension ref="A1:I52"/>
  <sheetViews>
    <sheetView showGridLines="0" tabSelected="1" workbookViewId="0">
      <selection sqref="A1:J1"/>
    </sheetView>
  </sheetViews>
  <sheetFormatPr baseColWidth="10" defaultRowHeight="15" x14ac:dyDescent="0.2"/>
  <cols>
    <col min="1" max="1" width="19.1640625" customWidth="1"/>
    <col min="2" max="4" width="17.5" customWidth="1"/>
    <col min="5" max="8" width="15" customWidth="1"/>
  </cols>
  <sheetData>
    <row r="1" spans="1:9" ht="32" customHeight="1" x14ac:dyDescent="0.2">
      <c r="A1" s="81" t="s">
        <v>1102</v>
      </c>
      <c r="B1" s="81"/>
      <c r="C1" s="81"/>
      <c r="D1" s="81"/>
      <c r="E1" s="81"/>
      <c r="F1" s="81"/>
      <c r="G1" s="81"/>
      <c r="H1" s="81"/>
      <c r="I1" s="18"/>
    </row>
    <row r="2" spans="1:9" ht="28" customHeight="1" x14ac:dyDescent="0.2">
      <c r="A2" s="82" t="s">
        <v>1103</v>
      </c>
      <c r="B2" s="82"/>
      <c r="C2" s="82"/>
      <c r="D2" s="82"/>
      <c r="E2" s="82"/>
      <c r="F2" s="82"/>
      <c r="G2" s="82"/>
      <c r="H2" s="82"/>
      <c r="I2" s="18"/>
    </row>
    <row r="3" spans="1:9" x14ac:dyDescent="0.2">
      <c r="A3" s="79"/>
      <c r="B3" s="79"/>
      <c r="C3" s="79"/>
      <c r="D3" s="79"/>
      <c r="E3" s="79"/>
      <c r="F3" s="79"/>
      <c r="G3" s="79"/>
      <c r="H3" s="79"/>
      <c r="I3" s="18"/>
    </row>
    <row r="4" spans="1:9" x14ac:dyDescent="0.2">
      <c r="A4" s="83" t="s">
        <v>1104</v>
      </c>
      <c r="B4" s="83"/>
      <c r="C4" s="83"/>
      <c r="D4" s="83"/>
      <c r="E4" s="83"/>
      <c r="F4" s="83"/>
      <c r="G4" s="83"/>
      <c r="H4" s="83"/>
      <c r="I4" s="18"/>
    </row>
    <row r="5" spans="1:9" x14ac:dyDescent="0.2">
      <c r="A5" s="80">
        <v>1</v>
      </c>
      <c r="B5" s="78" t="s">
        <v>1105</v>
      </c>
      <c r="C5" s="78"/>
      <c r="D5" s="78"/>
      <c r="E5" s="78"/>
      <c r="F5" s="78"/>
      <c r="G5" s="78"/>
      <c r="H5" s="78"/>
      <c r="I5" s="18"/>
    </row>
    <row r="6" spans="1:9" x14ac:dyDescent="0.2">
      <c r="A6" s="80">
        <v>2</v>
      </c>
      <c r="B6" s="78" t="s">
        <v>1106</v>
      </c>
      <c r="C6" s="78"/>
      <c r="D6" s="78"/>
      <c r="E6" s="78"/>
      <c r="F6" s="78"/>
      <c r="G6" s="78"/>
      <c r="H6" s="78"/>
      <c r="I6" s="18"/>
    </row>
    <row r="7" spans="1:9" x14ac:dyDescent="0.2">
      <c r="A7" s="80">
        <v>3</v>
      </c>
      <c r="B7" s="78" t="s">
        <v>1107</v>
      </c>
      <c r="C7" s="78"/>
      <c r="D7" s="78"/>
      <c r="E7" s="78"/>
      <c r="F7" s="78"/>
      <c r="G7" s="78"/>
      <c r="H7" s="78"/>
      <c r="I7" s="18"/>
    </row>
    <row r="8" spans="1:9" x14ac:dyDescent="0.2">
      <c r="A8" s="80">
        <v>4</v>
      </c>
      <c r="B8" s="78" t="s">
        <v>1108</v>
      </c>
      <c r="C8" s="78"/>
      <c r="D8" s="78"/>
      <c r="E8" s="78"/>
      <c r="F8" s="78"/>
      <c r="G8" s="78"/>
      <c r="H8" s="78"/>
      <c r="I8" s="18"/>
    </row>
    <row r="9" spans="1:9" x14ac:dyDescent="0.2">
      <c r="A9" s="79"/>
      <c r="B9" s="79"/>
      <c r="C9" s="79"/>
      <c r="D9" s="79"/>
      <c r="E9" s="79"/>
      <c r="F9" s="79"/>
      <c r="G9" s="79"/>
      <c r="H9" s="79"/>
      <c r="I9" s="18"/>
    </row>
    <row r="10" spans="1:9" x14ac:dyDescent="0.2">
      <c r="A10" s="83" t="s">
        <v>1109</v>
      </c>
      <c r="B10" s="83"/>
      <c r="C10" s="83"/>
      <c r="D10" s="83"/>
      <c r="E10" s="83"/>
      <c r="F10" s="83"/>
      <c r="G10" s="83"/>
      <c r="H10" s="83"/>
      <c r="I10" s="18"/>
    </row>
    <row r="11" spans="1:9" ht="16" thickBot="1" x14ac:dyDescent="0.25">
      <c r="A11" s="90" t="s">
        <v>1110</v>
      </c>
      <c r="B11" s="91" t="s">
        <v>1111</v>
      </c>
      <c r="C11" s="91"/>
      <c r="D11" s="91"/>
      <c r="E11" s="91" t="s">
        <v>1112</v>
      </c>
      <c r="F11" s="91"/>
      <c r="G11" s="91"/>
      <c r="H11" s="92"/>
      <c r="I11" s="18"/>
    </row>
    <row r="12" spans="1:9" x14ac:dyDescent="0.2">
      <c r="A12" s="86" t="s">
        <v>1113</v>
      </c>
      <c r="B12" s="78" t="s">
        <v>1117</v>
      </c>
      <c r="C12" s="78"/>
      <c r="D12" s="78"/>
      <c r="E12" s="78" t="s">
        <v>1127</v>
      </c>
      <c r="F12" s="78"/>
      <c r="G12" s="78"/>
      <c r="H12" s="88"/>
      <c r="I12" s="18"/>
    </row>
    <row r="13" spans="1:9" x14ac:dyDescent="0.2">
      <c r="A13" s="93" t="s">
        <v>1114</v>
      </c>
      <c r="B13" s="94" t="s">
        <v>1118</v>
      </c>
      <c r="C13" s="94"/>
      <c r="D13" s="94"/>
      <c r="E13" s="94" t="s">
        <v>1128</v>
      </c>
      <c r="F13" s="94"/>
      <c r="G13" s="94"/>
      <c r="H13" s="95"/>
      <c r="I13" s="18"/>
    </row>
    <row r="14" spans="1:9" x14ac:dyDescent="0.2">
      <c r="A14" s="86" t="s">
        <v>1083</v>
      </c>
      <c r="B14" s="78" t="s">
        <v>1119</v>
      </c>
      <c r="C14" s="78"/>
      <c r="D14" s="78"/>
      <c r="E14" s="78" t="s">
        <v>1129</v>
      </c>
      <c r="F14" s="78"/>
      <c r="G14" s="78"/>
      <c r="H14" s="88"/>
      <c r="I14" s="18"/>
    </row>
    <row r="15" spans="1:9" x14ac:dyDescent="0.2">
      <c r="A15" s="93" t="s">
        <v>1115</v>
      </c>
      <c r="B15" s="94" t="s">
        <v>1120</v>
      </c>
      <c r="C15" s="94"/>
      <c r="D15" s="94"/>
      <c r="E15" s="94" t="s">
        <v>1130</v>
      </c>
      <c r="F15" s="94"/>
      <c r="G15" s="94"/>
      <c r="H15" s="95"/>
      <c r="I15" s="18"/>
    </row>
    <row r="16" spans="1:9" x14ac:dyDescent="0.2">
      <c r="A16" s="86" t="s">
        <v>24</v>
      </c>
      <c r="B16" s="78" t="s">
        <v>1121</v>
      </c>
      <c r="C16" s="78"/>
      <c r="D16" s="78"/>
      <c r="E16" s="78" t="s">
        <v>1131</v>
      </c>
      <c r="F16" s="78"/>
      <c r="G16" s="78"/>
      <c r="H16" s="88"/>
      <c r="I16" s="18"/>
    </row>
    <row r="17" spans="1:9" x14ac:dyDescent="0.2">
      <c r="A17" s="93" t="s">
        <v>10</v>
      </c>
      <c r="B17" s="94" t="s">
        <v>1122</v>
      </c>
      <c r="C17" s="94"/>
      <c r="D17" s="94"/>
      <c r="E17" s="94" t="s">
        <v>1132</v>
      </c>
      <c r="F17" s="94"/>
      <c r="G17" s="94"/>
      <c r="H17" s="95"/>
      <c r="I17" s="18"/>
    </row>
    <row r="18" spans="1:9" x14ac:dyDescent="0.2">
      <c r="A18" s="86" t="s">
        <v>950</v>
      </c>
      <c r="B18" s="78" t="s">
        <v>1123</v>
      </c>
      <c r="C18" s="78"/>
      <c r="D18" s="78"/>
      <c r="E18" s="78" t="s">
        <v>1133</v>
      </c>
      <c r="F18" s="78"/>
      <c r="G18" s="78"/>
      <c r="H18" s="88"/>
      <c r="I18" s="18"/>
    </row>
    <row r="19" spans="1:9" x14ac:dyDescent="0.2">
      <c r="A19" s="93" t="s">
        <v>1058</v>
      </c>
      <c r="B19" s="94" t="s">
        <v>1124</v>
      </c>
      <c r="C19" s="94"/>
      <c r="D19" s="94"/>
      <c r="E19" s="94" t="s">
        <v>1134</v>
      </c>
      <c r="F19" s="94"/>
      <c r="G19" s="94"/>
      <c r="H19" s="95"/>
      <c r="I19" s="18"/>
    </row>
    <row r="20" spans="1:9" x14ac:dyDescent="0.2">
      <c r="A20" s="86" t="s">
        <v>17</v>
      </c>
      <c r="B20" s="78" t="s">
        <v>1125</v>
      </c>
      <c r="C20" s="78"/>
      <c r="D20" s="78"/>
      <c r="E20" s="78" t="s">
        <v>1135</v>
      </c>
      <c r="F20" s="78"/>
      <c r="G20" s="78"/>
      <c r="H20" s="88"/>
      <c r="I20" s="18"/>
    </row>
    <row r="21" spans="1:9" x14ac:dyDescent="0.2">
      <c r="A21" s="96" t="s">
        <v>1116</v>
      </c>
      <c r="B21" s="97" t="s">
        <v>1126</v>
      </c>
      <c r="C21" s="97"/>
      <c r="D21" s="97"/>
      <c r="E21" s="97" t="s">
        <v>1136</v>
      </c>
      <c r="F21" s="97"/>
      <c r="G21" s="97"/>
      <c r="H21" s="98"/>
      <c r="I21" s="18"/>
    </row>
    <row r="22" spans="1:9" x14ac:dyDescent="0.2">
      <c r="A22" s="79"/>
      <c r="B22" s="79"/>
      <c r="C22" s="79"/>
      <c r="D22" s="79"/>
      <c r="E22" s="79"/>
      <c r="F22" s="79"/>
      <c r="G22" s="79"/>
      <c r="H22" s="79"/>
      <c r="I22" s="18"/>
    </row>
    <row r="23" spans="1:9" x14ac:dyDescent="0.2">
      <c r="A23" s="83" t="s">
        <v>1137</v>
      </c>
      <c r="B23" s="83"/>
      <c r="C23" s="83"/>
      <c r="D23" s="83"/>
      <c r="E23" s="83"/>
      <c r="F23" s="83"/>
      <c r="G23" s="83"/>
      <c r="H23" s="83"/>
      <c r="I23" s="18"/>
    </row>
    <row r="24" spans="1:9" ht="16" thickBot="1" x14ac:dyDescent="0.25">
      <c r="A24" s="90" t="s">
        <v>1138</v>
      </c>
      <c r="B24" s="91" t="s">
        <v>1139</v>
      </c>
      <c r="C24" s="91"/>
      <c r="D24" s="91"/>
      <c r="E24" s="91"/>
      <c r="F24" s="91" t="s">
        <v>1140</v>
      </c>
      <c r="G24" s="91"/>
      <c r="H24" s="92"/>
      <c r="I24" s="18"/>
    </row>
    <row r="25" spans="1:9" x14ac:dyDescent="0.2">
      <c r="A25" s="99">
        <v>1</v>
      </c>
      <c r="B25" s="78" t="s">
        <v>1141</v>
      </c>
      <c r="C25" s="78"/>
      <c r="D25" s="78"/>
      <c r="E25" s="78"/>
      <c r="F25" s="78" t="s">
        <v>1146</v>
      </c>
      <c r="G25" s="78"/>
      <c r="H25" s="88"/>
      <c r="I25" s="18"/>
    </row>
    <row r="26" spans="1:9" x14ac:dyDescent="0.2">
      <c r="A26" s="101">
        <v>2</v>
      </c>
      <c r="B26" s="94" t="s">
        <v>1142</v>
      </c>
      <c r="C26" s="94"/>
      <c r="D26" s="94"/>
      <c r="E26" s="94"/>
      <c r="F26" s="94" t="s">
        <v>17</v>
      </c>
      <c r="G26" s="94"/>
      <c r="H26" s="95"/>
      <c r="I26" s="18"/>
    </row>
    <row r="27" spans="1:9" x14ac:dyDescent="0.2">
      <c r="A27" s="99">
        <v>3</v>
      </c>
      <c r="B27" s="78" t="s">
        <v>1143</v>
      </c>
      <c r="C27" s="78"/>
      <c r="D27" s="78"/>
      <c r="E27" s="78"/>
      <c r="F27" s="78" t="s">
        <v>1083</v>
      </c>
      <c r="G27" s="78"/>
      <c r="H27" s="88"/>
      <c r="I27" s="18"/>
    </row>
    <row r="28" spans="1:9" x14ac:dyDescent="0.2">
      <c r="A28" s="101">
        <v>4</v>
      </c>
      <c r="B28" s="94" t="s">
        <v>1144</v>
      </c>
      <c r="C28" s="94"/>
      <c r="D28" s="94"/>
      <c r="E28" s="94"/>
      <c r="F28" s="94" t="s">
        <v>1147</v>
      </c>
      <c r="G28" s="94"/>
      <c r="H28" s="95"/>
      <c r="I28" s="18"/>
    </row>
    <row r="29" spans="1:9" x14ac:dyDescent="0.2">
      <c r="A29" s="100">
        <v>5</v>
      </c>
      <c r="B29" s="85" t="s">
        <v>1145</v>
      </c>
      <c r="C29" s="85"/>
      <c r="D29" s="85"/>
      <c r="E29" s="85"/>
      <c r="F29" s="85" t="s">
        <v>1114</v>
      </c>
      <c r="G29" s="85"/>
      <c r="H29" s="89"/>
      <c r="I29" s="18"/>
    </row>
    <row r="30" spans="1:9" x14ac:dyDescent="0.2">
      <c r="A30" s="79"/>
      <c r="B30" s="79"/>
      <c r="C30" s="79"/>
      <c r="D30" s="79"/>
      <c r="E30" s="79"/>
      <c r="F30" s="79"/>
      <c r="G30" s="79"/>
      <c r="H30" s="79"/>
      <c r="I30" s="18"/>
    </row>
    <row r="31" spans="1:9" x14ac:dyDescent="0.2">
      <c r="A31" s="84" t="s">
        <v>1148</v>
      </c>
      <c r="B31" s="84"/>
      <c r="C31" s="84"/>
      <c r="D31" s="84"/>
      <c r="E31" s="84"/>
      <c r="F31" s="84"/>
      <c r="G31" s="84"/>
      <c r="H31" s="84"/>
      <c r="I31" s="18"/>
    </row>
    <row r="32" spans="1:9" x14ac:dyDescent="0.2">
      <c r="A32" s="78" t="s">
        <v>1149</v>
      </c>
      <c r="B32" s="78"/>
      <c r="C32" s="78"/>
      <c r="D32" s="78"/>
      <c r="E32" s="78"/>
      <c r="F32" s="78"/>
      <c r="G32" s="78"/>
      <c r="H32" s="78"/>
      <c r="I32" s="18"/>
    </row>
    <row r="33" spans="1:9" x14ac:dyDescent="0.2">
      <c r="A33" s="78" t="s">
        <v>1150</v>
      </c>
      <c r="B33" s="78"/>
      <c r="C33" s="78"/>
      <c r="D33" s="78"/>
      <c r="E33" s="78"/>
      <c r="F33" s="78"/>
      <c r="G33" s="78"/>
      <c r="H33" s="78"/>
      <c r="I33" s="18"/>
    </row>
    <row r="34" spans="1:9" x14ac:dyDescent="0.2">
      <c r="A34" s="78" t="s">
        <v>1151</v>
      </c>
      <c r="B34" s="78"/>
      <c r="C34" s="78"/>
      <c r="D34" s="78"/>
      <c r="E34" s="78"/>
      <c r="F34" s="78"/>
      <c r="G34" s="78"/>
      <c r="H34" s="78"/>
      <c r="I34" s="18"/>
    </row>
    <row r="35" spans="1:9" x14ac:dyDescent="0.2">
      <c r="A35" s="78" t="s">
        <v>1152</v>
      </c>
      <c r="B35" s="78"/>
      <c r="C35" s="78"/>
      <c r="D35" s="78"/>
      <c r="E35" s="78"/>
      <c r="F35" s="78"/>
      <c r="G35" s="78"/>
      <c r="H35" s="78"/>
      <c r="I35" s="18"/>
    </row>
    <row r="36" spans="1:9" x14ac:dyDescent="0.2">
      <c r="A36" s="78" t="s">
        <v>1153</v>
      </c>
      <c r="B36" s="78"/>
      <c r="C36" s="78"/>
      <c r="D36" s="78"/>
      <c r="E36" s="78"/>
      <c r="F36" s="78"/>
      <c r="G36" s="78"/>
      <c r="H36" s="78"/>
      <c r="I36" s="18"/>
    </row>
    <row r="37" spans="1:9" x14ac:dyDescent="0.2">
      <c r="A37" s="79"/>
      <c r="B37" s="79"/>
      <c r="C37" s="79"/>
      <c r="D37" s="79"/>
      <c r="E37" s="79"/>
      <c r="F37" s="79"/>
      <c r="G37" s="79"/>
      <c r="H37" s="79"/>
      <c r="I37" s="18"/>
    </row>
    <row r="38" spans="1:9" x14ac:dyDescent="0.2">
      <c r="A38" s="83" t="s">
        <v>1154</v>
      </c>
      <c r="B38" s="83"/>
      <c r="C38" s="83"/>
      <c r="D38" s="83"/>
      <c r="E38" s="83"/>
      <c r="F38" s="83"/>
      <c r="G38" s="83"/>
      <c r="H38" s="83"/>
      <c r="I38" s="18"/>
    </row>
    <row r="39" spans="1:9" ht="16" thickBot="1" x14ac:dyDescent="0.25">
      <c r="A39" s="102" t="s">
        <v>12</v>
      </c>
      <c r="B39" s="103" t="s">
        <v>1158</v>
      </c>
      <c r="C39" s="103"/>
      <c r="D39" s="103"/>
      <c r="E39" s="103"/>
      <c r="F39" s="103"/>
      <c r="G39" s="103"/>
      <c r="H39" s="104"/>
      <c r="I39" s="18"/>
    </row>
    <row r="40" spans="1:9" x14ac:dyDescent="0.2">
      <c r="A40" s="86" t="s">
        <v>13</v>
      </c>
      <c r="B40" s="78" t="s">
        <v>1159</v>
      </c>
      <c r="C40" s="78"/>
      <c r="D40" s="78"/>
      <c r="E40" s="78"/>
      <c r="F40" s="78"/>
      <c r="G40" s="78"/>
      <c r="H40" s="88"/>
      <c r="I40" s="18"/>
    </row>
    <row r="41" spans="1:9" x14ac:dyDescent="0.2">
      <c r="A41" s="93" t="s">
        <v>1155</v>
      </c>
      <c r="B41" s="94" t="s">
        <v>1160</v>
      </c>
      <c r="C41" s="94"/>
      <c r="D41" s="94"/>
      <c r="E41" s="94"/>
      <c r="F41" s="94"/>
      <c r="G41" s="94"/>
      <c r="H41" s="95"/>
      <c r="I41" s="18"/>
    </row>
    <row r="42" spans="1:9" x14ac:dyDescent="0.2">
      <c r="A42" s="86" t="s">
        <v>1156</v>
      </c>
      <c r="B42" s="78" t="s">
        <v>1161</v>
      </c>
      <c r="C42" s="78"/>
      <c r="D42" s="78"/>
      <c r="E42" s="78"/>
      <c r="F42" s="78"/>
      <c r="G42" s="78"/>
      <c r="H42" s="88"/>
      <c r="I42" s="18"/>
    </row>
    <row r="43" spans="1:9" x14ac:dyDescent="0.2">
      <c r="A43" s="93" t="s">
        <v>1157</v>
      </c>
      <c r="B43" s="94" t="s">
        <v>1162</v>
      </c>
      <c r="C43" s="94"/>
      <c r="D43" s="94"/>
      <c r="E43" s="94"/>
      <c r="F43" s="94"/>
      <c r="G43" s="94"/>
      <c r="H43" s="95"/>
      <c r="I43" s="18"/>
    </row>
    <row r="44" spans="1:9" x14ac:dyDescent="0.2">
      <c r="A44" s="87" t="s">
        <v>17</v>
      </c>
      <c r="B44" s="85" t="s">
        <v>1163</v>
      </c>
      <c r="C44" s="85"/>
      <c r="D44" s="85"/>
      <c r="E44" s="85"/>
      <c r="F44" s="85"/>
      <c r="G44" s="85"/>
      <c r="H44" s="89"/>
      <c r="I44" s="18"/>
    </row>
    <row r="45" spans="1:9" x14ac:dyDescent="0.2">
      <c r="A45" s="79"/>
      <c r="B45" s="77"/>
      <c r="C45" s="77"/>
      <c r="D45" s="77"/>
      <c r="E45" s="77"/>
      <c r="F45" s="77"/>
      <c r="G45" s="77"/>
      <c r="H45" s="77"/>
      <c r="I45" s="18"/>
    </row>
    <row r="46" spans="1:9" x14ac:dyDescent="0.2">
      <c r="A46" s="79"/>
      <c r="B46" s="79"/>
      <c r="C46" s="79"/>
      <c r="D46" s="79"/>
      <c r="E46" s="79"/>
      <c r="F46" s="79"/>
      <c r="G46" s="79"/>
      <c r="H46" s="79"/>
      <c r="I46" s="18"/>
    </row>
    <row r="47" spans="1:9" x14ac:dyDescent="0.2">
      <c r="A47" s="84" t="s">
        <v>1164</v>
      </c>
      <c r="B47" s="84"/>
      <c r="C47" s="84"/>
      <c r="D47" s="84"/>
      <c r="E47" s="84"/>
      <c r="F47" s="84"/>
      <c r="G47" s="84"/>
      <c r="H47" s="84"/>
      <c r="I47" s="18"/>
    </row>
    <row r="48" spans="1:9" x14ac:dyDescent="0.2">
      <c r="A48" s="78" t="s">
        <v>1165</v>
      </c>
      <c r="B48" s="78"/>
      <c r="C48" s="78"/>
      <c r="D48" s="78"/>
      <c r="E48" s="78"/>
      <c r="F48" s="78"/>
      <c r="G48" s="78"/>
      <c r="H48" s="78"/>
      <c r="I48" s="18"/>
    </row>
    <row r="49" spans="1:9" x14ac:dyDescent="0.2">
      <c r="A49" s="78" t="s">
        <v>1166</v>
      </c>
      <c r="B49" s="78"/>
      <c r="C49" s="78"/>
      <c r="D49" s="78"/>
      <c r="E49" s="78"/>
      <c r="F49" s="78"/>
      <c r="G49" s="78"/>
      <c r="H49" s="78"/>
      <c r="I49" s="18"/>
    </row>
    <row r="50" spans="1:9" x14ac:dyDescent="0.2">
      <c r="A50" s="78" t="s">
        <v>1167</v>
      </c>
      <c r="B50" s="78"/>
      <c r="C50" s="78"/>
      <c r="D50" s="78"/>
      <c r="E50" s="78"/>
      <c r="F50" s="78"/>
      <c r="G50" s="78"/>
      <c r="H50" s="78"/>
      <c r="I50" s="18"/>
    </row>
    <row r="51" spans="1:9" x14ac:dyDescent="0.2">
      <c r="A51" s="78" t="s">
        <v>1168</v>
      </c>
      <c r="B51" s="78"/>
      <c r="C51" s="78"/>
      <c r="D51" s="78"/>
      <c r="E51" s="78"/>
      <c r="F51" s="78"/>
      <c r="G51" s="78"/>
      <c r="H51" s="78"/>
      <c r="I51" s="18"/>
    </row>
    <row r="52" spans="1:9" x14ac:dyDescent="0.2">
      <c r="A52" s="18"/>
      <c r="B52" s="18"/>
      <c r="C52" s="18"/>
      <c r="D52" s="18"/>
      <c r="E52" s="18"/>
      <c r="F52" s="18"/>
      <c r="G52" s="18"/>
      <c r="H52" s="18"/>
      <c r="I52" s="18"/>
    </row>
  </sheetData>
  <mergeCells count="62">
    <mergeCell ref="A51:H51"/>
    <mergeCell ref="B44:H44"/>
    <mergeCell ref="B45:H45"/>
    <mergeCell ref="A47:H47"/>
    <mergeCell ref="A48:H48"/>
    <mergeCell ref="A49:H49"/>
    <mergeCell ref="A50:H50"/>
    <mergeCell ref="A38:H38"/>
    <mergeCell ref="B39:H39"/>
    <mergeCell ref="B40:H40"/>
    <mergeCell ref="B41:H41"/>
    <mergeCell ref="B42:H42"/>
    <mergeCell ref="B43:H43"/>
    <mergeCell ref="A31:H31"/>
    <mergeCell ref="A32:H32"/>
    <mergeCell ref="A33:H33"/>
    <mergeCell ref="A34:H34"/>
    <mergeCell ref="A35:H35"/>
    <mergeCell ref="A36:H36"/>
    <mergeCell ref="B27:E27"/>
    <mergeCell ref="F27:H27"/>
    <mergeCell ref="B28:E28"/>
    <mergeCell ref="F28:H28"/>
    <mergeCell ref="B29:E29"/>
    <mergeCell ref="F29:H29"/>
    <mergeCell ref="A23:H23"/>
    <mergeCell ref="B24:E24"/>
    <mergeCell ref="F24:H24"/>
    <mergeCell ref="B25:E25"/>
    <mergeCell ref="F25:H25"/>
    <mergeCell ref="B26:E26"/>
    <mergeCell ref="F26:H26"/>
    <mergeCell ref="B19:D19"/>
    <mergeCell ref="E19:H19"/>
    <mergeCell ref="B20:D20"/>
    <mergeCell ref="E20:H20"/>
    <mergeCell ref="B21:D21"/>
    <mergeCell ref="E21:H21"/>
    <mergeCell ref="B16:D16"/>
    <mergeCell ref="E16:H16"/>
    <mergeCell ref="B17:D17"/>
    <mergeCell ref="E17:H17"/>
    <mergeCell ref="B18:D18"/>
    <mergeCell ref="E18:H18"/>
    <mergeCell ref="B13:D13"/>
    <mergeCell ref="E13:H13"/>
    <mergeCell ref="B14:D14"/>
    <mergeCell ref="E14:H14"/>
    <mergeCell ref="B15:D15"/>
    <mergeCell ref="E15:H15"/>
    <mergeCell ref="B8:H8"/>
    <mergeCell ref="A10:H10"/>
    <mergeCell ref="B11:D11"/>
    <mergeCell ref="E11:H11"/>
    <mergeCell ref="B12:D12"/>
    <mergeCell ref="E12:H12"/>
    <mergeCell ref="A1:H1"/>
    <mergeCell ref="A2:H2"/>
    <mergeCell ref="A4:H4"/>
    <mergeCell ref="B5:H5"/>
    <mergeCell ref="B6:H6"/>
    <mergeCell ref="B7:H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2B6084-9EB5-D147-9993-9A1BCF8D672D}">
  <dimension ref="A1:I31"/>
  <sheetViews>
    <sheetView workbookViewId="0">
      <selection sqref="A1:H1"/>
    </sheetView>
  </sheetViews>
  <sheetFormatPr baseColWidth="10" defaultRowHeight="15" x14ac:dyDescent="0.2"/>
  <cols>
    <col min="1" max="1" width="15" customWidth="1"/>
    <col min="2" max="2" width="33.33203125" customWidth="1"/>
    <col min="3" max="3" width="26.6640625" customWidth="1"/>
    <col min="4" max="8" width="12.5" customWidth="1"/>
  </cols>
  <sheetData>
    <row r="1" spans="1:9" x14ac:dyDescent="0.2">
      <c r="A1" s="23" t="s">
        <v>1045</v>
      </c>
      <c r="B1" s="23"/>
      <c r="C1" s="23"/>
      <c r="D1" s="23"/>
      <c r="E1" s="23"/>
      <c r="F1" s="23"/>
      <c r="G1" s="23"/>
      <c r="H1" s="23"/>
      <c r="I1" s="18"/>
    </row>
    <row r="2" spans="1:9" x14ac:dyDescent="0.2">
      <c r="A2" s="22" t="s">
        <v>1046</v>
      </c>
      <c r="B2" s="22"/>
      <c r="C2" s="22"/>
      <c r="D2" s="22"/>
      <c r="E2" s="22"/>
      <c r="F2" s="22"/>
      <c r="G2" s="22"/>
      <c r="H2" s="22"/>
      <c r="I2" s="18"/>
    </row>
    <row r="3" spans="1:9" x14ac:dyDescent="0.2">
      <c r="A3" s="19"/>
      <c r="B3" s="19"/>
      <c r="C3" s="19"/>
      <c r="D3" s="19"/>
      <c r="E3" s="19"/>
      <c r="F3" s="19"/>
      <c r="G3" s="19"/>
      <c r="H3" s="19"/>
      <c r="I3" s="18"/>
    </row>
    <row r="4" spans="1:9" x14ac:dyDescent="0.2">
      <c r="A4" s="24" t="s">
        <v>2</v>
      </c>
      <c r="B4" s="27"/>
      <c r="C4" s="24" t="s">
        <v>3</v>
      </c>
      <c r="D4" s="27"/>
      <c r="E4" s="24" t="s">
        <v>4</v>
      </c>
      <c r="F4" s="27"/>
      <c r="G4" s="34" t="s">
        <v>5</v>
      </c>
      <c r="H4" s="35"/>
      <c r="I4" s="18"/>
    </row>
    <row r="5" spans="1:9" x14ac:dyDescent="0.2">
      <c r="A5" s="25">
        <f>COUNTA(Transactions!D5:D330)</f>
        <v>326</v>
      </c>
      <c r="B5" s="28"/>
      <c r="C5" s="30">
        <f>SUMIFS(Transactions!E5:E330,Transactions!F5:F330,"Inflow")</f>
        <v>105270.27000000002</v>
      </c>
      <c r="D5" s="32"/>
      <c r="E5" s="30">
        <f>-SUMIFS(Transactions!E5:E330,Transactions!F5:F330,"Outflow")</f>
        <v>114588.63000000003</v>
      </c>
      <c r="F5" s="32"/>
      <c r="G5" s="36">
        <f>SUM(Transactions!E5:E330)</f>
        <v>-9318.3600000000242</v>
      </c>
      <c r="H5" s="37"/>
      <c r="I5" s="18"/>
    </row>
    <row r="6" spans="1:9" x14ac:dyDescent="0.2">
      <c r="A6" s="26"/>
      <c r="B6" s="29"/>
      <c r="C6" s="31"/>
      <c r="D6" s="33"/>
      <c r="E6" s="31"/>
      <c r="F6" s="33"/>
      <c r="G6" s="38"/>
      <c r="H6" s="39"/>
      <c r="I6" s="18"/>
    </row>
    <row r="7" spans="1:9" x14ac:dyDescent="0.2">
      <c r="A7" s="19"/>
      <c r="B7" s="19"/>
      <c r="C7" s="19"/>
      <c r="D7" s="19"/>
      <c r="E7" s="19"/>
      <c r="F7" s="19"/>
      <c r="G7" s="19"/>
      <c r="H7" s="19"/>
      <c r="I7" s="18"/>
    </row>
    <row r="8" spans="1:9" x14ac:dyDescent="0.2">
      <c r="A8" s="40" t="s">
        <v>1047</v>
      </c>
      <c r="B8" s="40"/>
      <c r="C8" s="40"/>
      <c r="D8" s="40"/>
      <c r="E8" s="40"/>
      <c r="F8" s="40"/>
      <c r="G8" s="40"/>
      <c r="H8" s="40"/>
      <c r="I8" s="18"/>
    </row>
    <row r="9" spans="1:9" ht="17" thickBot="1" x14ac:dyDescent="0.25">
      <c r="A9" s="47" t="s">
        <v>1050</v>
      </c>
      <c r="B9" s="48" t="s">
        <v>1051</v>
      </c>
      <c r="C9" s="19"/>
      <c r="D9" s="19"/>
      <c r="E9" s="19"/>
      <c r="F9" s="19"/>
      <c r="G9" s="19"/>
      <c r="H9" s="19"/>
      <c r="I9" s="18"/>
    </row>
    <row r="10" spans="1:9" ht="48" x14ac:dyDescent="0.2">
      <c r="A10" s="43" t="s">
        <v>1052</v>
      </c>
      <c r="B10" s="45" t="s">
        <v>1053</v>
      </c>
      <c r="C10" s="19"/>
      <c r="D10" s="19"/>
      <c r="E10" s="19"/>
      <c r="F10" s="19"/>
      <c r="G10" s="19"/>
      <c r="H10" s="19"/>
      <c r="I10" s="18"/>
    </row>
    <row r="11" spans="1:9" ht="48" x14ac:dyDescent="0.2">
      <c r="A11" s="49" t="s">
        <v>1054</v>
      </c>
      <c r="B11" s="50" t="s">
        <v>1055</v>
      </c>
      <c r="C11" s="19"/>
      <c r="D11" s="19"/>
      <c r="E11" s="19"/>
      <c r="F11" s="19"/>
      <c r="G11" s="19"/>
      <c r="H11" s="19"/>
      <c r="I11" s="18"/>
    </row>
    <row r="12" spans="1:9" ht="48" x14ac:dyDescent="0.2">
      <c r="A12" s="43" t="s">
        <v>1056</v>
      </c>
      <c r="B12" s="45" t="s">
        <v>1057</v>
      </c>
      <c r="C12" s="19"/>
      <c r="D12" s="19"/>
      <c r="E12" s="19"/>
      <c r="F12" s="19"/>
      <c r="G12" s="19"/>
      <c r="H12" s="19"/>
      <c r="I12" s="18"/>
    </row>
    <row r="13" spans="1:9" ht="32" x14ac:dyDescent="0.2">
      <c r="A13" s="49" t="s">
        <v>1058</v>
      </c>
      <c r="B13" s="50" t="s">
        <v>1059</v>
      </c>
      <c r="C13" s="19"/>
      <c r="D13" s="19"/>
      <c r="E13" s="19"/>
      <c r="F13" s="19"/>
      <c r="G13" s="19"/>
      <c r="H13" s="19"/>
      <c r="I13" s="18"/>
    </row>
    <row r="14" spans="1:9" ht="48" x14ac:dyDescent="0.2">
      <c r="A14" s="44" t="s">
        <v>1060</v>
      </c>
      <c r="B14" s="46" t="s">
        <v>1061</v>
      </c>
      <c r="C14" s="19"/>
      <c r="D14" s="19"/>
      <c r="E14" s="19"/>
      <c r="F14" s="19"/>
      <c r="G14" s="19"/>
      <c r="H14" s="19"/>
      <c r="I14" s="18"/>
    </row>
    <row r="15" spans="1:9" x14ac:dyDescent="0.2">
      <c r="A15" s="19"/>
      <c r="B15" s="19"/>
      <c r="C15" s="19"/>
      <c r="D15" s="19"/>
      <c r="E15" s="19"/>
      <c r="F15" s="19"/>
      <c r="G15" s="19"/>
      <c r="H15" s="19"/>
      <c r="I15" s="18"/>
    </row>
    <row r="16" spans="1:9" x14ac:dyDescent="0.2">
      <c r="A16" s="40" t="s">
        <v>1048</v>
      </c>
      <c r="B16" s="40"/>
      <c r="C16" s="40"/>
      <c r="D16" s="40"/>
      <c r="E16" s="40"/>
      <c r="F16" s="40"/>
      <c r="G16" s="40"/>
      <c r="H16" s="40"/>
      <c r="I16" s="18"/>
    </row>
    <row r="17" spans="1:9" x14ac:dyDescent="0.2">
      <c r="A17" s="21" t="s">
        <v>1062</v>
      </c>
      <c r="B17" s="21"/>
      <c r="C17" s="21"/>
      <c r="D17" s="21"/>
      <c r="E17" s="21"/>
      <c r="F17" s="21"/>
      <c r="G17" s="21"/>
      <c r="H17" s="21"/>
      <c r="I17" s="18"/>
    </row>
    <row r="18" spans="1:9" x14ac:dyDescent="0.2">
      <c r="A18" s="21" t="s">
        <v>1063</v>
      </c>
      <c r="B18" s="21"/>
      <c r="C18" s="21"/>
      <c r="D18" s="21"/>
      <c r="E18" s="21"/>
      <c r="F18" s="21"/>
      <c r="G18" s="21"/>
      <c r="H18" s="21"/>
      <c r="I18" s="18"/>
    </row>
    <row r="19" spans="1:9" x14ac:dyDescent="0.2">
      <c r="A19" s="21" t="s">
        <v>1064</v>
      </c>
      <c r="B19" s="21"/>
      <c r="C19" s="21"/>
      <c r="D19" s="21"/>
      <c r="E19" s="21"/>
      <c r="F19" s="21"/>
      <c r="G19" s="21"/>
      <c r="H19" s="21"/>
      <c r="I19" s="18"/>
    </row>
    <row r="20" spans="1:9" x14ac:dyDescent="0.2">
      <c r="A20" s="21" t="s">
        <v>1065</v>
      </c>
      <c r="B20" s="21"/>
      <c r="C20" s="21"/>
      <c r="D20" s="21"/>
      <c r="E20" s="21"/>
      <c r="F20" s="21"/>
      <c r="G20" s="21"/>
      <c r="H20" s="21"/>
      <c r="I20" s="18"/>
    </row>
    <row r="21" spans="1:9" x14ac:dyDescent="0.2">
      <c r="A21" s="21" t="s">
        <v>1066</v>
      </c>
      <c r="B21" s="21"/>
      <c r="C21" s="21"/>
      <c r="D21" s="21"/>
      <c r="E21" s="21"/>
      <c r="F21" s="21"/>
      <c r="G21" s="21"/>
      <c r="H21" s="21"/>
      <c r="I21" s="18"/>
    </row>
    <row r="22" spans="1:9" x14ac:dyDescent="0.2">
      <c r="A22" s="19"/>
      <c r="B22" s="19"/>
      <c r="C22" s="19"/>
      <c r="D22" s="19"/>
      <c r="E22" s="19"/>
      <c r="F22" s="19"/>
      <c r="G22" s="19"/>
      <c r="H22" s="19"/>
      <c r="I22" s="18"/>
    </row>
    <row r="23" spans="1:9" x14ac:dyDescent="0.2">
      <c r="A23" s="19"/>
      <c r="B23" s="19"/>
      <c r="C23" s="19"/>
      <c r="D23" s="19"/>
      <c r="E23" s="19"/>
      <c r="F23" s="19"/>
      <c r="G23" s="19"/>
      <c r="H23" s="19"/>
      <c r="I23" s="18"/>
    </row>
    <row r="24" spans="1:9" x14ac:dyDescent="0.2">
      <c r="A24" s="41" t="s">
        <v>1049</v>
      </c>
      <c r="B24" s="41"/>
      <c r="C24" s="41"/>
      <c r="D24" s="41"/>
      <c r="E24" s="41"/>
      <c r="F24" s="41"/>
      <c r="G24" s="41"/>
      <c r="H24" s="41"/>
      <c r="I24" s="18"/>
    </row>
    <row r="25" spans="1:9" ht="17" thickBot="1" x14ac:dyDescent="0.25">
      <c r="A25" s="51" t="s">
        <v>1067</v>
      </c>
      <c r="B25" s="52" t="s">
        <v>1068</v>
      </c>
      <c r="C25" s="53" t="s">
        <v>1069</v>
      </c>
      <c r="D25" s="19"/>
      <c r="E25" s="19"/>
      <c r="F25" s="19"/>
      <c r="G25" s="19"/>
      <c r="H25" s="19"/>
      <c r="I25" s="18"/>
    </row>
    <row r="26" spans="1:9" ht="48" x14ac:dyDescent="0.2">
      <c r="A26" s="55" t="s">
        <v>1070</v>
      </c>
      <c r="B26" s="20" t="s">
        <v>1071</v>
      </c>
      <c r="C26" s="45" t="s">
        <v>1072</v>
      </c>
      <c r="D26" s="19"/>
      <c r="E26" s="19"/>
      <c r="F26" s="19"/>
      <c r="G26" s="19"/>
      <c r="H26" s="19"/>
      <c r="I26" s="18"/>
    </row>
    <row r="27" spans="1:9" ht="48" x14ac:dyDescent="0.2">
      <c r="A27" s="56" t="s">
        <v>1070</v>
      </c>
      <c r="B27" s="54" t="s">
        <v>1073</v>
      </c>
      <c r="C27" s="50" t="s">
        <v>1074</v>
      </c>
      <c r="D27" s="19"/>
      <c r="E27" s="19"/>
      <c r="F27" s="19"/>
      <c r="G27" s="19"/>
      <c r="H27" s="19"/>
      <c r="I27" s="18"/>
    </row>
    <row r="28" spans="1:9" ht="48" x14ac:dyDescent="0.2">
      <c r="A28" s="55" t="s">
        <v>1075</v>
      </c>
      <c r="B28" s="20" t="s">
        <v>1076</v>
      </c>
      <c r="C28" s="45" t="s">
        <v>1077</v>
      </c>
      <c r="D28" s="19"/>
      <c r="E28" s="19"/>
      <c r="F28" s="19"/>
      <c r="G28" s="19"/>
      <c r="H28" s="19"/>
      <c r="I28" s="18"/>
    </row>
    <row r="29" spans="1:9" ht="64" x14ac:dyDescent="0.2">
      <c r="A29" s="56" t="s">
        <v>1075</v>
      </c>
      <c r="B29" s="54" t="s">
        <v>1078</v>
      </c>
      <c r="C29" s="50" t="s">
        <v>1079</v>
      </c>
      <c r="D29" s="19"/>
      <c r="E29" s="19"/>
      <c r="F29" s="19"/>
      <c r="G29" s="19"/>
      <c r="H29" s="19"/>
      <c r="I29" s="18"/>
    </row>
    <row r="30" spans="1:9" ht="48" x14ac:dyDescent="0.2">
      <c r="A30" s="57" t="s">
        <v>1080</v>
      </c>
      <c r="B30" s="42" t="s">
        <v>1081</v>
      </c>
      <c r="C30" s="46" t="s">
        <v>1082</v>
      </c>
      <c r="D30" s="19"/>
      <c r="E30" s="19"/>
      <c r="F30" s="19"/>
      <c r="G30" s="19"/>
      <c r="H30" s="19"/>
      <c r="I30" s="18"/>
    </row>
    <row r="31" spans="1:9" x14ac:dyDescent="0.2">
      <c r="A31" s="18"/>
      <c r="B31" s="18"/>
      <c r="C31" s="18"/>
      <c r="D31" s="18"/>
      <c r="E31" s="18"/>
      <c r="F31" s="18"/>
      <c r="G31" s="18"/>
      <c r="H31" s="18"/>
      <c r="I31" s="18"/>
    </row>
  </sheetData>
  <mergeCells count="18">
    <mergeCell ref="A8:H8"/>
    <mergeCell ref="A16:H16"/>
    <mergeCell ref="A24:H24"/>
    <mergeCell ref="A17:H17"/>
    <mergeCell ref="A18:H18"/>
    <mergeCell ref="A19:H19"/>
    <mergeCell ref="A20:H20"/>
    <mergeCell ref="A21:H21"/>
    <mergeCell ref="A1:H1"/>
    <mergeCell ref="A2:H2"/>
    <mergeCell ref="A4:B4"/>
    <mergeCell ref="A5:B6"/>
    <mergeCell ref="C4:D4"/>
    <mergeCell ref="C5:D6"/>
    <mergeCell ref="E4:F4"/>
    <mergeCell ref="E5:F6"/>
    <mergeCell ref="G4:H4"/>
    <mergeCell ref="G5:H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2A39A-F5BA-E946-86D8-D0F1CE232EBB}">
  <dimension ref="A1:K62"/>
  <sheetViews>
    <sheetView workbookViewId="0">
      <selection sqref="A1:J1"/>
    </sheetView>
  </sheetViews>
  <sheetFormatPr baseColWidth="10" defaultRowHeight="15" x14ac:dyDescent="0.2"/>
  <cols>
    <col min="1" max="1" width="21.6640625" customWidth="1"/>
    <col min="2" max="10" width="11.6640625" customWidth="1"/>
  </cols>
  <sheetData>
    <row r="1" spans="1:11" x14ac:dyDescent="0.2">
      <c r="A1" s="23" t="s">
        <v>1083</v>
      </c>
      <c r="B1" s="23"/>
      <c r="C1" s="23"/>
      <c r="D1" s="23"/>
      <c r="E1" s="23"/>
      <c r="F1" s="23"/>
      <c r="G1" s="23"/>
      <c r="H1" s="23"/>
      <c r="I1" s="23"/>
      <c r="J1" s="23"/>
      <c r="K1" s="18"/>
    </row>
    <row r="2" spans="1:11" x14ac:dyDescent="0.2">
      <c r="A2" s="22" t="s">
        <v>1084</v>
      </c>
      <c r="B2" s="22"/>
      <c r="C2" s="22"/>
      <c r="D2" s="22"/>
      <c r="E2" s="22"/>
      <c r="F2" s="22"/>
      <c r="G2" s="22"/>
      <c r="H2" s="22"/>
      <c r="I2" s="22"/>
      <c r="J2" s="22"/>
      <c r="K2" s="18"/>
    </row>
    <row r="3" spans="1:11" x14ac:dyDescent="0.2">
      <c r="A3" s="19"/>
      <c r="B3" s="19"/>
      <c r="C3" s="19"/>
      <c r="D3" s="19"/>
      <c r="E3" s="19"/>
      <c r="F3" s="19"/>
      <c r="G3" s="19"/>
      <c r="H3" s="19"/>
      <c r="I3" s="19"/>
      <c r="J3" s="19"/>
      <c r="K3" s="18"/>
    </row>
    <row r="4" spans="1:11" x14ac:dyDescent="0.2">
      <c r="A4" s="40" t="s">
        <v>1085</v>
      </c>
      <c r="B4" s="40"/>
      <c r="C4" s="40"/>
      <c r="D4" s="40"/>
      <c r="E4" s="40"/>
      <c r="F4" s="40"/>
      <c r="G4" s="40"/>
      <c r="H4" s="40"/>
      <c r="I4" s="40"/>
      <c r="J4" s="40"/>
      <c r="K4" s="18"/>
    </row>
    <row r="5" spans="1:11" x14ac:dyDescent="0.2">
      <c r="A5" s="21" t="s">
        <v>1086</v>
      </c>
      <c r="B5" s="21"/>
      <c r="C5" s="21"/>
      <c r="D5" s="21"/>
      <c r="E5" s="21"/>
      <c r="F5" s="21"/>
      <c r="G5" s="21"/>
      <c r="H5" s="21"/>
      <c r="I5" s="21"/>
      <c r="J5" s="21"/>
      <c r="K5" s="18"/>
    </row>
    <row r="6" spans="1:11" x14ac:dyDescent="0.2">
      <c r="A6" s="21" t="s">
        <v>1087</v>
      </c>
      <c r="B6" s="21"/>
      <c r="C6" s="21"/>
      <c r="D6" s="21"/>
      <c r="E6" s="21"/>
      <c r="F6" s="21"/>
      <c r="G6" s="21"/>
      <c r="H6" s="21"/>
      <c r="I6" s="21"/>
      <c r="J6" s="21"/>
      <c r="K6" s="18"/>
    </row>
    <row r="7" spans="1:11" x14ac:dyDescent="0.2">
      <c r="A7" s="21" t="s">
        <v>1088</v>
      </c>
      <c r="B7" s="21"/>
      <c r="C7" s="21"/>
      <c r="D7" s="21"/>
      <c r="E7" s="21"/>
      <c r="F7" s="21"/>
      <c r="G7" s="21"/>
      <c r="H7" s="21"/>
      <c r="I7" s="21"/>
      <c r="J7" s="21"/>
      <c r="K7" s="18"/>
    </row>
    <row r="8" spans="1:11" x14ac:dyDescent="0.2">
      <c r="A8" s="21" t="s">
        <v>1089</v>
      </c>
      <c r="B8" s="21"/>
      <c r="C8" s="21"/>
      <c r="D8" s="21"/>
      <c r="E8" s="21"/>
      <c r="F8" s="21"/>
      <c r="G8" s="21"/>
      <c r="H8" s="21"/>
      <c r="I8" s="21"/>
      <c r="J8" s="21"/>
      <c r="K8" s="18"/>
    </row>
    <row r="9" spans="1:11" x14ac:dyDescent="0.2">
      <c r="A9" s="19"/>
      <c r="B9" s="19"/>
      <c r="C9" s="19"/>
      <c r="D9" s="19"/>
      <c r="E9" s="19"/>
      <c r="F9" s="19"/>
      <c r="G9" s="19"/>
      <c r="H9" s="19"/>
      <c r="I9" s="19"/>
      <c r="J9" s="19"/>
      <c r="K9" s="18"/>
    </row>
    <row r="10" spans="1:11" x14ac:dyDescent="0.2">
      <c r="A10" s="60" t="s">
        <v>1090</v>
      </c>
      <c r="B10" s="61"/>
      <c r="C10" s="19"/>
      <c r="D10" s="34" t="s">
        <v>1091</v>
      </c>
      <c r="E10" s="35"/>
      <c r="F10" s="19"/>
      <c r="G10" s="60" t="s">
        <v>1092</v>
      </c>
      <c r="H10" s="74"/>
      <c r="I10" s="60" t="s">
        <v>1093</v>
      </c>
      <c r="J10" s="61"/>
      <c r="K10" s="18"/>
    </row>
    <row r="11" spans="1:11" x14ac:dyDescent="0.2">
      <c r="A11" s="62">
        <f>COUNTIF(F15:F19,"&lt;500")</f>
        <v>5</v>
      </c>
      <c r="B11" s="63"/>
      <c r="C11" s="19"/>
      <c r="D11" s="66">
        <f>COUNTIF(D15:D19,"&lt;0")</f>
        <v>2</v>
      </c>
      <c r="E11" s="67"/>
      <c r="F11" s="19"/>
      <c r="G11" s="70">
        <f>SUM('Outflow Categories'!B5:B6)/SUM('Outflow Categories'!B5:B24)</f>
        <v>0.67096072271742824</v>
      </c>
      <c r="H11" s="75"/>
      <c r="I11" s="70">
        <f>(SUMIFS(Transactions!E5:E330,Transactions!I5:I330,"EDUARDO F GIOVANNINI",Transactions!F5:F330,"Inflow")+SUMIFS(Transactions!E5:E330,Transactions!I5:I330,"EDUARDO FORSTER GIOVANNINI",Transactions!F5:F330,"Inflow"))/SUMIFS(Transactions!E5:E330,Transactions!F5:F330,"Inflow")</f>
        <v>0.96228678809316237</v>
      </c>
      <c r="J11" s="71"/>
      <c r="K11" s="18"/>
    </row>
    <row r="12" spans="1:11" x14ac:dyDescent="0.2">
      <c r="A12" s="64"/>
      <c r="B12" s="65"/>
      <c r="C12" s="19"/>
      <c r="D12" s="68"/>
      <c r="E12" s="69"/>
      <c r="F12" s="19"/>
      <c r="G12" s="72"/>
      <c r="H12" s="76"/>
      <c r="I12" s="72"/>
      <c r="J12" s="73"/>
      <c r="K12" s="18"/>
    </row>
    <row r="13" spans="1:11" x14ac:dyDescent="0.2">
      <c r="A13" s="19"/>
      <c r="B13" s="19"/>
      <c r="C13" s="19"/>
      <c r="D13" s="19"/>
      <c r="E13" s="19"/>
      <c r="F13" s="19"/>
      <c r="G13" s="19"/>
      <c r="H13" s="19"/>
      <c r="I13" s="19"/>
      <c r="J13" s="19"/>
      <c r="K13" s="18"/>
    </row>
    <row r="14" spans="1:11" x14ac:dyDescent="0.2">
      <c r="A14" s="19" t="s">
        <v>9</v>
      </c>
      <c r="B14" s="19" t="s">
        <v>12</v>
      </c>
      <c r="C14" s="19" t="s">
        <v>13</v>
      </c>
      <c r="D14" s="19" t="s">
        <v>14</v>
      </c>
      <c r="E14" s="19" t="s">
        <v>15</v>
      </c>
      <c r="F14" s="19" t="s">
        <v>16</v>
      </c>
      <c r="G14" s="19"/>
      <c r="H14" s="19"/>
      <c r="I14" s="19"/>
      <c r="J14" s="19"/>
      <c r="K14" s="18"/>
    </row>
    <row r="15" spans="1:11" x14ac:dyDescent="0.2">
      <c r="A15" s="19" t="str">
        <f>'Monthly Summary'!B5</f>
        <v>April 2026</v>
      </c>
      <c r="B15" s="58">
        <f>'Monthly Summary'!H5</f>
        <v>27262.06</v>
      </c>
      <c r="C15" s="58">
        <f>'Monthly Summary'!I5</f>
        <v>21193.040000000001</v>
      </c>
      <c r="D15" s="58">
        <f>'Monthly Summary'!J5</f>
        <v>6069.0199999999968</v>
      </c>
      <c r="E15" s="58">
        <f>'Monthly Summary'!F5</f>
        <v>27224.11</v>
      </c>
      <c r="F15" s="58">
        <f>Dashboard!H11</f>
        <v>30.9</v>
      </c>
      <c r="G15" s="19"/>
      <c r="H15" s="19"/>
      <c r="I15" s="19"/>
      <c r="J15" s="19"/>
      <c r="K15" s="18"/>
    </row>
    <row r="16" spans="1:11" x14ac:dyDescent="0.2">
      <c r="A16" s="19" t="str">
        <f>'Monthly Summary'!B6</f>
        <v>May 2026</v>
      </c>
      <c r="B16" s="58">
        <f>'Monthly Summary'!H6</f>
        <v>17065.63</v>
      </c>
      <c r="C16" s="58">
        <f>'Monthly Summary'!I6</f>
        <v>30217.29</v>
      </c>
      <c r="D16" s="58">
        <f>'Monthly Summary'!J6</f>
        <v>-13151.66</v>
      </c>
      <c r="E16" s="58">
        <f>'Monthly Summary'!F6</f>
        <v>14072.45</v>
      </c>
      <c r="F16" s="58">
        <f>Dashboard!H12</f>
        <v>471.2</v>
      </c>
      <c r="G16" s="19"/>
      <c r="H16" s="19"/>
      <c r="I16" s="19"/>
      <c r="J16" s="19"/>
      <c r="K16" s="18"/>
    </row>
    <row r="17" spans="1:11" x14ac:dyDescent="0.2">
      <c r="A17" s="19" t="str">
        <f>'Monthly Summary'!B7</f>
        <v>June 2026</v>
      </c>
      <c r="B17" s="58">
        <f>'Monthly Summary'!H7</f>
        <v>24151.040000000001</v>
      </c>
      <c r="C17" s="58">
        <f>'Monthly Summary'!I7</f>
        <v>14108.3</v>
      </c>
      <c r="D17" s="58">
        <f>'Monthly Summary'!J7</f>
        <v>10042.74</v>
      </c>
      <c r="E17" s="58">
        <f>'Monthly Summary'!F7</f>
        <v>24115.19</v>
      </c>
      <c r="F17" s="58">
        <f>Dashboard!H13</f>
        <v>0.88</v>
      </c>
      <c r="G17" s="19"/>
      <c r="H17" s="19"/>
      <c r="I17" s="19"/>
      <c r="J17" s="19"/>
      <c r="K17" s="18"/>
    </row>
    <row r="18" spans="1:11" x14ac:dyDescent="0.2">
      <c r="A18" s="19" t="str">
        <f>'Monthly Summary'!B8</f>
        <v>July 2026</v>
      </c>
      <c r="B18" s="58">
        <f>'Monthly Summary'!H8</f>
        <v>11272.89</v>
      </c>
      <c r="C18" s="58">
        <f>'Monthly Summary'!I8</f>
        <v>31069.01</v>
      </c>
      <c r="D18" s="58">
        <f>'Monthly Summary'!J8</f>
        <v>-19796.12</v>
      </c>
      <c r="E18" s="58">
        <f>'Monthly Summary'!F8</f>
        <v>4319.07</v>
      </c>
      <c r="F18" s="58">
        <f>Dashboard!H14</f>
        <v>33.11</v>
      </c>
      <c r="G18" s="19"/>
      <c r="H18" s="19"/>
      <c r="I18" s="19"/>
      <c r="J18" s="19"/>
      <c r="K18" s="18"/>
    </row>
    <row r="19" spans="1:11" x14ac:dyDescent="0.2">
      <c r="A19" s="19" t="str">
        <f>'Monthly Summary'!B9</f>
        <v>August 2026</v>
      </c>
      <c r="B19" s="58">
        <f>'Monthly Summary'!H9</f>
        <v>25518.65</v>
      </c>
      <c r="C19" s="58">
        <f>'Monthly Summary'!I9</f>
        <v>18000.990000000002</v>
      </c>
      <c r="D19" s="58">
        <f>'Monthly Summary'!J9</f>
        <v>7517.6600000000026</v>
      </c>
      <c r="E19" s="58">
        <f>'Monthly Summary'!F9</f>
        <v>11836.73</v>
      </c>
      <c r="F19" s="58">
        <f>Dashboard!H15</f>
        <v>0</v>
      </c>
      <c r="G19" s="19"/>
      <c r="H19" s="19"/>
      <c r="I19" s="19"/>
      <c r="J19" s="19"/>
      <c r="K19" s="18"/>
    </row>
    <row r="20" spans="1:11" x14ac:dyDescent="0.2">
      <c r="A20" s="19"/>
      <c r="B20" s="19"/>
      <c r="C20" s="19"/>
      <c r="D20" s="19"/>
      <c r="E20" s="19"/>
      <c r="F20" s="19"/>
      <c r="G20" s="19"/>
      <c r="H20" s="19"/>
      <c r="I20" s="19"/>
      <c r="J20" s="19"/>
      <c r="K20" s="18"/>
    </row>
    <row r="21" spans="1:11" x14ac:dyDescent="0.2">
      <c r="A21" s="19"/>
      <c r="B21" s="19"/>
      <c r="C21" s="19"/>
      <c r="D21" s="19"/>
      <c r="E21" s="19"/>
      <c r="F21" s="19"/>
      <c r="G21" s="19"/>
      <c r="H21" s="19"/>
      <c r="I21" s="19"/>
      <c r="J21" s="19"/>
      <c r="K21" s="18"/>
    </row>
    <row r="22" spans="1:11" x14ac:dyDescent="0.2">
      <c r="A22" s="19"/>
      <c r="B22" s="19"/>
      <c r="C22" s="19"/>
      <c r="D22" s="19"/>
      <c r="E22" s="19"/>
      <c r="F22" s="19"/>
      <c r="G22" s="19"/>
      <c r="H22" s="19"/>
      <c r="I22" s="19"/>
      <c r="J22" s="19"/>
      <c r="K22" s="18"/>
    </row>
    <row r="23" spans="1:11" x14ac:dyDescent="0.2">
      <c r="A23" s="19"/>
      <c r="B23" s="19"/>
      <c r="C23" s="19"/>
      <c r="D23" s="19"/>
      <c r="E23" s="19"/>
      <c r="F23" s="19"/>
      <c r="G23" s="19"/>
      <c r="H23" s="19"/>
      <c r="I23" s="19"/>
      <c r="J23" s="19"/>
      <c r="K23" s="18"/>
    </row>
    <row r="24" spans="1:11" x14ac:dyDescent="0.2">
      <c r="A24" s="19"/>
      <c r="B24" s="19"/>
      <c r="C24" s="19"/>
      <c r="D24" s="19"/>
      <c r="E24" s="19"/>
      <c r="F24" s="19"/>
      <c r="G24" s="19"/>
      <c r="H24" s="19"/>
      <c r="I24" s="19"/>
      <c r="J24" s="19"/>
      <c r="K24" s="18"/>
    </row>
    <row r="25" spans="1:11" x14ac:dyDescent="0.2">
      <c r="A25" s="19"/>
      <c r="B25" s="19"/>
      <c r="C25" s="19"/>
      <c r="D25" s="19"/>
      <c r="E25" s="19"/>
      <c r="F25" s="19"/>
      <c r="G25" s="19"/>
      <c r="H25" s="19"/>
      <c r="I25" s="19"/>
      <c r="J25" s="19"/>
      <c r="K25" s="18"/>
    </row>
    <row r="26" spans="1:11" x14ac:dyDescent="0.2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8"/>
    </row>
    <row r="27" spans="1:11" x14ac:dyDescent="0.2">
      <c r="A27" s="19"/>
      <c r="B27" s="19"/>
      <c r="C27" s="19"/>
      <c r="D27" s="19"/>
      <c r="E27" s="19"/>
      <c r="F27" s="19"/>
      <c r="G27" s="19"/>
      <c r="H27" s="19"/>
      <c r="I27" s="19"/>
      <c r="J27" s="19"/>
      <c r="K27" s="18"/>
    </row>
    <row r="28" spans="1:11" x14ac:dyDescent="0.2">
      <c r="A28" s="19"/>
      <c r="B28" s="19"/>
      <c r="C28" s="19"/>
      <c r="D28" s="19"/>
      <c r="E28" s="19"/>
      <c r="F28" s="19"/>
      <c r="G28" s="19"/>
      <c r="H28" s="19"/>
      <c r="I28" s="19"/>
      <c r="J28" s="19"/>
      <c r="K28" s="18"/>
    </row>
    <row r="29" spans="1:11" x14ac:dyDescent="0.2">
      <c r="A29" s="19"/>
      <c r="B29" s="19"/>
      <c r="C29" s="19"/>
      <c r="D29" s="19"/>
      <c r="E29" s="19"/>
      <c r="F29" s="19"/>
      <c r="G29" s="19"/>
      <c r="H29" s="19"/>
      <c r="I29" s="19"/>
      <c r="J29" s="19"/>
      <c r="K29" s="18"/>
    </row>
    <row r="30" spans="1:11" x14ac:dyDescent="0.2">
      <c r="A30" s="19"/>
      <c r="B30" s="19"/>
      <c r="C30" s="19"/>
      <c r="D30" s="19"/>
      <c r="E30" s="19"/>
      <c r="F30" s="19"/>
      <c r="G30" s="19"/>
      <c r="H30" s="19"/>
      <c r="I30" s="19"/>
      <c r="J30" s="19"/>
      <c r="K30" s="18"/>
    </row>
    <row r="31" spans="1:11" x14ac:dyDescent="0.2">
      <c r="A31" s="19"/>
      <c r="B31" s="19"/>
      <c r="C31" s="19"/>
      <c r="D31" s="19"/>
      <c r="E31" s="19"/>
      <c r="F31" s="19"/>
      <c r="G31" s="19"/>
      <c r="H31" s="19"/>
      <c r="I31" s="19"/>
      <c r="J31" s="19"/>
      <c r="K31" s="18"/>
    </row>
    <row r="32" spans="1:11" x14ac:dyDescent="0.2">
      <c r="A32" s="19"/>
      <c r="B32" s="19"/>
      <c r="C32" s="19"/>
      <c r="D32" s="19"/>
      <c r="E32" s="19"/>
      <c r="F32" s="19"/>
      <c r="G32" s="19"/>
      <c r="H32" s="19"/>
      <c r="I32" s="19"/>
      <c r="J32" s="19"/>
      <c r="K32" s="18"/>
    </row>
    <row r="33" spans="1:11" x14ac:dyDescent="0.2">
      <c r="A33" s="19"/>
      <c r="B33" s="19"/>
      <c r="C33" s="19"/>
      <c r="D33" s="19"/>
      <c r="E33" s="19"/>
      <c r="F33" s="19"/>
      <c r="G33" s="19"/>
      <c r="H33" s="19"/>
      <c r="I33" s="19"/>
      <c r="J33" s="19"/>
      <c r="K33" s="18"/>
    </row>
    <row r="34" spans="1:11" x14ac:dyDescent="0.2">
      <c r="A34" s="19"/>
      <c r="B34" s="19"/>
      <c r="C34" s="19"/>
      <c r="D34" s="19"/>
      <c r="E34" s="19"/>
      <c r="F34" s="19"/>
      <c r="G34" s="19"/>
      <c r="H34" s="19"/>
      <c r="I34" s="19"/>
      <c r="J34" s="19"/>
      <c r="K34" s="18"/>
    </row>
    <row r="35" spans="1:11" x14ac:dyDescent="0.2">
      <c r="A35" s="19"/>
      <c r="B35" s="19"/>
      <c r="C35" s="19"/>
      <c r="D35" s="19"/>
      <c r="E35" s="19"/>
      <c r="F35" s="19"/>
      <c r="G35" s="19"/>
      <c r="H35" s="19"/>
      <c r="I35" s="19"/>
      <c r="J35" s="19"/>
      <c r="K35" s="18"/>
    </row>
    <row r="36" spans="1:11" x14ac:dyDescent="0.2">
      <c r="A36" s="19"/>
      <c r="B36" s="19"/>
      <c r="C36" s="19"/>
      <c r="D36" s="19"/>
      <c r="E36" s="19"/>
      <c r="F36" s="19"/>
      <c r="G36" s="19"/>
      <c r="H36" s="19"/>
      <c r="I36" s="19"/>
      <c r="J36" s="19"/>
      <c r="K36" s="18"/>
    </row>
    <row r="37" spans="1:11" x14ac:dyDescent="0.2">
      <c r="A37" s="19"/>
      <c r="B37" s="19"/>
      <c r="C37" s="19"/>
      <c r="D37" s="19"/>
      <c r="E37" s="19"/>
      <c r="F37" s="19"/>
      <c r="G37" s="19"/>
      <c r="H37" s="19"/>
      <c r="I37" s="19"/>
      <c r="J37" s="19"/>
      <c r="K37" s="18"/>
    </row>
    <row r="38" spans="1:11" x14ac:dyDescent="0.2">
      <c r="A38" s="19"/>
      <c r="B38" s="19"/>
      <c r="C38" s="19"/>
      <c r="D38" s="19"/>
      <c r="E38" s="19"/>
      <c r="F38" s="19"/>
      <c r="G38" s="19"/>
      <c r="H38" s="19"/>
      <c r="I38" s="19"/>
      <c r="J38" s="19"/>
      <c r="K38" s="18"/>
    </row>
    <row r="39" spans="1:11" x14ac:dyDescent="0.2">
      <c r="A39" s="19"/>
      <c r="B39" s="19"/>
      <c r="C39" s="19"/>
      <c r="D39" s="19"/>
      <c r="E39" s="19"/>
      <c r="F39" s="19"/>
      <c r="G39" s="19"/>
      <c r="H39" s="19"/>
      <c r="I39" s="19"/>
      <c r="J39" s="19"/>
      <c r="K39" s="18"/>
    </row>
    <row r="40" spans="1:11" x14ac:dyDescent="0.2">
      <c r="A40" s="19" t="s">
        <v>1094</v>
      </c>
      <c r="B40" s="19" t="s">
        <v>45</v>
      </c>
      <c r="C40" s="19" t="s">
        <v>1095</v>
      </c>
      <c r="D40" s="19"/>
      <c r="E40" s="19"/>
      <c r="F40" s="19"/>
      <c r="G40" s="19"/>
      <c r="H40" s="19"/>
      <c r="I40" s="19"/>
      <c r="J40" s="19"/>
      <c r="K40" s="18"/>
    </row>
    <row r="41" spans="1:11" x14ac:dyDescent="0.2">
      <c r="A41" s="19" t="str">
        <f>'Outflow Categories'!A5</f>
        <v>Person / External Transfer</v>
      </c>
      <c r="B41" s="58">
        <f>'Outflow Categories'!B5</f>
        <v>47343.839999999997</v>
      </c>
      <c r="C41" s="59">
        <f>'Outflow Categories'!C5</f>
        <v>0.41316350496554499</v>
      </c>
      <c r="D41" s="19"/>
      <c r="E41" s="19"/>
      <c r="F41" s="19"/>
      <c r="G41" s="19"/>
      <c r="H41" s="19"/>
      <c r="I41" s="19"/>
      <c r="J41" s="19"/>
      <c r="K41" s="18"/>
    </row>
    <row r="42" spans="1:11" x14ac:dyDescent="0.2">
      <c r="A42" s="19" t="str">
        <f>'Outflow Categories'!A6</f>
        <v>Credit Card Settlement</v>
      </c>
      <c r="B42" s="58">
        <f>'Outflow Categories'!B6</f>
        <v>29540.63</v>
      </c>
      <c r="C42" s="59">
        <f>'Outflow Categories'!C6</f>
        <v>0.25779721775188341</v>
      </c>
      <c r="D42" s="19"/>
      <c r="E42" s="19"/>
      <c r="F42" s="19"/>
      <c r="G42" s="19"/>
      <c r="H42" s="19"/>
      <c r="I42" s="19"/>
      <c r="J42" s="19"/>
      <c r="K42" s="18"/>
    </row>
    <row r="43" spans="1:11" x14ac:dyDescent="0.2">
      <c r="A43" s="19" t="str">
        <f>'Outflow Categories'!A7</f>
        <v>Bills &amp; Services</v>
      </c>
      <c r="B43" s="58">
        <f>'Outflow Categories'!B7</f>
        <v>9790.6</v>
      </c>
      <c r="C43" s="59">
        <f>'Outflow Categories'!C7</f>
        <v>8.5441286801317032E-2</v>
      </c>
      <c r="D43" s="19"/>
      <c r="E43" s="19"/>
      <c r="F43" s="19"/>
      <c r="G43" s="19"/>
      <c r="H43" s="19"/>
      <c r="I43" s="19"/>
      <c r="J43" s="19"/>
      <c r="K43" s="18"/>
    </row>
    <row r="44" spans="1:11" x14ac:dyDescent="0.2">
      <c r="A44" s="19" t="str">
        <f>'Outflow Categories'!A8</f>
        <v>Groceries &amp; Food</v>
      </c>
      <c r="B44" s="58">
        <f>'Outflow Categories'!B8</f>
        <v>6716.58</v>
      </c>
      <c r="C44" s="59">
        <f>'Outflow Categories'!C8</f>
        <v>5.8614715962657042E-2</v>
      </c>
      <c r="D44" s="19"/>
      <c r="E44" s="19"/>
      <c r="F44" s="19"/>
      <c r="G44" s="19"/>
      <c r="H44" s="19"/>
      <c r="I44" s="19"/>
      <c r="J44" s="19"/>
      <c r="K44" s="18"/>
    </row>
    <row r="45" spans="1:11" x14ac:dyDescent="0.2">
      <c r="A45" s="19" t="str">
        <f>'Outflow Categories'!A9</f>
        <v>E-commerce</v>
      </c>
      <c r="B45" s="58">
        <f>'Outflow Categories'!B9</f>
        <v>4805.3900000000003</v>
      </c>
      <c r="C45" s="59">
        <f>'Outflow Categories'!C9</f>
        <v>4.1936010579758223E-2</v>
      </c>
      <c r="D45" s="19"/>
      <c r="E45" s="19"/>
      <c r="F45" s="19"/>
      <c r="G45" s="19"/>
      <c r="H45" s="19"/>
      <c r="I45" s="19"/>
      <c r="J45" s="19"/>
      <c r="K45" s="18"/>
    </row>
    <row r="46" spans="1:11" x14ac:dyDescent="0.2">
      <c r="A46" s="19" t="str">
        <f>'Outflow Categories'!A10</f>
        <v>Travel</v>
      </c>
      <c r="B46" s="58">
        <f>'Outflow Categories'!B10</f>
        <v>3529.31</v>
      </c>
      <c r="C46" s="59">
        <f>'Outflow Categories'!C10</f>
        <v>3.079982717307991E-2</v>
      </c>
      <c r="D46" s="19"/>
      <c r="E46" s="19"/>
      <c r="F46" s="19"/>
      <c r="G46" s="19"/>
      <c r="H46" s="19"/>
      <c r="I46" s="19"/>
      <c r="J46" s="19"/>
      <c r="K46" s="18"/>
    </row>
    <row r="47" spans="1:11" x14ac:dyDescent="0.2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8"/>
    </row>
    <row r="48" spans="1:11" x14ac:dyDescent="0.2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8"/>
    </row>
    <row r="49" spans="1:11" x14ac:dyDescent="0.2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8"/>
    </row>
    <row r="50" spans="1:11" x14ac:dyDescent="0.2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8"/>
    </row>
    <row r="51" spans="1:11" x14ac:dyDescent="0.2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8"/>
    </row>
    <row r="52" spans="1:11" x14ac:dyDescent="0.2">
      <c r="A52" s="19"/>
      <c r="B52" s="19"/>
      <c r="C52" s="19"/>
      <c r="D52" s="19"/>
      <c r="E52" s="19"/>
      <c r="F52" s="19"/>
      <c r="G52" s="19"/>
      <c r="H52" s="19"/>
      <c r="I52" s="19"/>
      <c r="J52" s="19"/>
      <c r="K52" s="18"/>
    </row>
    <row r="53" spans="1:11" x14ac:dyDescent="0.2">
      <c r="A53" s="19"/>
      <c r="B53" s="19"/>
      <c r="C53" s="19"/>
      <c r="D53" s="19"/>
      <c r="E53" s="19"/>
      <c r="F53" s="19"/>
      <c r="G53" s="19"/>
      <c r="H53" s="19"/>
      <c r="I53" s="19"/>
      <c r="J53" s="19"/>
      <c r="K53" s="18"/>
    </row>
    <row r="54" spans="1:11" x14ac:dyDescent="0.2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18"/>
    </row>
    <row r="55" spans="1:11" x14ac:dyDescent="0.2">
      <c r="A55" s="19"/>
      <c r="B55" s="19"/>
      <c r="C55" s="19"/>
      <c r="D55" s="19"/>
      <c r="E55" s="19"/>
      <c r="F55" s="19"/>
      <c r="G55" s="19"/>
      <c r="H55" s="19"/>
      <c r="I55" s="19"/>
      <c r="J55" s="19"/>
      <c r="K55" s="18"/>
    </row>
    <row r="56" spans="1:11" x14ac:dyDescent="0.2">
      <c r="A56" s="40" t="s">
        <v>1096</v>
      </c>
      <c r="B56" s="40"/>
      <c r="C56" s="40"/>
      <c r="D56" s="40"/>
      <c r="E56" s="40"/>
      <c r="F56" s="40"/>
      <c r="G56" s="40"/>
      <c r="H56" s="40"/>
      <c r="I56" s="40"/>
      <c r="J56" s="40"/>
      <c r="K56" s="18"/>
    </row>
    <row r="57" spans="1:11" x14ac:dyDescent="0.2">
      <c r="A57" s="21" t="s">
        <v>1097</v>
      </c>
      <c r="B57" s="21"/>
      <c r="C57" s="21"/>
      <c r="D57" s="21"/>
      <c r="E57" s="21"/>
      <c r="F57" s="21"/>
      <c r="G57" s="21"/>
      <c r="H57" s="21"/>
      <c r="I57" s="21"/>
      <c r="J57" s="21"/>
      <c r="K57" s="18"/>
    </row>
    <row r="58" spans="1:11" x14ac:dyDescent="0.2">
      <c r="A58" s="21" t="s">
        <v>1098</v>
      </c>
      <c r="B58" s="21"/>
      <c r="C58" s="21"/>
      <c r="D58" s="21"/>
      <c r="E58" s="21"/>
      <c r="F58" s="21"/>
      <c r="G58" s="21"/>
      <c r="H58" s="21"/>
      <c r="I58" s="21"/>
      <c r="J58" s="21"/>
      <c r="K58" s="18"/>
    </row>
    <row r="59" spans="1:11" x14ac:dyDescent="0.2">
      <c r="A59" s="21" t="s">
        <v>1099</v>
      </c>
      <c r="B59" s="21"/>
      <c r="C59" s="21"/>
      <c r="D59" s="21"/>
      <c r="E59" s="21"/>
      <c r="F59" s="21"/>
      <c r="G59" s="21"/>
      <c r="H59" s="21"/>
      <c r="I59" s="21"/>
      <c r="J59" s="21"/>
      <c r="K59" s="18"/>
    </row>
    <row r="60" spans="1:11" x14ac:dyDescent="0.2">
      <c r="A60" s="21" t="s">
        <v>1100</v>
      </c>
      <c r="B60" s="21"/>
      <c r="C60" s="21"/>
      <c r="D60" s="21"/>
      <c r="E60" s="21"/>
      <c r="F60" s="21"/>
      <c r="G60" s="21"/>
      <c r="H60" s="21"/>
      <c r="I60" s="21"/>
      <c r="J60" s="21"/>
      <c r="K60" s="18"/>
    </row>
    <row r="61" spans="1:11" x14ac:dyDescent="0.2">
      <c r="A61" s="21" t="s">
        <v>1101</v>
      </c>
      <c r="B61" s="21"/>
      <c r="C61" s="21"/>
      <c r="D61" s="21"/>
      <c r="E61" s="21"/>
      <c r="F61" s="21"/>
      <c r="G61" s="21"/>
      <c r="H61" s="21"/>
      <c r="I61" s="21"/>
      <c r="J61" s="21"/>
      <c r="K61" s="18"/>
    </row>
    <row r="62" spans="1:11" x14ac:dyDescent="0.2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</row>
  </sheetData>
  <mergeCells count="21">
    <mergeCell ref="A56:J56"/>
    <mergeCell ref="A57:J57"/>
    <mergeCell ref="A58:J58"/>
    <mergeCell ref="A59:J59"/>
    <mergeCell ref="A60:J60"/>
    <mergeCell ref="A61:J61"/>
    <mergeCell ref="A8:J8"/>
    <mergeCell ref="A10:B10"/>
    <mergeCell ref="A11:B12"/>
    <mergeCell ref="D10:E10"/>
    <mergeCell ref="D11:E12"/>
    <mergeCell ref="G10:H10"/>
    <mergeCell ref="G11:H12"/>
    <mergeCell ref="I10:J10"/>
    <mergeCell ref="I11:J12"/>
    <mergeCell ref="A1:J1"/>
    <mergeCell ref="A2:J2"/>
    <mergeCell ref="A4:J4"/>
    <mergeCell ref="A5:J5"/>
    <mergeCell ref="A6:J6"/>
    <mergeCell ref="A7:J7"/>
  </mergeCells>
  <pageMargins left="0.7" right="0.7" top="0.75" bottom="0.75" header="0.3" footer="0.3"/>
  <drawing r:id="rId1"/>
  <tableParts count="2">
    <tablePart r:id="rId2"/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7324D"/>
  </sheetPr>
  <dimension ref="A1:L15"/>
  <sheetViews>
    <sheetView showGridLines="0" workbookViewId="0">
      <pane ySplit="3" topLeftCell="A4" activePane="bottomLeft" state="frozen"/>
      <selection pane="bottomLeft" sqref="A1:J1"/>
    </sheetView>
  </sheetViews>
  <sheetFormatPr baseColWidth="10" defaultColWidth="8.83203125" defaultRowHeight="15" x14ac:dyDescent="0.2"/>
  <cols>
    <col min="4" max="4" width="11.6640625" bestFit="1" customWidth="1"/>
  </cols>
  <sheetData>
    <row r="1" spans="1:12" ht="32" customHeight="1" x14ac:dyDescent="0.2">
      <c r="A1" s="12" t="s">
        <v>0</v>
      </c>
      <c r="B1" s="13"/>
      <c r="C1" s="13"/>
      <c r="D1" s="13"/>
      <c r="E1" s="13"/>
      <c r="F1" s="13"/>
      <c r="G1" s="13"/>
      <c r="H1" s="13"/>
      <c r="I1" s="13"/>
      <c r="J1" s="13"/>
    </row>
    <row r="2" spans="1:12" ht="22" customHeight="1" x14ac:dyDescent="0.2">
      <c r="A2" s="16" t="s">
        <v>1</v>
      </c>
      <c r="B2" s="13"/>
      <c r="C2" s="13"/>
      <c r="D2" s="13"/>
      <c r="E2" s="13"/>
      <c r="F2" s="13"/>
      <c r="G2" s="13"/>
      <c r="H2" s="13"/>
      <c r="I2" s="13"/>
      <c r="J2" s="13"/>
    </row>
    <row r="4" spans="1:12" x14ac:dyDescent="0.2">
      <c r="A4" s="10" t="s">
        <v>2</v>
      </c>
      <c r="B4" s="11"/>
      <c r="C4" s="10" t="s">
        <v>3</v>
      </c>
      <c r="D4" s="11"/>
      <c r="E4" s="10" t="s">
        <v>4</v>
      </c>
      <c r="F4" s="11"/>
      <c r="G4" s="10" t="s">
        <v>5</v>
      </c>
      <c r="H4" s="11"/>
      <c r="I4" s="10" t="s">
        <v>6</v>
      </c>
      <c r="J4" s="11"/>
      <c r="K4" s="10" t="s">
        <v>7</v>
      </c>
      <c r="L4" s="11"/>
    </row>
    <row r="5" spans="1:12" x14ac:dyDescent="0.2">
      <c r="A5" s="15">
        <v>326</v>
      </c>
      <c r="B5" s="11"/>
      <c r="C5" s="14">
        <v>105270.27</v>
      </c>
      <c r="D5" s="11"/>
      <c r="E5" s="14">
        <v>114588.63</v>
      </c>
      <c r="F5" s="11"/>
      <c r="G5" s="14">
        <v>-9318.3599999999988</v>
      </c>
      <c r="H5" s="11"/>
      <c r="I5" s="14">
        <v>251.08</v>
      </c>
      <c r="J5" s="11"/>
      <c r="K5" s="14">
        <v>0</v>
      </c>
      <c r="L5" s="11"/>
    </row>
    <row r="6" spans="1:12" x14ac:dyDescent="0.2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</row>
    <row r="9" spans="1:12" ht="19" x14ac:dyDescent="0.2">
      <c r="A9" s="1" t="s">
        <v>8</v>
      </c>
    </row>
    <row r="10" spans="1:12" x14ac:dyDescent="0.2">
      <c r="A10" s="2" t="s">
        <v>9</v>
      </c>
      <c r="B10" s="2" t="s">
        <v>10</v>
      </c>
      <c r="C10" s="2" t="s">
        <v>11</v>
      </c>
      <c r="D10" s="2" t="s">
        <v>12</v>
      </c>
      <c r="E10" s="2" t="s">
        <v>13</v>
      </c>
      <c r="F10" s="2" t="s">
        <v>14</v>
      </c>
      <c r="G10" s="2" t="s">
        <v>15</v>
      </c>
      <c r="H10" s="2" t="s">
        <v>16</v>
      </c>
      <c r="I10" s="2" t="s">
        <v>17</v>
      </c>
    </row>
    <row r="11" spans="1:12" x14ac:dyDescent="0.2">
      <c r="A11" s="3" t="s">
        <v>18</v>
      </c>
      <c r="B11" s="3">
        <v>64</v>
      </c>
      <c r="C11" s="4">
        <v>21155.09</v>
      </c>
      <c r="D11" s="4">
        <v>27262.06</v>
      </c>
      <c r="E11" s="4">
        <v>21193.040000000001</v>
      </c>
      <c r="F11" s="4">
        <v>6069.02</v>
      </c>
      <c r="G11" s="4">
        <v>27224.11</v>
      </c>
      <c r="H11" s="4">
        <v>30.9</v>
      </c>
      <c r="I11" s="3" t="s">
        <v>19</v>
      </c>
    </row>
    <row r="12" spans="1:12" x14ac:dyDescent="0.2">
      <c r="A12" s="3" t="s">
        <v>20</v>
      </c>
      <c r="B12" s="3">
        <v>76</v>
      </c>
      <c r="C12" s="4">
        <v>27224.11</v>
      </c>
      <c r="D12" s="4">
        <v>17065.63</v>
      </c>
      <c r="E12" s="4">
        <v>30217.29</v>
      </c>
      <c r="F12" s="4">
        <v>-13151.66</v>
      </c>
      <c r="G12" s="4">
        <v>14072.45</v>
      </c>
      <c r="H12" s="4">
        <v>471.2</v>
      </c>
      <c r="I12" s="3" t="s">
        <v>19</v>
      </c>
    </row>
    <row r="13" spans="1:12" x14ac:dyDescent="0.2">
      <c r="A13" s="3" t="s">
        <v>21</v>
      </c>
      <c r="B13" s="3">
        <v>47</v>
      </c>
      <c r="C13" s="4">
        <v>14072.45</v>
      </c>
      <c r="D13" s="4">
        <v>24151.040000000001</v>
      </c>
      <c r="E13" s="4">
        <v>14108.3</v>
      </c>
      <c r="F13" s="4">
        <v>10042.74</v>
      </c>
      <c r="G13" s="4">
        <v>24115.19</v>
      </c>
      <c r="H13" s="4">
        <v>0.88</v>
      </c>
      <c r="I13" s="3" t="s">
        <v>19</v>
      </c>
    </row>
    <row r="14" spans="1:12" x14ac:dyDescent="0.2">
      <c r="A14" s="3" t="s">
        <v>22</v>
      </c>
      <c r="B14" s="3">
        <v>69</v>
      </c>
      <c r="C14" s="4">
        <v>24115.19</v>
      </c>
      <c r="D14" s="4">
        <v>11272.89</v>
      </c>
      <c r="E14" s="4">
        <v>31069.01</v>
      </c>
      <c r="F14" s="4">
        <v>-19796.12</v>
      </c>
      <c r="G14" s="4">
        <v>4319.07</v>
      </c>
      <c r="H14" s="4">
        <v>33.11</v>
      </c>
      <c r="I14" s="3" t="s">
        <v>19</v>
      </c>
    </row>
    <row r="15" spans="1:12" x14ac:dyDescent="0.2">
      <c r="A15" s="3" t="s">
        <v>23</v>
      </c>
      <c r="B15" s="3">
        <v>70</v>
      </c>
      <c r="C15" s="4">
        <v>4319.07</v>
      </c>
      <c r="D15" s="4">
        <v>25518.65</v>
      </c>
      <c r="E15" s="4">
        <v>18000.990000000002</v>
      </c>
      <c r="F15" s="4">
        <v>7517.66</v>
      </c>
      <c r="G15" s="4">
        <v>11836.73</v>
      </c>
      <c r="H15" s="4">
        <v>0</v>
      </c>
      <c r="I15" s="3" t="s">
        <v>19</v>
      </c>
    </row>
  </sheetData>
  <mergeCells count="14">
    <mergeCell ref="K4:L4"/>
    <mergeCell ref="C4:D4"/>
    <mergeCell ref="C5:D6"/>
    <mergeCell ref="A5:B6"/>
    <mergeCell ref="G5:H6"/>
    <mergeCell ref="E5:F6"/>
    <mergeCell ref="K5:L6"/>
    <mergeCell ref="I5:J6"/>
    <mergeCell ref="A4:B4"/>
    <mergeCell ref="G4:H4"/>
    <mergeCell ref="A1:J1"/>
    <mergeCell ref="E4:F4"/>
    <mergeCell ref="I4:J4"/>
    <mergeCell ref="A2:J2"/>
  </mergeCells>
  <pageMargins left="0.75" right="0.75" top="1" bottom="1" header="0.5" footer="0.5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F5B84"/>
  </sheetPr>
  <dimension ref="A1:O9"/>
  <sheetViews>
    <sheetView showGridLines="0" workbookViewId="0">
      <pane ySplit="4" topLeftCell="A5" activePane="bottomLeft" state="frozen"/>
      <selection pane="bottomLeft"/>
    </sheetView>
  </sheetViews>
  <sheetFormatPr baseColWidth="10" defaultColWidth="8.83203125" defaultRowHeight="15" x14ac:dyDescent="0.2"/>
  <cols>
    <col min="1" max="14" width="18" customWidth="1"/>
  </cols>
  <sheetData>
    <row r="1" spans="1:15" ht="32" customHeight="1" x14ac:dyDescent="0.2">
      <c r="A1" s="12" t="s">
        <v>24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</row>
    <row r="2" spans="1:15" ht="22" customHeight="1" x14ac:dyDescent="0.2">
      <c r="A2" s="16" t="s">
        <v>25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</row>
    <row r="4" spans="1:15" x14ac:dyDescent="0.2">
      <c r="A4" s="2" t="s">
        <v>9</v>
      </c>
      <c r="B4" s="2" t="s">
        <v>26</v>
      </c>
      <c r="C4" s="2" t="s">
        <v>11</v>
      </c>
      <c r="D4" s="2" t="s">
        <v>27</v>
      </c>
      <c r="E4" s="2" t="s">
        <v>28</v>
      </c>
      <c r="F4" s="2" t="s">
        <v>15</v>
      </c>
      <c r="G4" s="2" t="s">
        <v>17</v>
      </c>
      <c r="H4" s="2" t="s">
        <v>29</v>
      </c>
      <c r="I4" s="2" t="s">
        <v>30</v>
      </c>
      <c r="J4" s="2" t="s">
        <v>31</v>
      </c>
      <c r="K4" s="2" t="s">
        <v>32</v>
      </c>
      <c r="L4" s="2" t="s">
        <v>33</v>
      </c>
      <c r="M4" s="2" t="s">
        <v>34</v>
      </c>
      <c r="N4" s="2" t="s">
        <v>35</v>
      </c>
    </row>
    <row r="5" spans="1:15" x14ac:dyDescent="0.2">
      <c r="A5" s="3" t="s">
        <v>18</v>
      </c>
      <c r="B5" s="3" t="s">
        <v>36</v>
      </c>
      <c r="C5" s="5">
        <v>21155.09</v>
      </c>
      <c r="D5" s="4">
        <v>27262.06</v>
      </c>
      <c r="E5" s="4">
        <v>21193.040000000001</v>
      </c>
      <c r="F5" s="4">
        <v>27224.11</v>
      </c>
      <c r="G5" s="4" t="s">
        <v>19</v>
      </c>
      <c r="H5" s="4">
        <v>27262.06</v>
      </c>
      <c r="I5" s="4">
        <v>21193.040000000001</v>
      </c>
      <c r="J5" s="4">
        <v>6069.0199999999968</v>
      </c>
      <c r="K5" s="4">
        <v>6069.02</v>
      </c>
      <c r="L5" s="4">
        <v>-3.637978807091713E-12</v>
      </c>
      <c r="M5" s="4">
        <v>0</v>
      </c>
      <c r="N5" s="4">
        <v>-3.637978807091713E-12</v>
      </c>
    </row>
    <row r="6" spans="1:15" x14ac:dyDescent="0.2">
      <c r="A6" s="3" t="s">
        <v>20</v>
      </c>
      <c r="B6" s="3" t="s">
        <v>37</v>
      </c>
      <c r="C6" s="5">
        <v>27224.11</v>
      </c>
      <c r="D6" s="4">
        <v>17065.63</v>
      </c>
      <c r="E6" s="4">
        <v>30217.29</v>
      </c>
      <c r="F6" s="4">
        <v>14072.45</v>
      </c>
      <c r="G6" s="4" t="s">
        <v>19</v>
      </c>
      <c r="H6" s="4">
        <v>17065.63</v>
      </c>
      <c r="I6" s="4">
        <v>30217.29</v>
      </c>
      <c r="J6" s="4">
        <v>-13151.66</v>
      </c>
      <c r="K6" s="4">
        <v>-13151.66</v>
      </c>
      <c r="L6" s="4">
        <v>-3.637978807091713E-12</v>
      </c>
      <c r="M6" s="4">
        <v>0</v>
      </c>
      <c r="N6" s="4">
        <v>-3.637978807091713E-12</v>
      </c>
    </row>
    <row r="7" spans="1:15" x14ac:dyDescent="0.2">
      <c r="A7" s="3" t="s">
        <v>21</v>
      </c>
      <c r="B7" s="3" t="s">
        <v>38</v>
      </c>
      <c r="C7" s="5">
        <v>14072.45</v>
      </c>
      <c r="D7" s="4">
        <v>24151.040000000001</v>
      </c>
      <c r="E7" s="4">
        <v>14108.3</v>
      </c>
      <c r="F7" s="4">
        <v>24115.19</v>
      </c>
      <c r="G7" s="4" t="s">
        <v>19</v>
      </c>
      <c r="H7" s="4">
        <v>24151.040000000001</v>
      </c>
      <c r="I7" s="4">
        <v>14108.3</v>
      </c>
      <c r="J7" s="4">
        <v>10042.74</v>
      </c>
      <c r="K7" s="4">
        <v>10042.74</v>
      </c>
      <c r="L7" s="4">
        <v>-3.637978807091713E-12</v>
      </c>
      <c r="M7" s="4">
        <v>0</v>
      </c>
      <c r="N7" s="4">
        <v>0</v>
      </c>
    </row>
    <row r="8" spans="1:15" x14ac:dyDescent="0.2">
      <c r="A8" s="3" t="s">
        <v>22</v>
      </c>
      <c r="B8" s="3" t="s">
        <v>39</v>
      </c>
      <c r="C8" s="5">
        <v>24115.19</v>
      </c>
      <c r="D8" s="4">
        <v>11272.89</v>
      </c>
      <c r="E8" s="4">
        <v>31069.01</v>
      </c>
      <c r="F8" s="4">
        <v>4319.07</v>
      </c>
      <c r="G8" s="4" t="s">
        <v>19</v>
      </c>
      <c r="H8" s="4">
        <v>11272.89</v>
      </c>
      <c r="I8" s="4">
        <v>31069.01</v>
      </c>
      <c r="J8" s="4">
        <v>-19796.12</v>
      </c>
      <c r="K8" s="4">
        <v>-19796.12</v>
      </c>
      <c r="L8" s="4">
        <v>0</v>
      </c>
      <c r="M8" s="4">
        <v>3.637978807091713E-12</v>
      </c>
      <c r="N8" s="4">
        <v>-3.637978807091713E-12</v>
      </c>
    </row>
    <row r="9" spans="1:15" x14ac:dyDescent="0.2">
      <c r="A9" s="3" t="s">
        <v>23</v>
      </c>
      <c r="B9" s="3" t="s">
        <v>40</v>
      </c>
      <c r="C9" s="5">
        <v>4319.07</v>
      </c>
      <c r="D9" s="4">
        <v>25518.65</v>
      </c>
      <c r="E9" s="4">
        <v>18000.990000000002</v>
      </c>
      <c r="F9" s="4">
        <v>11836.73</v>
      </c>
      <c r="G9" s="4" t="s">
        <v>19</v>
      </c>
      <c r="H9" s="4">
        <v>25518.65</v>
      </c>
      <c r="I9" s="4">
        <v>18000.990000000002</v>
      </c>
      <c r="J9" s="4">
        <v>7517.6600000000026</v>
      </c>
      <c r="K9" s="4">
        <v>7517.66</v>
      </c>
      <c r="L9" s="4">
        <v>0</v>
      </c>
      <c r="M9" s="4">
        <v>-3.637978807091713E-12</v>
      </c>
      <c r="N9" s="4">
        <v>3.637978807091713E-12</v>
      </c>
    </row>
  </sheetData>
  <autoFilter ref="A4:N9" xr:uid="{00000000-0009-0000-0000-000001000000}"/>
  <mergeCells count="2">
    <mergeCell ref="A1:O1"/>
    <mergeCell ref="A2:O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F5B84"/>
  </sheetPr>
  <dimension ref="A1:N330"/>
  <sheetViews>
    <sheetView showGridLines="0" workbookViewId="0">
      <pane ySplit="4" topLeftCell="A5" activePane="bottomLeft" state="frozen"/>
      <selection pane="bottomLeft"/>
    </sheetView>
  </sheetViews>
  <sheetFormatPr baseColWidth="10" defaultColWidth="8.83203125" defaultRowHeight="15" x14ac:dyDescent="0.2"/>
  <cols>
    <col min="1" max="1" width="12" customWidth="1"/>
    <col min="2" max="2" width="13" customWidth="1"/>
    <col min="3" max="3" width="48" customWidth="1"/>
    <col min="4" max="4" width="17" customWidth="1"/>
    <col min="5" max="5" width="15" customWidth="1"/>
    <col min="6" max="6" width="12" customWidth="1"/>
    <col min="7" max="8" width="25" customWidth="1"/>
    <col min="9" max="9" width="40" customWidth="1"/>
    <col min="10" max="10" width="16" customWidth="1"/>
    <col min="11" max="11" width="24" customWidth="1"/>
    <col min="12" max="12" width="16" customWidth="1"/>
    <col min="13" max="13" width="28" customWidth="1"/>
    <col min="14" max="14" width="20" customWidth="1"/>
  </cols>
  <sheetData>
    <row r="1" spans="1:14" ht="32" customHeight="1" x14ac:dyDescent="0.2">
      <c r="A1" s="12" t="s">
        <v>10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</row>
    <row r="2" spans="1:14" ht="22" customHeight="1" x14ac:dyDescent="0.2">
      <c r="A2" s="16" t="s">
        <v>41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</row>
    <row r="4" spans="1:14" x14ac:dyDescent="0.2">
      <c r="A4" s="2" t="s">
        <v>9</v>
      </c>
      <c r="B4" s="2" t="s">
        <v>42</v>
      </c>
      <c r="C4" s="2" t="s">
        <v>43</v>
      </c>
      <c r="D4" s="2" t="s">
        <v>44</v>
      </c>
      <c r="E4" s="2" t="s">
        <v>45</v>
      </c>
      <c r="F4" s="2" t="s">
        <v>46</v>
      </c>
      <c r="G4" s="2" t="s">
        <v>47</v>
      </c>
      <c r="H4" s="2" t="s">
        <v>48</v>
      </c>
      <c r="I4" s="2" t="s">
        <v>49</v>
      </c>
      <c r="J4" s="2" t="s">
        <v>50</v>
      </c>
      <c r="K4" s="2" t="s">
        <v>51</v>
      </c>
      <c r="L4" s="2" t="s">
        <v>52</v>
      </c>
      <c r="M4" s="2" t="s">
        <v>53</v>
      </c>
      <c r="N4" s="2" t="s">
        <v>54</v>
      </c>
    </row>
    <row r="5" spans="1:14" x14ac:dyDescent="0.2">
      <c r="A5" s="3" t="s">
        <v>18</v>
      </c>
      <c r="B5" s="6">
        <v>46113</v>
      </c>
      <c r="C5" s="3" t="s">
        <v>55</v>
      </c>
      <c r="D5" s="3" t="s">
        <v>56</v>
      </c>
      <c r="E5" s="4">
        <v>-2080</v>
      </c>
      <c r="F5" s="3" t="s">
        <v>57</v>
      </c>
      <c r="G5" s="3" t="s">
        <v>58</v>
      </c>
      <c r="H5" s="3" t="s">
        <v>59</v>
      </c>
      <c r="I5" s="3" t="s">
        <v>60</v>
      </c>
      <c r="J5" s="4">
        <v>18916.939999999999</v>
      </c>
      <c r="K5" s="3" t="s">
        <v>61</v>
      </c>
      <c r="L5" s="4">
        <v>2080</v>
      </c>
      <c r="M5" s="3" t="s">
        <v>62</v>
      </c>
      <c r="N5" s="3" t="s">
        <v>63</v>
      </c>
    </row>
    <row r="6" spans="1:14" x14ac:dyDescent="0.2">
      <c r="A6" s="3" t="s">
        <v>18</v>
      </c>
      <c r="B6" s="6">
        <v>46113</v>
      </c>
      <c r="C6" s="3" t="s">
        <v>64</v>
      </c>
      <c r="D6" s="3" t="s">
        <v>65</v>
      </c>
      <c r="E6" s="4">
        <v>-700</v>
      </c>
      <c r="F6" s="3" t="s">
        <v>57</v>
      </c>
      <c r="G6" s="3" t="s">
        <v>58</v>
      </c>
      <c r="H6" s="3" t="s">
        <v>59</v>
      </c>
      <c r="I6" s="3" t="s">
        <v>66</v>
      </c>
      <c r="J6" s="4">
        <v>18216.939999999999</v>
      </c>
      <c r="K6" s="3" t="s">
        <v>61</v>
      </c>
      <c r="L6" s="4">
        <v>700</v>
      </c>
      <c r="M6" s="3" t="s">
        <v>67</v>
      </c>
      <c r="N6" s="3" t="s">
        <v>63</v>
      </c>
    </row>
    <row r="7" spans="1:14" x14ac:dyDescent="0.2">
      <c r="A7" s="3" t="s">
        <v>18</v>
      </c>
      <c r="B7" s="6">
        <v>46113</v>
      </c>
      <c r="C7" s="3" t="s">
        <v>68</v>
      </c>
      <c r="D7" s="3" t="s">
        <v>69</v>
      </c>
      <c r="E7" s="4">
        <v>-113.8</v>
      </c>
      <c r="F7" s="3" t="s">
        <v>57</v>
      </c>
      <c r="G7" s="3" t="s">
        <v>70</v>
      </c>
      <c r="H7" s="3" t="s">
        <v>71</v>
      </c>
      <c r="I7" s="3" t="s">
        <v>72</v>
      </c>
      <c r="J7" s="4">
        <v>21050.87</v>
      </c>
      <c r="K7" s="3" t="s">
        <v>61</v>
      </c>
      <c r="L7" s="4">
        <v>113.8</v>
      </c>
      <c r="M7" s="3" t="s">
        <v>73</v>
      </c>
      <c r="N7" s="3" t="s">
        <v>63</v>
      </c>
    </row>
    <row r="8" spans="1:14" x14ac:dyDescent="0.2">
      <c r="A8" s="3" t="s">
        <v>18</v>
      </c>
      <c r="B8" s="6">
        <v>46113</v>
      </c>
      <c r="C8" s="3" t="s">
        <v>74</v>
      </c>
      <c r="D8" s="3" t="s">
        <v>75</v>
      </c>
      <c r="E8" s="4">
        <v>-53.93</v>
      </c>
      <c r="F8" s="3" t="s">
        <v>57</v>
      </c>
      <c r="G8" s="3" t="s">
        <v>58</v>
      </c>
      <c r="H8" s="3" t="s">
        <v>59</v>
      </c>
      <c r="I8" s="3" t="s">
        <v>76</v>
      </c>
      <c r="J8" s="4">
        <v>20996.94</v>
      </c>
      <c r="K8" s="3" t="s">
        <v>61</v>
      </c>
      <c r="L8" s="4">
        <v>53.93</v>
      </c>
      <c r="M8" s="3" t="s">
        <v>77</v>
      </c>
      <c r="N8" s="3" t="s">
        <v>63</v>
      </c>
    </row>
    <row r="9" spans="1:14" x14ac:dyDescent="0.2">
      <c r="A9" s="3" t="s">
        <v>18</v>
      </c>
      <c r="B9" s="6">
        <v>46113</v>
      </c>
      <c r="C9" s="3" t="s">
        <v>78</v>
      </c>
      <c r="D9" s="3" t="s">
        <v>79</v>
      </c>
      <c r="E9" s="4">
        <v>9.58</v>
      </c>
      <c r="F9" s="3" t="s">
        <v>80</v>
      </c>
      <c r="G9" s="3" t="s">
        <v>6</v>
      </c>
      <c r="H9" s="3" t="s">
        <v>78</v>
      </c>
      <c r="I9" s="3" t="s">
        <v>81</v>
      </c>
      <c r="J9" s="4">
        <v>21164.67</v>
      </c>
      <c r="K9" s="3" t="s">
        <v>61</v>
      </c>
      <c r="L9" s="4">
        <v>9.58</v>
      </c>
      <c r="M9" s="3" t="s">
        <v>82</v>
      </c>
      <c r="N9" s="3" t="s">
        <v>63</v>
      </c>
    </row>
    <row r="10" spans="1:14" x14ac:dyDescent="0.2">
      <c r="A10" s="3" t="s">
        <v>18</v>
      </c>
      <c r="B10" s="6">
        <v>46114</v>
      </c>
      <c r="C10" s="3" t="s">
        <v>83</v>
      </c>
      <c r="D10" s="3" t="s">
        <v>84</v>
      </c>
      <c r="E10" s="4">
        <v>-1422.71</v>
      </c>
      <c r="F10" s="3" t="s">
        <v>57</v>
      </c>
      <c r="G10" s="3" t="s">
        <v>85</v>
      </c>
      <c r="H10" s="3" t="s">
        <v>85</v>
      </c>
      <c r="I10" s="3" t="s">
        <v>86</v>
      </c>
      <c r="J10" s="4">
        <v>16802.560000000001</v>
      </c>
      <c r="K10" s="3" t="s">
        <v>61</v>
      </c>
      <c r="L10" s="4">
        <v>1422.71</v>
      </c>
      <c r="M10" s="3" t="s">
        <v>87</v>
      </c>
      <c r="N10" s="3" t="s">
        <v>63</v>
      </c>
    </row>
    <row r="11" spans="1:14" x14ac:dyDescent="0.2">
      <c r="A11" s="3" t="s">
        <v>18</v>
      </c>
      <c r="B11" s="6">
        <v>46114</v>
      </c>
      <c r="C11" s="3" t="s">
        <v>88</v>
      </c>
      <c r="D11" s="3" t="s">
        <v>89</v>
      </c>
      <c r="E11" s="4">
        <v>-227.03</v>
      </c>
      <c r="F11" s="3" t="s">
        <v>57</v>
      </c>
      <c r="G11" s="3" t="s">
        <v>90</v>
      </c>
      <c r="H11" s="3" t="s">
        <v>91</v>
      </c>
      <c r="I11" s="3" t="s">
        <v>92</v>
      </c>
      <c r="J11" s="4">
        <v>16575.53</v>
      </c>
      <c r="K11" s="3" t="s">
        <v>61</v>
      </c>
      <c r="L11" s="4">
        <v>227.03</v>
      </c>
      <c r="M11" s="3" t="s">
        <v>93</v>
      </c>
      <c r="N11" s="3" t="s">
        <v>63</v>
      </c>
    </row>
    <row r="12" spans="1:14" x14ac:dyDescent="0.2">
      <c r="A12" s="3" t="s">
        <v>18</v>
      </c>
      <c r="B12" s="6">
        <v>46114</v>
      </c>
      <c r="C12" s="3" t="s">
        <v>94</v>
      </c>
      <c r="D12" s="3" t="s">
        <v>95</v>
      </c>
      <c r="E12" s="4">
        <v>-350</v>
      </c>
      <c r="F12" s="3" t="s">
        <v>57</v>
      </c>
      <c r="G12" s="3" t="s">
        <v>58</v>
      </c>
      <c r="H12" s="3" t="s">
        <v>59</v>
      </c>
      <c r="I12" s="3" t="s">
        <v>96</v>
      </c>
      <c r="J12" s="4">
        <v>16113.26</v>
      </c>
      <c r="K12" s="3" t="s">
        <v>61</v>
      </c>
      <c r="L12" s="4">
        <v>350</v>
      </c>
      <c r="M12" s="3" t="s">
        <v>97</v>
      </c>
      <c r="N12" s="3" t="s">
        <v>63</v>
      </c>
    </row>
    <row r="13" spans="1:14" x14ac:dyDescent="0.2">
      <c r="A13" s="3" t="s">
        <v>18</v>
      </c>
      <c r="B13" s="6">
        <v>46114</v>
      </c>
      <c r="C13" s="3" t="s">
        <v>98</v>
      </c>
      <c r="D13" s="3" t="s">
        <v>99</v>
      </c>
      <c r="E13" s="4">
        <v>-253.88</v>
      </c>
      <c r="F13" s="3" t="s">
        <v>57</v>
      </c>
      <c r="G13" s="3" t="s">
        <v>70</v>
      </c>
      <c r="H13" s="3" t="s">
        <v>71</v>
      </c>
      <c r="I13" s="3" t="s">
        <v>100</v>
      </c>
      <c r="J13" s="4">
        <v>15791.59</v>
      </c>
      <c r="K13" s="3" t="s">
        <v>61</v>
      </c>
      <c r="L13" s="4">
        <v>253.88</v>
      </c>
      <c r="M13" s="3" t="s">
        <v>101</v>
      </c>
      <c r="N13" s="3" t="s">
        <v>63</v>
      </c>
    </row>
    <row r="14" spans="1:14" x14ac:dyDescent="0.2">
      <c r="A14" s="3" t="s">
        <v>18</v>
      </c>
      <c r="B14" s="6">
        <v>46114</v>
      </c>
      <c r="C14" s="3" t="s">
        <v>102</v>
      </c>
      <c r="D14" s="3" t="s">
        <v>103</v>
      </c>
      <c r="E14" s="4">
        <v>-75.5</v>
      </c>
      <c r="F14" s="3" t="s">
        <v>57</v>
      </c>
      <c r="G14" s="3" t="s">
        <v>70</v>
      </c>
      <c r="H14" s="3" t="s">
        <v>71</v>
      </c>
      <c r="I14" s="3" t="s">
        <v>104</v>
      </c>
      <c r="J14" s="4">
        <v>15716.09</v>
      </c>
      <c r="K14" s="3" t="s">
        <v>61</v>
      </c>
      <c r="L14" s="4">
        <v>75.5</v>
      </c>
      <c r="M14" s="3" t="s">
        <v>105</v>
      </c>
      <c r="N14" s="3" t="s">
        <v>63</v>
      </c>
    </row>
    <row r="15" spans="1:14" x14ac:dyDescent="0.2">
      <c r="A15" s="3" t="s">
        <v>18</v>
      </c>
      <c r="B15" s="6">
        <v>46114</v>
      </c>
      <c r="C15" s="3" t="s">
        <v>106</v>
      </c>
      <c r="D15" s="3" t="s">
        <v>107</v>
      </c>
      <c r="E15" s="4">
        <v>-112.27</v>
      </c>
      <c r="F15" s="3" t="s">
        <v>57</v>
      </c>
      <c r="G15" s="3" t="s">
        <v>58</v>
      </c>
      <c r="H15" s="3" t="s">
        <v>59</v>
      </c>
      <c r="I15" s="3" t="s">
        <v>108</v>
      </c>
      <c r="J15" s="4">
        <v>16463.259999999998</v>
      </c>
      <c r="K15" s="3" t="s">
        <v>61</v>
      </c>
      <c r="L15" s="4">
        <v>112.27</v>
      </c>
      <c r="M15" s="3" t="s">
        <v>109</v>
      </c>
      <c r="N15" s="3" t="s">
        <v>63</v>
      </c>
    </row>
    <row r="16" spans="1:14" x14ac:dyDescent="0.2">
      <c r="A16" s="3" t="s">
        <v>18</v>
      </c>
      <c r="B16" s="6">
        <v>46114</v>
      </c>
      <c r="C16" s="3" t="s">
        <v>110</v>
      </c>
      <c r="D16" s="3" t="s">
        <v>111</v>
      </c>
      <c r="E16" s="4">
        <v>-67.790000000000006</v>
      </c>
      <c r="F16" s="3" t="s">
        <v>57</v>
      </c>
      <c r="G16" s="3" t="s">
        <v>112</v>
      </c>
      <c r="H16" s="3" t="s">
        <v>113</v>
      </c>
      <c r="I16" s="3" t="s">
        <v>114</v>
      </c>
      <c r="J16" s="4">
        <v>16045.47</v>
      </c>
      <c r="K16" s="3" t="s">
        <v>61</v>
      </c>
      <c r="L16" s="4">
        <v>67.790000000000006</v>
      </c>
      <c r="M16" s="3" t="s">
        <v>115</v>
      </c>
      <c r="N16" s="3" t="s">
        <v>63</v>
      </c>
    </row>
    <row r="17" spans="1:14" x14ac:dyDescent="0.2">
      <c r="A17" s="3" t="s">
        <v>18</v>
      </c>
      <c r="B17" s="6">
        <v>46114</v>
      </c>
      <c r="C17" s="3" t="s">
        <v>78</v>
      </c>
      <c r="D17" s="3" t="s">
        <v>116</v>
      </c>
      <c r="E17" s="4">
        <v>8.33</v>
      </c>
      <c r="F17" s="3" t="s">
        <v>80</v>
      </c>
      <c r="G17" s="3" t="s">
        <v>6</v>
      </c>
      <c r="H17" s="3" t="s">
        <v>78</v>
      </c>
      <c r="I17" s="3" t="s">
        <v>81</v>
      </c>
      <c r="J17" s="4">
        <v>18225.27</v>
      </c>
      <c r="K17" s="3" t="s">
        <v>61</v>
      </c>
      <c r="L17" s="4">
        <v>8.33</v>
      </c>
      <c r="M17" s="3" t="s">
        <v>117</v>
      </c>
      <c r="N17" s="3" t="s">
        <v>63</v>
      </c>
    </row>
    <row r="18" spans="1:14" x14ac:dyDescent="0.2">
      <c r="A18" s="3" t="s">
        <v>18</v>
      </c>
      <c r="B18" s="6">
        <v>46115</v>
      </c>
      <c r="C18" s="3" t="s">
        <v>118</v>
      </c>
      <c r="D18" s="3" t="s">
        <v>119</v>
      </c>
      <c r="E18" s="4">
        <v>-76.400000000000006</v>
      </c>
      <c r="F18" s="3" t="s">
        <v>57</v>
      </c>
      <c r="G18" s="3" t="s">
        <v>58</v>
      </c>
      <c r="H18" s="3" t="s">
        <v>59</v>
      </c>
      <c r="I18" s="3" t="s">
        <v>120</v>
      </c>
      <c r="J18" s="4">
        <v>15639.69</v>
      </c>
      <c r="K18" s="3" t="s">
        <v>61</v>
      </c>
      <c r="L18" s="4">
        <v>76.400000000000006</v>
      </c>
      <c r="M18" s="3" t="s">
        <v>121</v>
      </c>
      <c r="N18" s="3" t="s">
        <v>63</v>
      </c>
    </row>
    <row r="19" spans="1:14" x14ac:dyDescent="0.2">
      <c r="A19" s="3" t="s">
        <v>18</v>
      </c>
      <c r="B19" s="6">
        <v>46118</v>
      </c>
      <c r="C19" s="3" t="s">
        <v>122</v>
      </c>
      <c r="D19" s="3" t="s">
        <v>123</v>
      </c>
      <c r="E19" s="4">
        <v>-319.32</v>
      </c>
      <c r="F19" s="3" t="s">
        <v>57</v>
      </c>
      <c r="G19" s="3" t="s">
        <v>70</v>
      </c>
      <c r="H19" s="3" t="s">
        <v>71</v>
      </c>
      <c r="I19" s="3" t="s">
        <v>124</v>
      </c>
      <c r="J19" s="4">
        <v>15157.47</v>
      </c>
      <c r="K19" s="3" t="s">
        <v>61</v>
      </c>
      <c r="L19" s="4">
        <v>319.32</v>
      </c>
      <c r="M19" s="3" t="s">
        <v>125</v>
      </c>
      <c r="N19" s="3" t="s">
        <v>63</v>
      </c>
    </row>
    <row r="20" spans="1:14" x14ac:dyDescent="0.2">
      <c r="A20" s="3" t="s">
        <v>18</v>
      </c>
      <c r="B20" s="6">
        <v>46118</v>
      </c>
      <c r="C20" s="3" t="s">
        <v>64</v>
      </c>
      <c r="D20" s="3" t="s">
        <v>126</v>
      </c>
      <c r="E20" s="4">
        <v>-170</v>
      </c>
      <c r="F20" s="3" t="s">
        <v>57</v>
      </c>
      <c r="G20" s="3" t="s">
        <v>58</v>
      </c>
      <c r="H20" s="3" t="s">
        <v>59</v>
      </c>
      <c r="I20" s="3" t="s">
        <v>66</v>
      </c>
      <c r="J20" s="4">
        <v>15476.79</v>
      </c>
      <c r="K20" s="3" t="s">
        <v>61</v>
      </c>
      <c r="L20" s="4">
        <v>170</v>
      </c>
      <c r="M20" s="3" t="s">
        <v>127</v>
      </c>
      <c r="N20" s="3" t="s">
        <v>63</v>
      </c>
    </row>
    <row r="21" spans="1:14" x14ac:dyDescent="0.2">
      <c r="A21" s="3" t="s">
        <v>18</v>
      </c>
      <c r="B21" s="6">
        <v>46118</v>
      </c>
      <c r="C21" s="3" t="s">
        <v>78</v>
      </c>
      <c r="D21" s="3" t="s">
        <v>128</v>
      </c>
      <c r="E21" s="4">
        <v>7.1</v>
      </c>
      <c r="F21" s="3" t="s">
        <v>80</v>
      </c>
      <c r="G21" s="3" t="s">
        <v>6</v>
      </c>
      <c r="H21" s="3" t="s">
        <v>78</v>
      </c>
      <c r="I21" s="3" t="s">
        <v>81</v>
      </c>
      <c r="J21" s="4">
        <v>15646.79</v>
      </c>
      <c r="K21" s="3" t="s">
        <v>61</v>
      </c>
      <c r="L21" s="4">
        <v>7.1</v>
      </c>
      <c r="M21" s="3" t="s">
        <v>129</v>
      </c>
      <c r="N21" s="3" t="s">
        <v>63</v>
      </c>
    </row>
    <row r="22" spans="1:14" x14ac:dyDescent="0.2">
      <c r="A22" s="3" t="s">
        <v>18</v>
      </c>
      <c r="B22" s="6">
        <v>46119</v>
      </c>
      <c r="C22" s="3" t="s">
        <v>130</v>
      </c>
      <c r="D22" s="3" t="s">
        <v>131</v>
      </c>
      <c r="E22" s="4">
        <v>-1260</v>
      </c>
      <c r="F22" s="3" t="s">
        <v>57</v>
      </c>
      <c r="G22" s="3" t="s">
        <v>58</v>
      </c>
      <c r="H22" s="3" t="s">
        <v>59</v>
      </c>
      <c r="I22" s="3" t="s">
        <v>132</v>
      </c>
      <c r="J22" s="4">
        <v>13904.15</v>
      </c>
      <c r="K22" s="3" t="s">
        <v>61</v>
      </c>
      <c r="L22" s="4">
        <v>1260</v>
      </c>
      <c r="M22" s="3" t="s">
        <v>133</v>
      </c>
      <c r="N22" s="3" t="s">
        <v>63</v>
      </c>
    </row>
    <row r="23" spans="1:14" x14ac:dyDescent="0.2">
      <c r="A23" s="3" t="s">
        <v>18</v>
      </c>
      <c r="B23" s="6">
        <v>46119</v>
      </c>
      <c r="C23" s="3" t="s">
        <v>55</v>
      </c>
      <c r="D23" s="3" t="s">
        <v>134</v>
      </c>
      <c r="E23" s="4">
        <v>-480</v>
      </c>
      <c r="F23" s="3" t="s">
        <v>57</v>
      </c>
      <c r="G23" s="3" t="s">
        <v>58</v>
      </c>
      <c r="H23" s="3" t="s">
        <v>59</v>
      </c>
      <c r="I23" s="3" t="s">
        <v>60</v>
      </c>
      <c r="J23" s="4">
        <v>13101.45</v>
      </c>
      <c r="K23" s="3" t="s">
        <v>61</v>
      </c>
      <c r="L23" s="4">
        <v>480</v>
      </c>
      <c r="M23" s="3" t="s">
        <v>135</v>
      </c>
      <c r="N23" s="3" t="s">
        <v>63</v>
      </c>
    </row>
    <row r="24" spans="1:14" x14ac:dyDescent="0.2">
      <c r="A24" s="3" t="s">
        <v>18</v>
      </c>
      <c r="B24" s="6">
        <v>46119</v>
      </c>
      <c r="C24" s="3" t="s">
        <v>136</v>
      </c>
      <c r="D24" s="3" t="s">
        <v>137</v>
      </c>
      <c r="E24" s="4">
        <v>-78.989999999999995</v>
      </c>
      <c r="F24" s="3" t="s">
        <v>57</v>
      </c>
      <c r="G24" s="3" t="s">
        <v>138</v>
      </c>
      <c r="H24" s="3" t="s">
        <v>139</v>
      </c>
      <c r="I24" s="3" t="s">
        <v>140</v>
      </c>
      <c r="J24" s="4">
        <v>13022.46</v>
      </c>
      <c r="K24" s="3" t="s">
        <v>61</v>
      </c>
      <c r="L24" s="4">
        <v>78.989999999999995</v>
      </c>
      <c r="M24" s="3" t="s">
        <v>141</v>
      </c>
      <c r="N24" s="3" t="s">
        <v>63</v>
      </c>
    </row>
    <row r="25" spans="1:14" x14ac:dyDescent="0.2">
      <c r="A25" s="3" t="s">
        <v>18</v>
      </c>
      <c r="B25" s="6">
        <v>46119</v>
      </c>
      <c r="C25" s="3" t="s">
        <v>102</v>
      </c>
      <c r="D25" s="3" t="s">
        <v>142</v>
      </c>
      <c r="E25" s="4">
        <v>-124.7</v>
      </c>
      <c r="F25" s="3" t="s">
        <v>57</v>
      </c>
      <c r="G25" s="3" t="s">
        <v>70</v>
      </c>
      <c r="H25" s="3" t="s">
        <v>71</v>
      </c>
      <c r="I25" s="3" t="s">
        <v>104</v>
      </c>
      <c r="J25" s="4">
        <v>13779.45</v>
      </c>
      <c r="K25" s="3" t="s">
        <v>61</v>
      </c>
      <c r="L25" s="4">
        <v>124.7</v>
      </c>
      <c r="M25" s="3" t="s">
        <v>143</v>
      </c>
      <c r="N25" s="3" t="s">
        <v>63</v>
      </c>
    </row>
    <row r="26" spans="1:14" x14ac:dyDescent="0.2">
      <c r="A26" s="3" t="s">
        <v>18</v>
      </c>
      <c r="B26" s="6">
        <v>46119</v>
      </c>
      <c r="C26" s="3" t="s">
        <v>130</v>
      </c>
      <c r="D26" s="3" t="s">
        <v>144</v>
      </c>
      <c r="E26" s="4">
        <v>-198</v>
      </c>
      <c r="F26" s="3" t="s">
        <v>57</v>
      </c>
      <c r="G26" s="3" t="s">
        <v>58</v>
      </c>
      <c r="H26" s="3" t="s">
        <v>59</v>
      </c>
      <c r="I26" s="3" t="s">
        <v>132</v>
      </c>
      <c r="J26" s="4">
        <v>13581.45</v>
      </c>
      <c r="K26" s="3" t="s">
        <v>61</v>
      </c>
      <c r="L26" s="4">
        <v>198</v>
      </c>
      <c r="M26" s="3" t="s">
        <v>145</v>
      </c>
      <c r="N26" s="3" t="s">
        <v>63</v>
      </c>
    </row>
    <row r="27" spans="1:14" x14ac:dyDescent="0.2">
      <c r="A27" s="3" t="s">
        <v>18</v>
      </c>
      <c r="B27" s="6">
        <v>46119</v>
      </c>
      <c r="C27" s="3" t="s">
        <v>78</v>
      </c>
      <c r="D27" s="3" t="s">
        <v>146</v>
      </c>
      <c r="E27" s="4">
        <v>6.68</v>
      </c>
      <c r="F27" s="3" t="s">
        <v>80</v>
      </c>
      <c r="G27" s="3" t="s">
        <v>6</v>
      </c>
      <c r="H27" s="3" t="s">
        <v>78</v>
      </c>
      <c r="I27" s="3" t="s">
        <v>81</v>
      </c>
      <c r="J27" s="4">
        <v>15164.15</v>
      </c>
      <c r="K27" s="3" t="s">
        <v>61</v>
      </c>
      <c r="L27" s="4">
        <v>6.68</v>
      </c>
      <c r="M27" s="3" t="s">
        <v>147</v>
      </c>
      <c r="N27" s="3" t="s">
        <v>63</v>
      </c>
    </row>
    <row r="28" spans="1:14" x14ac:dyDescent="0.2">
      <c r="A28" s="3" t="s">
        <v>18</v>
      </c>
      <c r="B28" s="6">
        <v>46120</v>
      </c>
      <c r="C28" s="3" t="s">
        <v>148</v>
      </c>
      <c r="D28" s="3" t="s">
        <v>149</v>
      </c>
      <c r="E28" s="4">
        <v>-49</v>
      </c>
      <c r="F28" s="3" t="s">
        <v>57</v>
      </c>
      <c r="G28" s="3" t="s">
        <v>150</v>
      </c>
      <c r="H28" s="3" t="s">
        <v>151</v>
      </c>
      <c r="I28" s="3" t="s">
        <v>152</v>
      </c>
      <c r="J28" s="4">
        <v>12973.46</v>
      </c>
      <c r="K28" s="3" t="s">
        <v>61</v>
      </c>
      <c r="L28" s="4">
        <v>49</v>
      </c>
      <c r="M28" s="3" t="s">
        <v>153</v>
      </c>
      <c r="N28" s="3" t="s">
        <v>63</v>
      </c>
    </row>
    <row r="29" spans="1:14" x14ac:dyDescent="0.2">
      <c r="A29" s="3" t="s">
        <v>18</v>
      </c>
      <c r="B29" s="6">
        <v>46120</v>
      </c>
      <c r="C29" s="3" t="s">
        <v>154</v>
      </c>
      <c r="D29" s="3" t="s">
        <v>155</v>
      </c>
      <c r="E29" s="4">
        <v>-22</v>
      </c>
      <c r="F29" s="3" t="s">
        <v>57</v>
      </c>
      <c r="G29" s="3" t="s">
        <v>58</v>
      </c>
      <c r="H29" s="3" t="s">
        <v>59</v>
      </c>
      <c r="I29" s="3" t="s">
        <v>156</v>
      </c>
      <c r="J29" s="4">
        <v>12957.58</v>
      </c>
      <c r="K29" s="3" t="s">
        <v>61</v>
      </c>
      <c r="L29" s="4">
        <v>22</v>
      </c>
      <c r="M29" s="3" t="s">
        <v>157</v>
      </c>
      <c r="N29" s="3" t="s">
        <v>63</v>
      </c>
    </row>
    <row r="30" spans="1:14" x14ac:dyDescent="0.2">
      <c r="A30" s="3" t="s">
        <v>18</v>
      </c>
      <c r="B30" s="6">
        <v>46120</v>
      </c>
      <c r="C30" s="3" t="s">
        <v>158</v>
      </c>
      <c r="D30" s="3" t="s">
        <v>159</v>
      </c>
      <c r="E30" s="4">
        <v>-222.97</v>
      </c>
      <c r="F30" s="3" t="s">
        <v>57</v>
      </c>
      <c r="G30" s="3" t="s">
        <v>150</v>
      </c>
      <c r="H30" s="3" t="s">
        <v>151</v>
      </c>
      <c r="I30" s="3" t="s">
        <v>160</v>
      </c>
      <c r="J30" s="4">
        <v>12734.61</v>
      </c>
      <c r="K30" s="3" t="s">
        <v>61</v>
      </c>
      <c r="L30" s="4">
        <v>222.97</v>
      </c>
      <c r="M30" s="3" t="s">
        <v>161</v>
      </c>
      <c r="N30" s="3" t="s">
        <v>63</v>
      </c>
    </row>
    <row r="31" spans="1:14" x14ac:dyDescent="0.2">
      <c r="A31" s="3" t="s">
        <v>18</v>
      </c>
      <c r="B31" s="6">
        <v>46120</v>
      </c>
      <c r="C31" s="3" t="s">
        <v>78</v>
      </c>
      <c r="D31" s="3" t="s">
        <v>162</v>
      </c>
      <c r="E31" s="4">
        <v>6.12</v>
      </c>
      <c r="F31" s="3" t="s">
        <v>80</v>
      </c>
      <c r="G31" s="3" t="s">
        <v>6</v>
      </c>
      <c r="H31" s="3" t="s">
        <v>78</v>
      </c>
      <c r="I31" s="3" t="s">
        <v>81</v>
      </c>
      <c r="J31" s="4">
        <v>12979.58</v>
      </c>
      <c r="K31" s="3" t="s">
        <v>61</v>
      </c>
      <c r="L31" s="4">
        <v>6.12</v>
      </c>
      <c r="M31" s="3" t="s">
        <v>163</v>
      </c>
      <c r="N31" s="3" t="s">
        <v>63</v>
      </c>
    </row>
    <row r="32" spans="1:14" x14ac:dyDescent="0.2">
      <c r="A32" s="3" t="s">
        <v>18</v>
      </c>
      <c r="B32" s="6">
        <v>46121</v>
      </c>
      <c r="C32" s="3" t="s">
        <v>164</v>
      </c>
      <c r="D32" s="3" t="s">
        <v>165</v>
      </c>
      <c r="E32" s="4">
        <v>-73.7</v>
      </c>
      <c r="F32" s="3" t="s">
        <v>57</v>
      </c>
      <c r="G32" s="3" t="s">
        <v>70</v>
      </c>
      <c r="H32" s="3" t="s">
        <v>71</v>
      </c>
      <c r="I32" s="3" t="s">
        <v>166</v>
      </c>
      <c r="J32" s="4">
        <v>12666.62</v>
      </c>
      <c r="K32" s="3" t="s">
        <v>61</v>
      </c>
      <c r="L32" s="4">
        <v>73.7</v>
      </c>
      <c r="M32" s="3" t="s">
        <v>167</v>
      </c>
      <c r="N32" s="3" t="s">
        <v>63</v>
      </c>
    </row>
    <row r="33" spans="1:14" x14ac:dyDescent="0.2">
      <c r="A33" s="3" t="s">
        <v>18</v>
      </c>
      <c r="B33" s="6">
        <v>46121</v>
      </c>
      <c r="C33" s="3" t="s">
        <v>168</v>
      </c>
      <c r="D33" s="3" t="s">
        <v>169</v>
      </c>
      <c r="E33" s="4">
        <v>-713.4</v>
      </c>
      <c r="F33" s="3" t="s">
        <v>57</v>
      </c>
      <c r="G33" s="3" t="s">
        <v>70</v>
      </c>
      <c r="H33" s="3" t="s">
        <v>71</v>
      </c>
      <c r="I33" s="3" t="s">
        <v>170</v>
      </c>
      <c r="J33" s="4">
        <v>3433.22</v>
      </c>
      <c r="K33" s="3" t="s">
        <v>61</v>
      </c>
      <c r="L33" s="4">
        <v>713.4</v>
      </c>
      <c r="M33" s="3" t="s">
        <v>171</v>
      </c>
      <c r="N33" s="3" t="s">
        <v>63</v>
      </c>
    </row>
    <row r="34" spans="1:14" x14ac:dyDescent="0.2">
      <c r="A34" s="3" t="s">
        <v>18</v>
      </c>
      <c r="B34" s="6">
        <v>46121</v>
      </c>
      <c r="C34" s="3" t="s">
        <v>172</v>
      </c>
      <c r="D34" s="3" t="s">
        <v>173</v>
      </c>
      <c r="E34" s="4">
        <v>-3235</v>
      </c>
      <c r="F34" s="3" t="s">
        <v>57</v>
      </c>
      <c r="G34" s="3" t="s">
        <v>58</v>
      </c>
      <c r="H34" s="3" t="s">
        <v>59</v>
      </c>
      <c r="I34" s="3" t="s">
        <v>174</v>
      </c>
      <c r="J34" s="4">
        <v>9431.6200000000008</v>
      </c>
      <c r="K34" s="3" t="s">
        <v>61</v>
      </c>
      <c r="L34" s="4">
        <v>3235</v>
      </c>
      <c r="M34" s="3" t="s">
        <v>175</v>
      </c>
      <c r="N34" s="3" t="s">
        <v>63</v>
      </c>
    </row>
    <row r="35" spans="1:14" x14ac:dyDescent="0.2">
      <c r="A35" s="3" t="s">
        <v>18</v>
      </c>
      <c r="B35" s="6">
        <v>46121</v>
      </c>
      <c r="C35" s="3" t="s">
        <v>176</v>
      </c>
      <c r="D35" s="3" t="s">
        <v>177</v>
      </c>
      <c r="E35" s="4">
        <v>-3200</v>
      </c>
      <c r="F35" s="3" t="s">
        <v>57</v>
      </c>
      <c r="G35" s="3" t="s">
        <v>178</v>
      </c>
      <c r="H35" s="3" t="s">
        <v>178</v>
      </c>
      <c r="I35" s="3" t="s">
        <v>179</v>
      </c>
      <c r="J35" s="4">
        <v>6231.62</v>
      </c>
      <c r="K35" s="3" t="s">
        <v>61</v>
      </c>
      <c r="L35" s="4">
        <v>3200</v>
      </c>
      <c r="M35" s="3" t="s">
        <v>180</v>
      </c>
      <c r="N35" s="3" t="s">
        <v>63</v>
      </c>
    </row>
    <row r="36" spans="1:14" x14ac:dyDescent="0.2">
      <c r="A36" s="3" t="s">
        <v>18</v>
      </c>
      <c r="B36" s="6">
        <v>46121</v>
      </c>
      <c r="C36" s="3" t="s">
        <v>181</v>
      </c>
      <c r="D36" s="3" t="s">
        <v>182</v>
      </c>
      <c r="E36" s="4">
        <v>-2085</v>
      </c>
      <c r="F36" s="3" t="s">
        <v>57</v>
      </c>
      <c r="G36" s="3" t="s">
        <v>58</v>
      </c>
      <c r="H36" s="3" t="s">
        <v>59</v>
      </c>
      <c r="I36" s="3" t="s">
        <v>183</v>
      </c>
      <c r="J36" s="4">
        <v>4146.62</v>
      </c>
      <c r="K36" s="3" t="s">
        <v>61</v>
      </c>
      <c r="L36" s="4">
        <v>2085</v>
      </c>
      <c r="M36" s="3" t="s">
        <v>184</v>
      </c>
      <c r="N36" s="3" t="s">
        <v>63</v>
      </c>
    </row>
    <row r="37" spans="1:14" x14ac:dyDescent="0.2">
      <c r="A37" s="3" t="s">
        <v>18</v>
      </c>
      <c r="B37" s="6">
        <v>46121</v>
      </c>
      <c r="C37" s="3" t="s">
        <v>168</v>
      </c>
      <c r="D37" s="3" t="s">
        <v>185</v>
      </c>
      <c r="E37" s="4">
        <v>-97.19</v>
      </c>
      <c r="F37" s="3" t="s">
        <v>57</v>
      </c>
      <c r="G37" s="3" t="s">
        <v>70</v>
      </c>
      <c r="H37" s="3" t="s">
        <v>71</v>
      </c>
      <c r="I37" s="3" t="s">
        <v>170</v>
      </c>
      <c r="J37" s="4">
        <v>3336.03</v>
      </c>
      <c r="K37" s="3" t="s">
        <v>61</v>
      </c>
      <c r="L37" s="4">
        <v>97.19</v>
      </c>
      <c r="M37" s="3" t="s">
        <v>186</v>
      </c>
      <c r="N37" s="3" t="s">
        <v>63</v>
      </c>
    </row>
    <row r="38" spans="1:14" x14ac:dyDescent="0.2">
      <c r="A38" s="3" t="s">
        <v>18</v>
      </c>
      <c r="B38" s="6">
        <v>46121</v>
      </c>
      <c r="C38" s="3" t="s">
        <v>78</v>
      </c>
      <c r="D38" s="3" t="s">
        <v>187</v>
      </c>
      <c r="E38" s="4">
        <v>5.71</v>
      </c>
      <c r="F38" s="3" t="s">
        <v>80</v>
      </c>
      <c r="G38" s="3" t="s">
        <v>6</v>
      </c>
      <c r="H38" s="3" t="s">
        <v>78</v>
      </c>
      <c r="I38" s="3" t="s">
        <v>81</v>
      </c>
      <c r="J38" s="4">
        <v>12740.32</v>
      </c>
      <c r="K38" s="3" t="s">
        <v>61</v>
      </c>
      <c r="L38" s="4">
        <v>5.71</v>
      </c>
      <c r="M38" s="3" t="s">
        <v>188</v>
      </c>
      <c r="N38" s="3" t="s">
        <v>63</v>
      </c>
    </row>
    <row r="39" spans="1:14" x14ac:dyDescent="0.2">
      <c r="A39" s="3" t="s">
        <v>18</v>
      </c>
      <c r="B39" s="6">
        <v>46122</v>
      </c>
      <c r="C39" s="3" t="s">
        <v>78</v>
      </c>
      <c r="D39" s="3" t="s">
        <v>189</v>
      </c>
      <c r="E39" s="4">
        <v>1.48</v>
      </c>
      <c r="F39" s="3" t="s">
        <v>80</v>
      </c>
      <c r="G39" s="3" t="s">
        <v>6</v>
      </c>
      <c r="H39" s="3" t="s">
        <v>78</v>
      </c>
      <c r="I39" s="3" t="s">
        <v>81</v>
      </c>
      <c r="J39" s="4">
        <v>3337.51</v>
      </c>
      <c r="K39" s="3" t="s">
        <v>61</v>
      </c>
      <c r="L39" s="4">
        <v>1.48</v>
      </c>
      <c r="M39" s="3" t="s">
        <v>190</v>
      </c>
      <c r="N39" s="3" t="s">
        <v>63</v>
      </c>
    </row>
    <row r="40" spans="1:14" x14ac:dyDescent="0.2">
      <c r="A40" s="3" t="s">
        <v>18</v>
      </c>
      <c r="B40" s="6">
        <v>46123</v>
      </c>
      <c r="C40" s="3" t="s">
        <v>191</v>
      </c>
      <c r="D40" s="3" t="s">
        <v>192</v>
      </c>
      <c r="E40" s="4">
        <v>-170</v>
      </c>
      <c r="F40" s="3" t="s">
        <v>57</v>
      </c>
      <c r="G40" s="3" t="s">
        <v>150</v>
      </c>
      <c r="H40" s="3" t="s">
        <v>151</v>
      </c>
      <c r="I40" s="3" t="s">
        <v>193</v>
      </c>
      <c r="J40" s="4">
        <v>3167.51</v>
      </c>
      <c r="K40" s="3" t="s">
        <v>61</v>
      </c>
      <c r="L40" s="4">
        <v>170</v>
      </c>
      <c r="M40" s="3" t="s">
        <v>194</v>
      </c>
      <c r="N40" s="3" t="s">
        <v>63</v>
      </c>
    </row>
    <row r="41" spans="1:14" x14ac:dyDescent="0.2">
      <c r="A41" s="3" t="s">
        <v>18</v>
      </c>
      <c r="B41" s="6">
        <v>46124</v>
      </c>
      <c r="C41" s="3" t="s">
        <v>191</v>
      </c>
      <c r="D41" s="3" t="s">
        <v>195</v>
      </c>
      <c r="E41" s="4">
        <v>-196.13</v>
      </c>
      <c r="F41" s="3" t="s">
        <v>57</v>
      </c>
      <c r="G41" s="3" t="s">
        <v>150</v>
      </c>
      <c r="H41" s="3" t="s">
        <v>151</v>
      </c>
      <c r="I41" s="3" t="s">
        <v>193</v>
      </c>
      <c r="J41" s="4">
        <v>2971.38</v>
      </c>
      <c r="K41" s="3" t="s">
        <v>61</v>
      </c>
      <c r="L41" s="4">
        <v>196.13</v>
      </c>
      <c r="M41" s="3" t="s">
        <v>196</v>
      </c>
      <c r="N41" s="3" t="s">
        <v>63</v>
      </c>
    </row>
    <row r="42" spans="1:14" x14ac:dyDescent="0.2">
      <c r="A42" s="3" t="s">
        <v>18</v>
      </c>
      <c r="B42" s="6">
        <v>46125</v>
      </c>
      <c r="C42" s="3" t="s">
        <v>78</v>
      </c>
      <c r="D42" s="3" t="s">
        <v>197</v>
      </c>
      <c r="E42" s="4">
        <v>1.47</v>
      </c>
      <c r="F42" s="3" t="s">
        <v>80</v>
      </c>
      <c r="G42" s="3" t="s">
        <v>6</v>
      </c>
      <c r="H42" s="3" t="s">
        <v>78</v>
      </c>
      <c r="I42" s="3" t="s">
        <v>81</v>
      </c>
      <c r="J42" s="4">
        <v>2972.85</v>
      </c>
      <c r="K42" s="3" t="s">
        <v>61</v>
      </c>
      <c r="L42" s="4">
        <v>1.47</v>
      </c>
      <c r="M42" s="3" t="s">
        <v>198</v>
      </c>
      <c r="N42" s="3" t="s">
        <v>63</v>
      </c>
    </row>
    <row r="43" spans="1:14" x14ac:dyDescent="0.2">
      <c r="A43" s="3" t="s">
        <v>18</v>
      </c>
      <c r="B43" s="6">
        <v>46126</v>
      </c>
      <c r="C43" s="3" t="s">
        <v>199</v>
      </c>
      <c r="D43" s="3" t="s">
        <v>200</v>
      </c>
      <c r="E43" s="4">
        <v>-208</v>
      </c>
      <c r="F43" s="3" t="s">
        <v>57</v>
      </c>
      <c r="G43" s="3" t="s">
        <v>58</v>
      </c>
      <c r="H43" s="3" t="s">
        <v>59</v>
      </c>
      <c r="I43" s="3" t="s">
        <v>201</v>
      </c>
      <c r="J43" s="4">
        <v>2766.16</v>
      </c>
      <c r="K43" s="3" t="s">
        <v>61</v>
      </c>
      <c r="L43" s="4">
        <v>208</v>
      </c>
      <c r="M43" s="3" t="s">
        <v>202</v>
      </c>
      <c r="N43" s="3" t="s">
        <v>63</v>
      </c>
    </row>
    <row r="44" spans="1:14" x14ac:dyDescent="0.2">
      <c r="A44" s="3" t="s">
        <v>18</v>
      </c>
      <c r="B44" s="6">
        <v>46126</v>
      </c>
      <c r="C44" s="3" t="s">
        <v>203</v>
      </c>
      <c r="D44" s="3" t="s">
        <v>204</v>
      </c>
      <c r="E44" s="4">
        <v>-46.98</v>
      </c>
      <c r="F44" s="3" t="s">
        <v>57</v>
      </c>
      <c r="G44" s="3" t="s">
        <v>58</v>
      </c>
      <c r="H44" s="3" t="s">
        <v>59</v>
      </c>
      <c r="I44" s="3" t="s">
        <v>205</v>
      </c>
      <c r="J44" s="4">
        <v>1934.41</v>
      </c>
      <c r="K44" s="3" t="s">
        <v>61</v>
      </c>
      <c r="L44" s="4">
        <v>46.98</v>
      </c>
      <c r="M44" s="3" t="s">
        <v>206</v>
      </c>
      <c r="N44" s="3" t="s">
        <v>63</v>
      </c>
    </row>
    <row r="45" spans="1:14" x14ac:dyDescent="0.2">
      <c r="A45" s="3" t="s">
        <v>18</v>
      </c>
      <c r="B45" s="6">
        <v>46126</v>
      </c>
      <c r="C45" s="3" t="s">
        <v>94</v>
      </c>
      <c r="D45" s="3" t="s">
        <v>207</v>
      </c>
      <c r="E45" s="4">
        <v>-670</v>
      </c>
      <c r="F45" s="3" t="s">
        <v>57</v>
      </c>
      <c r="G45" s="3" t="s">
        <v>58</v>
      </c>
      <c r="H45" s="3" t="s">
        <v>59</v>
      </c>
      <c r="I45" s="3" t="s">
        <v>96</v>
      </c>
      <c r="J45" s="4">
        <v>2096.16</v>
      </c>
      <c r="K45" s="3" t="s">
        <v>61</v>
      </c>
      <c r="L45" s="4">
        <v>670</v>
      </c>
      <c r="M45" s="3" t="s">
        <v>208</v>
      </c>
      <c r="N45" s="3" t="s">
        <v>63</v>
      </c>
    </row>
    <row r="46" spans="1:14" x14ac:dyDescent="0.2">
      <c r="A46" s="3" t="s">
        <v>18</v>
      </c>
      <c r="B46" s="6">
        <v>46126</v>
      </c>
      <c r="C46" s="3" t="s">
        <v>209</v>
      </c>
      <c r="D46" s="3" t="s">
        <v>210</v>
      </c>
      <c r="E46" s="4">
        <v>-114.77</v>
      </c>
      <c r="F46" s="3" t="s">
        <v>57</v>
      </c>
      <c r="G46" s="3" t="s">
        <v>58</v>
      </c>
      <c r="H46" s="3" t="s">
        <v>59</v>
      </c>
      <c r="I46" s="3" t="s">
        <v>211</v>
      </c>
      <c r="J46" s="4">
        <v>1981.39</v>
      </c>
      <c r="K46" s="3" t="s">
        <v>61</v>
      </c>
      <c r="L46" s="4">
        <v>114.77</v>
      </c>
      <c r="M46" s="3" t="s">
        <v>212</v>
      </c>
      <c r="N46" s="3" t="s">
        <v>63</v>
      </c>
    </row>
    <row r="47" spans="1:14" x14ac:dyDescent="0.2">
      <c r="A47" s="3" t="s">
        <v>18</v>
      </c>
      <c r="B47" s="6">
        <v>46126</v>
      </c>
      <c r="C47" s="3" t="s">
        <v>213</v>
      </c>
      <c r="D47" s="3" t="s">
        <v>214</v>
      </c>
      <c r="E47" s="4">
        <v>-125</v>
      </c>
      <c r="F47" s="3" t="s">
        <v>57</v>
      </c>
      <c r="G47" s="3" t="s">
        <v>58</v>
      </c>
      <c r="H47" s="3" t="s">
        <v>59</v>
      </c>
      <c r="I47" s="3" t="s">
        <v>215</v>
      </c>
      <c r="J47" s="4">
        <v>1809.41</v>
      </c>
      <c r="K47" s="3" t="s">
        <v>61</v>
      </c>
      <c r="L47" s="4">
        <v>125</v>
      </c>
      <c r="M47" s="3" t="s">
        <v>216</v>
      </c>
      <c r="N47" s="3" t="s">
        <v>63</v>
      </c>
    </row>
    <row r="48" spans="1:14" x14ac:dyDescent="0.2">
      <c r="A48" s="3" t="s">
        <v>18</v>
      </c>
      <c r="B48" s="6">
        <v>46126</v>
      </c>
      <c r="C48" s="3" t="s">
        <v>78</v>
      </c>
      <c r="D48" s="3" t="s">
        <v>217</v>
      </c>
      <c r="E48" s="4">
        <v>1.31</v>
      </c>
      <c r="F48" s="3" t="s">
        <v>80</v>
      </c>
      <c r="G48" s="3" t="s">
        <v>6</v>
      </c>
      <c r="H48" s="3" t="s">
        <v>78</v>
      </c>
      <c r="I48" s="3" t="s">
        <v>81</v>
      </c>
      <c r="J48" s="4">
        <v>2974.16</v>
      </c>
      <c r="K48" s="3" t="s">
        <v>61</v>
      </c>
      <c r="L48" s="4">
        <v>1.31</v>
      </c>
      <c r="M48" s="3" t="s">
        <v>218</v>
      </c>
      <c r="N48" s="3" t="s">
        <v>63</v>
      </c>
    </row>
    <row r="49" spans="1:14" x14ac:dyDescent="0.2">
      <c r="A49" s="3" t="s">
        <v>18</v>
      </c>
      <c r="B49" s="6">
        <v>46127</v>
      </c>
      <c r="C49" s="3" t="s">
        <v>68</v>
      </c>
      <c r="D49" s="3" t="s">
        <v>219</v>
      </c>
      <c r="E49" s="4">
        <v>-175.4</v>
      </c>
      <c r="F49" s="3" t="s">
        <v>57</v>
      </c>
      <c r="G49" s="3" t="s">
        <v>70</v>
      </c>
      <c r="H49" s="3" t="s">
        <v>71</v>
      </c>
      <c r="I49" s="3" t="s">
        <v>72</v>
      </c>
      <c r="J49" s="4">
        <v>1634.89</v>
      </c>
      <c r="K49" s="3" t="s">
        <v>61</v>
      </c>
      <c r="L49" s="4">
        <v>175.4</v>
      </c>
      <c r="M49" s="3" t="s">
        <v>220</v>
      </c>
      <c r="N49" s="3" t="s">
        <v>63</v>
      </c>
    </row>
    <row r="50" spans="1:14" x14ac:dyDescent="0.2">
      <c r="A50" s="3" t="s">
        <v>18</v>
      </c>
      <c r="B50" s="6">
        <v>46127</v>
      </c>
      <c r="C50" s="3" t="s">
        <v>78</v>
      </c>
      <c r="D50" s="3" t="s">
        <v>221</v>
      </c>
      <c r="E50" s="4">
        <v>0.88</v>
      </c>
      <c r="F50" s="3" t="s">
        <v>80</v>
      </c>
      <c r="G50" s="3" t="s">
        <v>6</v>
      </c>
      <c r="H50" s="3" t="s">
        <v>78</v>
      </c>
      <c r="I50" s="3" t="s">
        <v>81</v>
      </c>
      <c r="J50" s="4">
        <v>1810.29</v>
      </c>
      <c r="K50" s="3" t="s">
        <v>61</v>
      </c>
      <c r="L50" s="4">
        <v>0.88</v>
      </c>
      <c r="M50" s="3" t="s">
        <v>222</v>
      </c>
      <c r="N50" s="3" t="s">
        <v>63</v>
      </c>
    </row>
    <row r="51" spans="1:14" x14ac:dyDescent="0.2">
      <c r="A51" s="3" t="s">
        <v>18</v>
      </c>
      <c r="B51" s="6">
        <v>46128</v>
      </c>
      <c r="C51" s="3" t="s">
        <v>223</v>
      </c>
      <c r="D51" s="3" t="s">
        <v>224</v>
      </c>
      <c r="E51" s="4">
        <v>-70.97</v>
      </c>
      <c r="F51" s="3" t="s">
        <v>57</v>
      </c>
      <c r="G51" s="3" t="s">
        <v>112</v>
      </c>
      <c r="H51" s="3" t="s">
        <v>113</v>
      </c>
      <c r="I51" s="3" t="s">
        <v>225</v>
      </c>
      <c r="J51" s="4">
        <v>1564.71</v>
      </c>
      <c r="K51" s="3" t="s">
        <v>61</v>
      </c>
      <c r="L51" s="4">
        <v>70.97</v>
      </c>
      <c r="M51" s="3" t="s">
        <v>226</v>
      </c>
      <c r="N51" s="3" t="s">
        <v>63</v>
      </c>
    </row>
    <row r="52" spans="1:14" x14ac:dyDescent="0.2">
      <c r="A52" s="3" t="s">
        <v>18</v>
      </c>
      <c r="B52" s="6">
        <v>46128</v>
      </c>
      <c r="C52" s="3" t="s">
        <v>64</v>
      </c>
      <c r="D52" s="3" t="s">
        <v>227</v>
      </c>
      <c r="E52" s="4">
        <v>-1200</v>
      </c>
      <c r="F52" s="3" t="s">
        <v>57</v>
      </c>
      <c r="G52" s="3" t="s">
        <v>58</v>
      </c>
      <c r="H52" s="3" t="s">
        <v>59</v>
      </c>
      <c r="I52" s="3" t="s">
        <v>66</v>
      </c>
      <c r="J52" s="4">
        <v>364.71</v>
      </c>
      <c r="K52" s="3" t="s">
        <v>61</v>
      </c>
      <c r="L52" s="4">
        <v>1200</v>
      </c>
      <c r="M52" s="3" t="s">
        <v>228</v>
      </c>
      <c r="N52" s="3" t="s">
        <v>63</v>
      </c>
    </row>
    <row r="53" spans="1:14" x14ac:dyDescent="0.2">
      <c r="A53" s="3" t="s">
        <v>18</v>
      </c>
      <c r="B53" s="6">
        <v>46128</v>
      </c>
      <c r="C53" s="3" t="s">
        <v>88</v>
      </c>
      <c r="D53" s="3" t="s">
        <v>229</v>
      </c>
      <c r="E53" s="4">
        <v>-90.22</v>
      </c>
      <c r="F53" s="3" t="s">
        <v>57</v>
      </c>
      <c r="G53" s="3" t="s">
        <v>90</v>
      </c>
      <c r="H53" s="3" t="s">
        <v>91</v>
      </c>
      <c r="I53" s="3" t="s">
        <v>92</v>
      </c>
      <c r="J53" s="4">
        <v>274.49</v>
      </c>
      <c r="K53" s="3" t="s">
        <v>61</v>
      </c>
      <c r="L53" s="4">
        <v>90.22</v>
      </c>
      <c r="M53" s="3" t="s">
        <v>230</v>
      </c>
      <c r="N53" s="3" t="s">
        <v>63</v>
      </c>
    </row>
    <row r="54" spans="1:14" x14ac:dyDescent="0.2">
      <c r="A54" s="3" t="s">
        <v>18</v>
      </c>
      <c r="B54" s="6">
        <v>46128</v>
      </c>
      <c r="C54" s="3" t="s">
        <v>78</v>
      </c>
      <c r="D54" s="3" t="s">
        <v>231</v>
      </c>
      <c r="E54" s="4">
        <v>0.79</v>
      </c>
      <c r="F54" s="3" t="s">
        <v>80</v>
      </c>
      <c r="G54" s="3" t="s">
        <v>6</v>
      </c>
      <c r="H54" s="3" t="s">
        <v>78</v>
      </c>
      <c r="I54" s="3" t="s">
        <v>81</v>
      </c>
      <c r="J54" s="4">
        <v>1635.68</v>
      </c>
      <c r="K54" s="3" t="s">
        <v>61</v>
      </c>
      <c r="L54" s="4">
        <v>0.79</v>
      </c>
      <c r="M54" s="3" t="s">
        <v>232</v>
      </c>
      <c r="N54" s="3" t="s">
        <v>63</v>
      </c>
    </row>
    <row r="55" spans="1:14" x14ac:dyDescent="0.2">
      <c r="A55" s="3" t="s">
        <v>18</v>
      </c>
      <c r="B55" s="6">
        <v>46129</v>
      </c>
      <c r="C55" s="3" t="s">
        <v>78</v>
      </c>
      <c r="D55" s="3" t="s">
        <v>233</v>
      </c>
      <c r="E55" s="4">
        <v>0.12</v>
      </c>
      <c r="F55" s="3" t="s">
        <v>80</v>
      </c>
      <c r="G55" s="3" t="s">
        <v>6</v>
      </c>
      <c r="H55" s="3" t="s">
        <v>78</v>
      </c>
      <c r="I55" s="3" t="s">
        <v>81</v>
      </c>
      <c r="J55" s="4">
        <v>274.61</v>
      </c>
      <c r="K55" s="3" t="s">
        <v>61</v>
      </c>
      <c r="L55" s="4">
        <v>0.12</v>
      </c>
      <c r="M55" s="3" t="s">
        <v>234</v>
      </c>
      <c r="N55" s="3" t="s">
        <v>63</v>
      </c>
    </row>
    <row r="56" spans="1:14" x14ac:dyDescent="0.2">
      <c r="A56" s="3" t="s">
        <v>18</v>
      </c>
      <c r="B56" s="6">
        <v>46132</v>
      </c>
      <c r="C56" s="3" t="s">
        <v>235</v>
      </c>
      <c r="D56" s="3" t="s">
        <v>236</v>
      </c>
      <c r="E56" s="4">
        <v>-96.99</v>
      </c>
      <c r="F56" s="3" t="s">
        <v>57</v>
      </c>
      <c r="G56" s="3" t="s">
        <v>237</v>
      </c>
      <c r="H56" s="3" t="s">
        <v>238</v>
      </c>
      <c r="I56" s="3" t="s">
        <v>235</v>
      </c>
      <c r="J56" s="4">
        <v>177.75</v>
      </c>
      <c r="K56" s="3" t="s">
        <v>61</v>
      </c>
      <c r="L56" s="4">
        <v>96.99</v>
      </c>
      <c r="M56" s="3" t="s">
        <v>239</v>
      </c>
      <c r="N56" s="3" t="s">
        <v>63</v>
      </c>
    </row>
    <row r="57" spans="1:14" x14ac:dyDescent="0.2">
      <c r="A57" s="3" t="s">
        <v>18</v>
      </c>
      <c r="B57" s="6">
        <v>46132</v>
      </c>
      <c r="C57" s="3" t="s">
        <v>78</v>
      </c>
      <c r="D57" s="3" t="s">
        <v>240</v>
      </c>
      <c r="E57" s="4">
        <v>0.13</v>
      </c>
      <c r="F57" s="3" t="s">
        <v>80</v>
      </c>
      <c r="G57" s="3" t="s">
        <v>6</v>
      </c>
      <c r="H57" s="3" t="s">
        <v>78</v>
      </c>
      <c r="I57" s="3" t="s">
        <v>81</v>
      </c>
      <c r="J57" s="4">
        <v>274.74</v>
      </c>
      <c r="K57" s="3" t="s">
        <v>61</v>
      </c>
      <c r="L57" s="4">
        <v>0.13</v>
      </c>
      <c r="M57" s="3" t="s">
        <v>241</v>
      </c>
      <c r="N57" s="3" t="s">
        <v>63</v>
      </c>
    </row>
    <row r="58" spans="1:14" x14ac:dyDescent="0.2">
      <c r="A58" s="3" t="s">
        <v>18</v>
      </c>
      <c r="B58" s="6">
        <v>46134</v>
      </c>
      <c r="C58" s="3" t="s">
        <v>242</v>
      </c>
      <c r="D58" s="3" t="s">
        <v>243</v>
      </c>
      <c r="E58" s="4">
        <v>-35</v>
      </c>
      <c r="F58" s="3" t="s">
        <v>57</v>
      </c>
      <c r="G58" s="3" t="s">
        <v>58</v>
      </c>
      <c r="H58" s="3" t="s">
        <v>59</v>
      </c>
      <c r="I58" s="3" t="s">
        <v>244</v>
      </c>
      <c r="J58" s="4">
        <v>161.83000000000001</v>
      </c>
      <c r="K58" s="3" t="s">
        <v>61</v>
      </c>
      <c r="L58" s="4">
        <v>35</v>
      </c>
      <c r="M58" s="3" t="s">
        <v>245</v>
      </c>
      <c r="N58" s="3" t="s">
        <v>63</v>
      </c>
    </row>
    <row r="59" spans="1:14" x14ac:dyDescent="0.2">
      <c r="A59" s="3" t="s">
        <v>18</v>
      </c>
      <c r="B59" s="6">
        <v>46134</v>
      </c>
      <c r="C59" s="3" t="s">
        <v>246</v>
      </c>
      <c r="D59" s="3" t="s">
        <v>247</v>
      </c>
      <c r="E59" s="4">
        <v>19</v>
      </c>
      <c r="F59" s="3" t="s">
        <v>80</v>
      </c>
      <c r="G59" s="3" t="s">
        <v>248</v>
      </c>
      <c r="H59" s="3" t="s">
        <v>249</v>
      </c>
      <c r="I59" s="3" t="s">
        <v>250</v>
      </c>
      <c r="J59" s="4">
        <v>196.83</v>
      </c>
      <c r="K59" s="3" t="s">
        <v>61</v>
      </c>
      <c r="L59" s="4">
        <v>19</v>
      </c>
      <c r="M59" s="3" t="s">
        <v>251</v>
      </c>
      <c r="N59" s="3" t="s">
        <v>63</v>
      </c>
    </row>
    <row r="60" spans="1:14" x14ac:dyDescent="0.2">
      <c r="A60" s="3" t="s">
        <v>18</v>
      </c>
      <c r="B60" s="6">
        <v>46134</v>
      </c>
      <c r="C60" s="3" t="s">
        <v>78</v>
      </c>
      <c r="D60" s="3" t="s">
        <v>252</v>
      </c>
      <c r="E60" s="4">
        <v>0.08</v>
      </c>
      <c r="F60" s="3" t="s">
        <v>80</v>
      </c>
      <c r="G60" s="3" t="s">
        <v>6</v>
      </c>
      <c r="H60" s="3" t="s">
        <v>78</v>
      </c>
      <c r="I60" s="3" t="s">
        <v>81</v>
      </c>
      <c r="J60" s="4">
        <v>177.83</v>
      </c>
      <c r="K60" s="3" t="s">
        <v>61</v>
      </c>
      <c r="L60" s="4">
        <v>0.08</v>
      </c>
      <c r="M60" s="3" t="s">
        <v>253</v>
      </c>
      <c r="N60" s="3" t="s">
        <v>63</v>
      </c>
    </row>
    <row r="61" spans="1:14" x14ac:dyDescent="0.2">
      <c r="A61" s="3" t="s">
        <v>18</v>
      </c>
      <c r="B61" s="6">
        <v>46135</v>
      </c>
      <c r="C61" s="3" t="s">
        <v>254</v>
      </c>
      <c r="D61" s="3" t="s">
        <v>255</v>
      </c>
      <c r="E61" s="4">
        <v>-131</v>
      </c>
      <c r="F61" s="3" t="s">
        <v>57</v>
      </c>
      <c r="G61" s="3" t="s">
        <v>58</v>
      </c>
      <c r="H61" s="3" t="s">
        <v>59</v>
      </c>
      <c r="I61" s="3" t="s">
        <v>256</v>
      </c>
      <c r="J61" s="4">
        <v>30.9</v>
      </c>
      <c r="K61" s="3" t="s">
        <v>61</v>
      </c>
      <c r="L61" s="4">
        <v>131</v>
      </c>
      <c r="M61" s="3" t="s">
        <v>257</v>
      </c>
      <c r="N61" s="3" t="s">
        <v>63</v>
      </c>
    </row>
    <row r="62" spans="1:14" x14ac:dyDescent="0.2">
      <c r="A62" s="3" t="s">
        <v>18</v>
      </c>
      <c r="B62" s="6">
        <v>46135</v>
      </c>
      <c r="C62" s="3" t="s">
        <v>78</v>
      </c>
      <c r="D62" s="3" t="s">
        <v>258</v>
      </c>
      <c r="E62" s="4">
        <v>7.0000000000000007E-2</v>
      </c>
      <c r="F62" s="3" t="s">
        <v>80</v>
      </c>
      <c r="G62" s="3" t="s">
        <v>6</v>
      </c>
      <c r="H62" s="3" t="s">
        <v>78</v>
      </c>
      <c r="I62" s="3" t="s">
        <v>81</v>
      </c>
      <c r="J62" s="4">
        <v>161.9</v>
      </c>
      <c r="K62" s="3" t="s">
        <v>61</v>
      </c>
      <c r="L62" s="4">
        <v>7.0000000000000007E-2</v>
      </c>
      <c r="M62" s="3" t="s">
        <v>259</v>
      </c>
      <c r="N62" s="3" t="s">
        <v>63</v>
      </c>
    </row>
    <row r="63" spans="1:14" x14ac:dyDescent="0.2">
      <c r="A63" s="3" t="s">
        <v>18</v>
      </c>
      <c r="B63" s="6">
        <v>46136</v>
      </c>
      <c r="C63" s="3" t="s">
        <v>78</v>
      </c>
      <c r="D63" s="3" t="s">
        <v>260</v>
      </c>
      <c r="E63" s="4">
        <v>0.02</v>
      </c>
      <c r="F63" s="3" t="s">
        <v>80</v>
      </c>
      <c r="G63" s="3" t="s">
        <v>6</v>
      </c>
      <c r="H63" s="3" t="s">
        <v>78</v>
      </c>
      <c r="I63" s="3" t="s">
        <v>81</v>
      </c>
      <c r="J63" s="4">
        <v>30.92</v>
      </c>
      <c r="K63" s="3" t="s">
        <v>61</v>
      </c>
      <c r="L63" s="4">
        <v>0.02</v>
      </c>
      <c r="M63" s="3" t="s">
        <v>261</v>
      </c>
      <c r="N63" s="3" t="s">
        <v>63</v>
      </c>
    </row>
    <row r="64" spans="1:14" x14ac:dyDescent="0.2">
      <c r="A64" s="3" t="s">
        <v>18</v>
      </c>
      <c r="B64" s="6">
        <v>46139</v>
      </c>
      <c r="C64" s="3" t="s">
        <v>78</v>
      </c>
      <c r="D64" s="3" t="s">
        <v>262</v>
      </c>
      <c r="E64" s="4">
        <v>0.01</v>
      </c>
      <c r="F64" s="3" t="s">
        <v>80</v>
      </c>
      <c r="G64" s="3" t="s">
        <v>6</v>
      </c>
      <c r="H64" s="3" t="s">
        <v>78</v>
      </c>
      <c r="I64" s="3" t="s">
        <v>81</v>
      </c>
      <c r="J64" s="4">
        <v>30.93</v>
      </c>
      <c r="K64" s="3" t="s">
        <v>61</v>
      </c>
      <c r="L64" s="4">
        <v>0.01</v>
      </c>
      <c r="M64" s="3" t="s">
        <v>263</v>
      </c>
      <c r="N64" s="3" t="s">
        <v>63</v>
      </c>
    </row>
    <row r="65" spans="1:14" x14ac:dyDescent="0.2">
      <c r="A65" s="3" t="s">
        <v>18</v>
      </c>
      <c r="B65" s="6">
        <v>46140</v>
      </c>
      <c r="C65" s="3" t="s">
        <v>78</v>
      </c>
      <c r="D65" s="3" t="s">
        <v>264</v>
      </c>
      <c r="E65" s="4">
        <v>0.02</v>
      </c>
      <c r="F65" s="3" t="s">
        <v>80</v>
      </c>
      <c r="G65" s="3" t="s">
        <v>6</v>
      </c>
      <c r="H65" s="3" t="s">
        <v>78</v>
      </c>
      <c r="I65" s="3" t="s">
        <v>81</v>
      </c>
      <c r="J65" s="4">
        <v>30.95</v>
      </c>
      <c r="K65" s="3" t="s">
        <v>61</v>
      </c>
      <c r="L65" s="4">
        <v>0.02</v>
      </c>
      <c r="M65" s="3" t="s">
        <v>265</v>
      </c>
      <c r="N65" s="3" t="s">
        <v>63</v>
      </c>
    </row>
    <row r="66" spans="1:14" x14ac:dyDescent="0.2">
      <c r="A66" s="3" t="s">
        <v>18</v>
      </c>
      <c r="B66" s="6">
        <v>46141</v>
      </c>
      <c r="C66" s="3" t="s">
        <v>78</v>
      </c>
      <c r="D66" s="3" t="s">
        <v>266</v>
      </c>
      <c r="E66" s="4">
        <v>0.01</v>
      </c>
      <c r="F66" s="3" t="s">
        <v>80</v>
      </c>
      <c r="G66" s="3" t="s">
        <v>6</v>
      </c>
      <c r="H66" s="3" t="s">
        <v>78</v>
      </c>
      <c r="I66" s="3" t="s">
        <v>81</v>
      </c>
      <c r="J66" s="4">
        <v>30.96</v>
      </c>
      <c r="K66" s="3" t="s">
        <v>61</v>
      </c>
      <c r="L66" s="4">
        <v>0.01</v>
      </c>
      <c r="M66" s="3" t="s">
        <v>267</v>
      </c>
      <c r="N66" s="3" t="s">
        <v>63</v>
      </c>
    </row>
    <row r="67" spans="1:14" x14ac:dyDescent="0.2">
      <c r="A67" s="3" t="s">
        <v>18</v>
      </c>
      <c r="B67" s="6">
        <v>46142</v>
      </c>
      <c r="C67" s="3" t="s">
        <v>268</v>
      </c>
      <c r="D67" s="3" t="s">
        <v>269</v>
      </c>
      <c r="E67" s="4">
        <v>27193.14</v>
      </c>
      <c r="F67" s="3" t="s">
        <v>80</v>
      </c>
      <c r="G67" s="3" t="s">
        <v>270</v>
      </c>
      <c r="H67" s="3" t="s">
        <v>271</v>
      </c>
      <c r="I67" s="3" t="s">
        <v>272</v>
      </c>
      <c r="J67" s="4">
        <v>27224.11</v>
      </c>
      <c r="K67" s="3" t="s">
        <v>61</v>
      </c>
      <c r="L67" s="4">
        <v>27193.14</v>
      </c>
      <c r="M67" s="3" t="s">
        <v>273</v>
      </c>
      <c r="N67" s="3" t="s">
        <v>63</v>
      </c>
    </row>
    <row r="68" spans="1:14" x14ac:dyDescent="0.2">
      <c r="A68" s="3" t="s">
        <v>18</v>
      </c>
      <c r="B68" s="6">
        <v>46142</v>
      </c>
      <c r="C68" s="3" t="s">
        <v>78</v>
      </c>
      <c r="D68" s="3" t="s">
        <v>274</v>
      </c>
      <c r="E68" s="4">
        <v>0.01</v>
      </c>
      <c r="F68" s="3" t="s">
        <v>80</v>
      </c>
      <c r="G68" s="3" t="s">
        <v>6</v>
      </c>
      <c r="H68" s="3" t="s">
        <v>78</v>
      </c>
      <c r="I68" s="3" t="s">
        <v>81</v>
      </c>
      <c r="J68" s="4">
        <v>30.97</v>
      </c>
      <c r="K68" s="3" t="s">
        <v>61</v>
      </c>
      <c r="L68" s="4">
        <v>0.01</v>
      </c>
      <c r="M68" s="3" t="s">
        <v>275</v>
      </c>
      <c r="N68" s="3" t="s">
        <v>63</v>
      </c>
    </row>
    <row r="69" spans="1:14" x14ac:dyDescent="0.2">
      <c r="A69" s="3" t="s">
        <v>20</v>
      </c>
      <c r="B69" s="6">
        <v>46143</v>
      </c>
      <c r="C69" s="3" t="s">
        <v>276</v>
      </c>
      <c r="D69" s="3" t="s">
        <v>277</v>
      </c>
      <c r="E69" s="4">
        <v>-1190</v>
      </c>
      <c r="F69" s="3" t="s">
        <v>57</v>
      </c>
      <c r="G69" s="3" t="s">
        <v>58</v>
      </c>
      <c r="H69" s="3" t="s">
        <v>59</v>
      </c>
      <c r="I69" s="3" t="s">
        <v>278</v>
      </c>
      <c r="J69" s="4">
        <v>26034.11</v>
      </c>
      <c r="K69" s="3" t="s">
        <v>61</v>
      </c>
      <c r="L69" s="4">
        <v>1190</v>
      </c>
      <c r="M69" s="3" t="s">
        <v>279</v>
      </c>
      <c r="N69" s="3" t="s">
        <v>63</v>
      </c>
    </row>
    <row r="70" spans="1:14" x14ac:dyDescent="0.2">
      <c r="A70" s="3" t="s">
        <v>20</v>
      </c>
      <c r="B70" s="6">
        <v>46143</v>
      </c>
      <c r="C70" s="3" t="s">
        <v>280</v>
      </c>
      <c r="D70" s="3" t="s">
        <v>281</v>
      </c>
      <c r="E70" s="4">
        <v>-1500</v>
      </c>
      <c r="F70" s="3" t="s">
        <v>57</v>
      </c>
      <c r="G70" s="3" t="s">
        <v>58</v>
      </c>
      <c r="H70" s="3" t="s">
        <v>59</v>
      </c>
      <c r="I70" s="3" t="s">
        <v>282</v>
      </c>
      <c r="J70" s="4">
        <v>24534.11</v>
      </c>
      <c r="K70" s="3" t="s">
        <v>61</v>
      </c>
      <c r="L70" s="4">
        <v>1500</v>
      </c>
      <c r="M70" s="3" t="s">
        <v>283</v>
      </c>
      <c r="N70" s="3" t="s">
        <v>63</v>
      </c>
    </row>
    <row r="71" spans="1:14" x14ac:dyDescent="0.2">
      <c r="A71" s="3" t="s">
        <v>20</v>
      </c>
      <c r="B71" s="6">
        <v>46145</v>
      </c>
      <c r="C71" s="3" t="s">
        <v>94</v>
      </c>
      <c r="D71" s="3" t="s">
        <v>284</v>
      </c>
      <c r="E71" s="4">
        <v>-570</v>
      </c>
      <c r="F71" s="3" t="s">
        <v>57</v>
      </c>
      <c r="G71" s="3" t="s">
        <v>58</v>
      </c>
      <c r="H71" s="3" t="s">
        <v>59</v>
      </c>
      <c r="I71" s="3" t="s">
        <v>96</v>
      </c>
      <c r="J71" s="4">
        <v>23964.11</v>
      </c>
      <c r="K71" s="3" t="s">
        <v>61</v>
      </c>
      <c r="L71" s="4">
        <v>570</v>
      </c>
      <c r="M71" s="3" t="s">
        <v>285</v>
      </c>
      <c r="N71" s="3" t="s">
        <v>63</v>
      </c>
    </row>
    <row r="72" spans="1:14" x14ac:dyDescent="0.2">
      <c r="A72" s="3" t="s">
        <v>20</v>
      </c>
      <c r="B72" s="6">
        <v>46146</v>
      </c>
      <c r="C72" s="3" t="s">
        <v>64</v>
      </c>
      <c r="D72" s="3" t="s">
        <v>286</v>
      </c>
      <c r="E72" s="4">
        <v>-180</v>
      </c>
      <c r="F72" s="3" t="s">
        <v>57</v>
      </c>
      <c r="G72" s="3" t="s">
        <v>58</v>
      </c>
      <c r="H72" s="3" t="s">
        <v>59</v>
      </c>
      <c r="I72" s="3" t="s">
        <v>66</v>
      </c>
      <c r="J72" s="4">
        <v>23795.759999999998</v>
      </c>
      <c r="K72" s="3" t="s">
        <v>61</v>
      </c>
      <c r="L72" s="4">
        <v>180</v>
      </c>
      <c r="M72" s="3" t="s">
        <v>287</v>
      </c>
      <c r="N72" s="3" t="s">
        <v>63</v>
      </c>
    </row>
    <row r="73" spans="1:14" x14ac:dyDescent="0.2">
      <c r="A73" s="3" t="s">
        <v>20</v>
      </c>
      <c r="B73" s="6">
        <v>46146</v>
      </c>
      <c r="C73" s="3" t="s">
        <v>78</v>
      </c>
      <c r="D73" s="3" t="s">
        <v>288</v>
      </c>
      <c r="E73" s="4">
        <v>11.65</v>
      </c>
      <c r="F73" s="3" t="s">
        <v>80</v>
      </c>
      <c r="G73" s="3" t="s">
        <v>6</v>
      </c>
      <c r="H73" s="3" t="s">
        <v>78</v>
      </c>
      <c r="I73" s="3" t="s">
        <v>81</v>
      </c>
      <c r="J73" s="4">
        <v>23975.759999999998</v>
      </c>
      <c r="K73" s="3" t="s">
        <v>61</v>
      </c>
      <c r="L73" s="4">
        <v>11.65</v>
      </c>
      <c r="M73" s="3" t="s">
        <v>289</v>
      </c>
      <c r="N73" s="3" t="s">
        <v>63</v>
      </c>
    </row>
    <row r="74" spans="1:14" x14ac:dyDescent="0.2">
      <c r="A74" s="3" t="s">
        <v>20</v>
      </c>
      <c r="B74" s="6">
        <v>46147</v>
      </c>
      <c r="C74" s="3" t="s">
        <v>290</v>
      </c>
      <c r="D74" s="3" t="s">
        <v>291</v>
      </c>
      <c r="E74" s="4">
        <v>-8627.35</v>
      </c>
      <c r="F74" s="3" t="s">
        <v>57</v>
      </c>
      <c r="G74" s="3" t="s">
        <v>292</v>
      </c>
      <c r="H74" s="3" t="s">
        <v>293</v>
      </c>
      <c r="I74" s="3"/>
      <c r="J74" s="4">
        <v>12875.06</v>
      </c>
      <c r="K74" s="3" t="s">
        <v>61</v>
      </c>
      <c r="L74" s="4">
        <v>8627.35</v>
      </c>
      <c r="M74" s="3" t="s">
        <v>294</v>
      </c>
      <c r="N74" s="3" t="s">
        <v>63</v>
      </c>
    </row>
    <row r="75" spans="1:14" x14ac:dyDescent="0.2">
      <c r="A75" s="3" t="s">
        <v>20</v>
      </c>
      <c r="B75" s="6">
        <v>46147</v>
      </c>
      <c r="C75" s="3" t="s">
        <v>295</v>
      </c>
      <c r="D75" s="3" t="s">
        <v>296</v>
      </c>
      <c r="E75" s="4">
        <v>-130.91</v>
      </c>
      <c r="F75" s="3" t="s">
        <v>57</v>
      </c>
      <c r="G75" s="3" t="s">
        <v>297</v>
      </c>
      <c r="H75" s="3" t="s">
        <v>298</v>
      </c>
      <c r="I75" s="3" t="s">
        <v>295</v>
      </c>
      <c r="J75" s="4">
        <v>23675.09</v>
      </c>
      <c r="K75" s="3" t="s">
        <v>61</v>
      </c>
      <c r="L75" s="4">
        <v>130.91</v>
      </c>
      <c r="M75" s="3" t="s">
        <v>299</v>
      </c>
      <c r="N75" s="3" t="s">
        <v>63</v>
      </c>
    </row>
    <row r="76" spans="1:14" x14ac:dyDescent="0.2">
      <c r="A76" s="3" t="s">
        <v>20</v>
      </c>
      <c r="B76" s="6">
        <v>46147</v>
      </c>
      <c r="C76" s="3" t="s">
        <v>94</v>
      </c>
      <c r="D76" s="3" t="s">
        <v>300</v>
      </c>
      <c r="E76" s="4">
        <v>-450</v>
      </c>
      <c r="F76" s="3" t="s">
        <v>57</v>
      </c>
      <c r="G76" s="3" t="s">
        <v>58</v>
      </c>
      <c r="H76" s="3" t="s">
        <v>59</v>
      </c>
      <c r="I76" s="3" t="s">
        <v>96</v>
      </c>
      <c r="J76" s="4">
        <v>23225.09</v>
      </c>
      <c r="K76" s="3" t="s">
        <v>61</v>
      </c>
      <c r="L76" s="4">
        <v>450</v>
      </c>
      <c r="M76" s="3" t="s">
        <v>301</v>
      </c>
      <c r="N76" s="3" t="s">
        <v>63</v>
      </c>
    </row>
    <row r="77" spans="1:14" x14ac:dyDescent="0.2">
      <c r="A77" s="3" t="s">
        <v>20</v>
      </c>
      <c r="B77" s="6">
        <v>46147</v>
      </c>
      <c r="C77" s="3" t="s">
        <v>290</v>
      </c>
      <c r="D77" s="3" t="s">
        <v>302</v>
      </c>
      <c r="E77" s="4">
        <v>-1722.68</v>
      </c>
      <c r="F77" s="3" t="s">
        <v>57</v>
      </c>
      <c r="G77" s="3" t="s">
        <v>292</v>
      </c>
      <c r="H77" s="3" t="s">
        <v>293</v>
      </c>
      <c r="I77" s="3"/>
      <c r="J77" s="4">
        <v>21502.41</v>
      </c>
      <c r="K77" s="3" t="s">
        <v>61</v>
      </c>
      <c r="L77" s="4">
        <v>1722.68</v>
      </c>
      <c r="M77" s="3" t="s">
        <v>303</v>
      </c>
      <c r="N77" s="3" t="s">
        <v>63</v>
      </c>
    </row>
    <row r="78" spans="1:14" x14ac:dyDescent="0.2">
      <c r="A78" s="3" t="s">
        <v>20</v>
      </c>
      <c r="B78" s="6">
        <v>46147</v>
      </c>
      <c r="C78" s="3" t="s">
        <v>78</v>
      </c>
      <c r="D78" s="3" t="s">
        <v>304</v>
      </c>
      <c r="E78" s="4">
        <v>10.24</v>
      </c>
      <c r="F78" s="3" t="s">
        <v>80</v>
      </c>
      <c r="G78" s="3" t="s">
        <v>6</v>
      </c>
      <c r="H78" s="3" t="s">
        <v>78</v>
      </c>
      <c r="I78" s="3" t="s">
        <v>81</v>
      </c>
      <c r="J78" s="4">
        <v>23806</v>
      </c>
      <c r="K78" s="3" t="s">
        <v>61</v>
      </c>
      <c r="L78" s="4">
        <v>10.24</v>
      </c>
      <c r="M78" s="3" t="s">
        <v>305</v>
      </c>
      <c r="N78" s="3" t="s">
        <v>63</v>
      </c>
    </row>
    <row r="79" spans="1:14" x14ac:dyDescent="0.2">
      <c r="A79" s="3" t="s">
        <v>20</v>
      </c>
      <c r="B79" s="6">
        <v>46148</v>
      </c>
      <c r="C79" s="3" t="s">
        <v>74</v>
      </c>
      <c r="D79" s="3" t="s">
        <v>306</v>
      </c>
      <c r="E79" s="4">
        <v>-198.35</v>
      </c>
      <c r="F79" s="3" t="s">
        <v>57</v>
      </c>
      <c r="G79" s="3" t="s">
        <v>58</v>
      </c>
      <c r="H79" s="3" t="s">
        <v>59</v>
      </c>
      <c r="I79" s="3" t="s">
        <v>76</v>
      </c>
      <c r="J79" s="4">
        <v>12454.45</v>
      </c>
      <c r="K79" s="3" t="s">
        <v>61</v>
      </c>
      <c r="L79" s="4">
        <v>198.35</v>
      </c>
      <c r="M79" s="3" t="s">
        <v>307</v>
      </c>
      <c r="N79" s="3" t="s">
        <v>63</v>
      </c>
    </row>
    <row r="80" spans="1:14" x14ac:dyDescent="0.2">
      <c r="A80" s="3" t="s">
        <v>20</v>
      </c>
      <c r="B80" s="6">
        <v>46148</v>
      </c>
      <c r="C80" s="3" t="s">
        <v>130</v>
      </c>
      <c r="D80" s="3" t="s">
        <v>308</v>
      </c>
      <c r="E80" s="4">
        <v>-1260</v>
      </c>
      <c r="F80" s="3" t="s">
        <v>57</v>
      </c>
      <c r="G80" s="3" t="s">
        <v>58</v>
      </c>
      <c r="H80" s="3" t="s">
        <v>59</v>
      </c>
      <c r="I80" s="3" t="s">
        <v>132</v>
      </c>
      <c r="J80" s="4">
        <v>11194.45</v>
      </c>
      <c r="K80" s="3" t="s">
        <v>61</v>
      </c>
      <c r="L80" s="4">
        <v>1260</v>
      </c>
      <c r="M80" s="3" t="s">
        <v>309</v>
      </c>
      <c r="N80" s="3" t="s">
        <v>63</v>
      </c>
    </row>
    <row r="81" spans="1:14" x14ac:dyDescent="0.2">
      <c r="A81" s="3" t="s">
        <v>20</v>
      </c>
      <c r="B81" s="6">
        <v>46148</v>
      </c>
      <c r="C81" s="3" t="s">
        <v>310</v>
      </c>
      <c r="D81" s="3" t="s">
        <v>311</v>
      </c>
      <c r="E81" s="4">
        <v>-281</v>
      </c>
      <c r="F81" s="3" t="s">
        <v>57</v>
      </c>
      <c r="G81" s="3" t="s">
        <v>312</v>
      </c>
      <c r="H81" s="3" t="s">
        <v>313</v>
      </c>
      <c r="I81" s="3" t="s">
        <v>314</v>
      </c>
      <c r="J81" s="4">
        <v>10913.45</v>
      </c>
      <c r="K81" s="3" t="s">
        <v>61</v>
      </c>
      <c r="L81" s="4">
        <v>281</v>
      </c>
      <c r="M81" s="3" t="s">
        <v>315</v>
      </c>
      <c r="N81" s="3" t="s">
        <v>63</v>
      </c>
    </row>
    <row r="82" spans="1:14" x14ac:dyDescent="0.2">
      <c r="A82" s="3" t="s">
        <v>20</v>
      </c>
      <c r="B82" s="6">
        <v>46148</v>
      </c>
      <c r="C82" s="3" t="s">
        <v>122</v>
      </c>
      <c r="D82" s="3" t="s">
        <v>316</v>
      </c>
      <c r="E82" s="4">
        <v>-232.44</v>
      </c>
      <c r="F82" s="3" t="s">
        <v>57</v>
      </c>
      <c r="G82" s="3" t="s">
        <v>70</v>
      </c>
      <c r="H82" s="3" t="s">
        <v>71</v>
      </c>
      <c r="I82" s="3" t="s">
        <v>124</v>
      </c>
      <c r="J82" s="4">
        <v>12652.8</v>
      </c>
      <c r="K82" s="3" t="s">
        <v>61</v>
      </c>
      <c r="L82" s="4">
        <v>232.44</v>
      </c>
      <c r="M82" s="3" t="s">
        <v>317</v>
      </c>
      <c r="N82" s="3" t="s">
        <v>63</v>
      </c>
    </row>
    <row r="83" spans="1:14" x14ac:dyDescent="0.2">
      <c r="A83" s="3" t="s">
        <v>20</v>
      </c>
      <c r="B83" s="6">
        <v>46148</v>
      </c>
      <c r="C83" s="3" t="s">
        <v>310</v>
      </c>
      <c r="D83" s="3" t="s">
        <v>318</v>
      </c>
      <c r="E83" s="4">
        <v>-15</v>
      </c>
      <c r="F83" s="3" t="s">
        <v>57</v>
      </c>
      <c r="G83" s="3" t="s">
        <v>312</v>
      </c>
      <c r="H83" s="3" t="s">
        <v>313</v>
      </c>
      <c r="I83" s="3" t="s">
        <v>314</v>
      </c>
      <c r="J83" s="4">
        <v>10898.45</v>
      </c>
      <c r="K83" s="3" t="s">
        <v>61</v>
      </c>
      <c r="L83" s="4">
        <v>15</v>
      </c>
      <c r="M83" s="3" t="s">
        <v>319</v>
      </c>
      <c r="N83" s="3" t="s">
        <v>63</v>
      </c>
    </row>
    <row r="84" spans="1:14" x14ac:dyDescent="0.2">
      <c r="A84" s="3" t="s">
        <v>20</v>
      </c>
      <c r="B84" s="6">
        <v>46148</v>
      </c>
      <c r="C84" s="3" t="s">
        <v>78</v>
      </c>
      <c r="D84" s="3" t="s">
        <v>320</v>
      </c>
      <c r="E84" s="4">
        <v>10.18</v>
      </c>
      <c r="F84" s="3" t="s">
        <v>80</v>
      </c>
      <c r="G84" s="3" t="s">
        <v>6</v>
      </c>
      <c r="H84" s="3" t="s">
        <v>78</v>
      </c>
      <c r="I84" s="3" t="s">
        <v>81</v>
      </c>
      <c r="J84" s="4">
        <v>12885.24</v>
      </c>
      <c r="K84" s="3" t="s">
        <v>61</v>
      </c>
      <c r="L84" s="4">
        <v>10.18</v>
      </c>
      <c r="M84" s="3" t="s">
        <v>321</v>
      </c>
      <c r="N84" s="3" t="s">
        <v>63</v>
      </c>
    </row>
    <row r="85" spans="1:14" x14ac:dyDescent="0.2">
      <c r="A85" s="3" t="s">
        <v>20</v>
      </c>
      <c r="B85" s="6">
        <v>46149</v>
      </c>
      <c r="C85" s="3" t="s">
        <v>322</v>
      </c>
      <c r="D85" s="3" t="s">
        <v>323</v>
      </c>
      <c r="E85" s="4">
        <v>-494.8</v>
      </c>
      <c r="F85" s="3" t="s">
        <v>57</v>
      </c>
      <c r="G85" s="3" t="s">
        <v>312</v>
      </c>
      <c r="H85" s="3" t="s">
        <v>313</v>
      </c>
      <c r="I85" s="3" t="s">
        <v>324</v>
      </c>
      <c r="J85" s="4">
        <v>10408.379999999999</v>
      </c>
      <c r="K85" s="3" t="s">
        <v>61</v>
      </c>
      <c r="L85" s="4">
        <v>494.8</v>
      </c>
      <c r="M85" s="3" t="s">
        <v>325</v>
      </c>
      <c r="N85" s="3" t="s">
        <v>63</v>
      </c>
    </row>
    <row r="86" spans="1:14" x14ac:dyDescent="0.2">
      <c r="A86" s="3" t="s">
        <v>20</v>
      </c>
      <c r="B86" s="6">
        <v>46149</v>
      </c>
      <c r="C86" s="3" t="s">
        <v>78</v>
      </c>
      <c r="D86" s="3" t="s">
        <v>326</v>
      </c>
      <c r="E86" s="4">
        <v>4.7300000000000004</v>
      </c>
      <c r="F86" s="3" t="s">
        <v>80</v>
      </c>
      <c r="G86" s="3" t="s">
        <v>6</v>
      </c>
      <c r="H86" s="3" t="s">
        <v>78</v>
      </c>
      <c r="I86" s="3" t="s">
        <v>81</v>
      </c>
      <c r="J86" s="4">
        <v>10903.18</v>
      </c>
      <c r="K86" s="3" t="s">
        <v>61</v>
      </c>
      <c r="L86" s="4">
        <v>4.7300000000000004</v>
      </c>
      <c r="M86" s="3" t="s">
        <v>327</v>
      </c>
      <c r="N86" s="3" t="s">
        <v>63</v>
      </c>
    </row>
    <row r="87" spans="1:14" x14ac:dyDescent="0.2">
      <c r="A87" s="3" t="s">
        <v>20</v>
      </c>
      <c r="B87" s="6">
        <v>46150</v>
      </c>
      <c r="C87" s="3" t="s">
        <v>328</v>
      </c>
      <c r="D87" s="3" t="s">
        <v>329</v>
      </c>
      <c r="E87" s="4">
        <v>-78.91</v>
      </c>
      <c r="F87" s="3" t="s">
        <v>57</v>
      </c>
      <c r="G87" s="3" t="s">
        <v>70</v>
      </c>
      <c r="H87" s="3" t="s">
        <v>71</v>
      </c>
      <c r="I87" s="3" t="s">
        <v>330</v>
      </c>
      <c r="J87" s="4">
        <v>10082.76</v>
      </c>
      <c r="K87" s="3" t="s">
        <v>61</v>
      </c>
      <c r="L87" s="4">
        <v>78.91</v>
      </c>
      <c r="M87" s="3" t="s">
        <v>331</v>
      </c>
      <c r="N87" s="3" t="s">
        <v>63</v>
      </c>
    </row>
    <row r="88" spans="1:14" x14ac:dyDescent="0.2">
      <c r="A88" s="3" t="s">
        <v>20</v>
      </c>
      <c r="B88" s="6">
        <v>46150</v>
      </c>
      <c r="C88" s="3" t="s">
        <v>332</v>
      </c>
      <c r="D88" s="3" t="s">
        <v>333</v>
      </c>
      <c r="E88" s="4">
        <v>-430.42</v>
      </c>
      <c r="F88" s="3" t="s">
        <v>57</v>
      </c>
      <c r="G88" s="3" t="s">
        <v>70</v>
      </c>
      <c r="H88" s="3" t="s">
        <v>71</v>
      </c>
      <c r="I88" s="3" t="s">
        <v>334</v>
      </c>
      <c r="J88" s="4">
        <v>9652.34</v>
      </c>
      <c r="K88" s="3" t="s">
        <v>61</v>
      </c>
      <c r="L88" s="4">
        <v>430.42</v>
      </c>
      <c r="M88" s="3" t="s">
        <v>335</v>
      </c>
      <c r="N88" s="3" t="s">
        <v>63</v>
      </c>
    </row>
    <row r="89" spans="1:14" x14ac:dyDescent="0.2">
      <c r="A89" s="3" t="s">
        <v>20</v>
      </c>
      <c r="B89" s="6">
        <v>46150</v>
      </c>
      <c r="C89" s="3" t="s">
        <v>55</v>
      </c>
      <c r="D89" s="3" t="s">
        <v>336</v>
      </c>
      <c r="E89" s="4">
        <v>-1040</v>
      </c>
      <c r="F89" s="3" t="s">
        <v>57</v>
      </c>
      <c r="G89" s="3" t="s">
        <v>58</v>
      </c>
      <c r="H89" s="3" t="s">
        <v>59</v>
      </c>
      <c r="I89" s="3" t="s">
        <v>60</v>
      </c>
      <c r="J89" s="4">
        <v>8612.34</v>
      </c>
      <c r="K89" s="3" t="s">
        <v>61</v>
      </c>
      <c r="L89" s="4">
        <v>1040</v>
      </c>
      <c r="M89" s="3" t="s">
        <v>337</v>
      </c>
      <c r="N89" s="3" t="s">
        <v>63</v>
      </c>
    </row>
    <row r="90" spans="1:14" x14ac:dyDescent="0.2">
      <c r="A90" s="3" t="s">
        <v>20</v>
      </c>
      <c r="B90" s="6">
        <v>46150</v>
      </c>
      <c r="C90" s="3" t="s">
        <v>338</v>
      </c>
      <c r="D90" s="3" t="s">
        <v>339</v>
      </c>
      <c r="E90" s="4">
        <v>-390.69</v>
      </c>
      <c r="F90" s="3" t="s">
        <v>57</v>
      </c>
      <c r="G90" s="3" t="s">
        <v>340</v>
      </c>
      <c r="H90" s="3" t="s">
        <v>341</v>
      </c>
      <c r="I90" s="3"/>
      <c r="J90" s="4">
        <v>8221.65</v>
      </c>
      <c r="K90" s="3" t="s">
        <v>61</v>
      </c>
      <c r="L90" s="4">
        <v>390.69</v>
      </c>
      <c r="M90" s="3" t="s">
        <v>342</v>
      </c>
      <c r="N90" s="3" t="s">
        <v>63</v>
      </c>
    </row>
    <row r="91" spans="1:14" x14ac:dyDescent="0.2">
      <c r="A91" s="3" t="s">
        <v>20</v>
      </c>
      <c r="B91" s="6">
        <v>46150</v>
      </c>
      <c r="C91" s="3" t="s">
        <v>110</v>
      </c>
      <c r="D91" s="3" t="s">
        <v>343</v>
      </c>
      <c r="E91" s="4">
        <v>-251.43</v>
      </c>
      <c r="F91" s="3" t="s">
        <v>57</v>
      </c>
      <c r="G91" s="3" t="s">
        <v>112</v>
      </c>
      <c r="H91" s="3" t="s">
        <v>113</v>
      </c>
      <c r="I91" s="3" t="s">
        <v>114</v>
      </c>
      <c r="J91" s="4">
        <v>10161.67</v>
      </c>
      <c r="K91" s="3" t="s">
        <v>61</v>
      </c>
      <c r="L91" s="4">
        <v>251.43</v>
      </c>
      <c r="M91" s="3" t="s">
        <v>344</v>
      </c>
      <c r="N91" s="3" t="s">
        <v>63</v>
      </c>
    </row>
    <row r="92" spans="1:14" x14ac:dyDescent="0.2">
      <c r="A92" s="3" t="s">
        <v>20</v>
      </c>
      <c r="B92" s="6">
        <v>46150</v>
      </c>
      <c r="C92" s="3" t="s">
        <v>78</v>
      </c>
      <c r="D92" s="3" t="s">
        <v>345</v>
      </c>
      <c r="E92" s="4">
        <v>4.72</v>
      </c>
      <c r="F92" s="3" t="s">
        <v>80</v>
      </c>
      <c r="G92" s="3" t="s">
        <v>6</v>
      </c>
      <c r="H92" s="3" t="s">
        <v>78</v>
      </c>
      <c r="I92" s="3" t="s">
        <v>81</v>
      </c>
      <c r="J92" s="4">
        <v>10413.1</v>
      </c>
      <c r="K92" s="3" t="s">
        <v>61</v>
      </c>
      <c r="L92" s="4">
        <v>4.72</v>
      </c>
      <c r="M92" s="3" t="s">
        <v>346</v>
      </c>
      <c r="N92" s="3" t="s">
        <v>63</v>
      </c>
    </row>
    <row r="93" spans="1:14" x14ac:dyDescent="0.2">
      <c r="A93" s="3" t="s">
        <v>20</v>
      </c>
      <c r="B93" s="6">
        <v>46151</v>
      </c>
      <c r="C93" s="3" t="s">
        <v>338</v>
      </c>
      <c r="D93" s="3" t="s">
        <v>347</v>
      </c>
      <c r="E93" s="4">
        <v>-379.98</v>
      </c>
      <c r="F93" s="3" t="s">
        <v>57</v>
      </c>
      <c r="G93" s="3" t="s">
        <v>340</v>
      </c>
      <c r="H93" s="3" t="s">
        <v>341</v>
      </c>
      <c r="I93" s="3"/>
      <c r="J93" s="4">
        <v>7841.67</v>
      </c>
      <c r="K93" s="3" t="s">
        <v>61</v>
      </c>
      <c r="L93" s="4">
        <v>379.98</v>
      </c>
      <c r="M93" s="3" t="s">
        <v>348</v>
      </c>
      <c r="N93" s="3" t="s">
        <v>63</v>
      </c>
    </row>
    <row r="94" spans="1:14" x14ac:dyDescent="0.2">
      <c r="A94" s="3" t="s">
        <v>20</v>
      </c>
      <c r="B94" s="6">
        <v>46151</v>
      </c>
      <c r="C94" s="3" t="s">
        <v>94</v>
      </c>
      <c r="D94" s="3" t="s">
        <v>349</v>
      </c>
      <c r="E94" s="4">
        <v>-350</v>
      </c>
      <c r="F94" s="3" t="s">
        <v>57</v>
      </c>
      <c r="G94" s="3" t="s">
        <v>58</v>
      </c>
      <c r="H94" s="3" t="s">
        <v>59</v>
      </c>
      <c r="I94" s="3" t="s">
        <v>96</v>
      </c>
      <c r="J94" s="4">
        <v>7491.67</v>
      </c>
      <c r="K94" s="3" t="s">
        <v>61</v>
      </c>
      <c r="L94" s="4">
        <v>350</v>
      </c>
      <c r="M94" s="3" t="s">
        <v>350</v>
      </c>
      <c r="N94" s="3" t="s">
        <v>63</v>
      </c>
    </row>
    <row r="95" spans="1:14" x14ac:dyDescent="0.2">
      <c r="A95" s="3" t="s">
        <v>20</v>
      </c>
      <c r="B95" s="6">
        <v>46152</v>
      </c>
      <c r="C95" s="3" t="s">
        <v>102</v>
      </c>
      <c r="D95" s="3" t="s">
        <v>351</v>
      </c>
      <c r="E95" s="4">
        <v>-97.1</v>
      </c>
      <c r="F95" s="3" t="s">
        <v>57</v>
      </c>
      <c r="G95" s="3" t="s">
        <v>70</v>
      </c>
      <c r="H95" s="3" t="s">
        <v>71</v>
      </c>
      <c r="I95" s="3" t="s">
        <v>104</v>
      </c>
      <c r="J95" s="4">
        <v>7394.57</v>
      </c>
      <c r="K95" s="3" t="s">
        <v>61</v>
      </c>
      <c r="L95" s="4">
        <v>97.1</v>
      </c>
      <c r="M95" s="3" t="s">
        <v>352</v>
      </c>
      <c r="N95" s="3" t="s">
        <v>63</v>
      </c>
    </row>
    <row r="96" spans="1:14" x14ac:dyDescent="0.2">
      <c r="A96" s="3" t="s">
        <v>20</v>
      </c>
      <c r="B96" s="6">
        <v>46153</v>
      </c>
      <c r="C96" s="3" t="s">
        <v>353</v>
      </c>
      <c r="D96" s="3" t="s">
        <v>354</v>
      </c>
      <c r="E96" s="4">
        <v>-386.91</v>
      </c>
      <c r="F96" s="3" t="s">
        <v>57</v>
      </c>
      <c r="G96" s="3" t="s">
        <v>312</v>
      </c>
      <c r="H96" s="3" t="s">
        <v>313</v>
      </c>
      <c r="I96" s="3" t="s">
        <v>355</v>
      </c>
      <c r="J96" s="4">
        <v>7011.22</v>
      </c>
      <c r="K96" s="3" t="s">
        <v>61</v>
      </c>
      <c r="L96" s="4">
        <v>386.91</v>
      </c>
      <c r="M96" s="3" t="s">
        <v>356</v>
      </c>
      <c r="N96" s="3" t="s">
        <v>63</v>
      </c>
    </row>
    <row r="97" spans="1:14" x14ac:dyDescent="0.2">
      <c r="A97" s="3" t="s">
        <v>20</v>
      </c>
      <c r="B97" s="6">
        <v>46153</v>
      </c>
      <c r="C97" s="3" t="s">
        <v>357</v>
      </c>
      <c r="D97" s="3" t="s">
        <v>358</v>
      </c>
      <c r="E97" s="4">
        <v>-1342.74</v>
      </c>
      <c r="F97" s="3" t="s">
        <v>57</v>
      </c>
      <c r="G97" s="3" t="s">
        <v>359</v>
      </c>
      <c r="H97" s="3" t="s">
        <v>360</v>
      </c>
      <c r="I97" s="3" t="s">
        <v>361</v>
      </c>
      <c r="J97" s="4">
        <v>5668.48</v>
      </c>
      <c r="K97" s="3" t="s">
        <v>61</v>
      </c>
      <c r="L97" s="4">
        <v>1342.74</v>
      </c>
      <c r="M97" s="3" t="s">
        <v>362</v>
      </c>
      <c r="N97" s="3" t="s">
        <v>63</v>
      </c>
    </row>
    <row r="98" spans="1:14" x14ac:dyDescent="0.2">
      <c r="A98" s="3" t="s">
        <v>20</v>
      </c>
      <c r="B98" s="6">
        <v>46153</v>
      </c>
      <c r="C98" s="3" t="s">
        <v>78</v>
      </c>
      <c r="D98" s="3" t="s">
        <v>363</v>
      </c>
      <c r="E98" s="4">
        <v>3.56</v>
      </c>
      <c r="F98" s="3" t="s">
        <v>80</v>
      </c>
      <c r="G98" s="3" t="s">
        <v>6</v>
      </c>
      <c r="H98" s="3" t="s">
        <v>78</v>
      </c>
      <c r="I98" s="3" t="s">
        <v>81</v>
      </c>
      <c r="J98" s="4">
        <v>7398.13</v>
      </c>
      <c r="K98" s="3" t="s">
        <v>61</v>
      </c>
      <c r="L98" s="4">
        <v>3.56</v>
      </c>
      <c r="M98" s="3" t="s">
        <v>364</v>
      </c>
      <c r="N98" s="3" t="s">
        <v>63</v>
      </c>
    </row>
    <row r="99" spans="1:14" x14ac:dyDescent="0.2">
      <c r="A99" s="3" t="s">
        <v>20</v>
      </c>
      <c r="B99" s="6">
        <v>46154</v>
      </c>
      <c r="C99" s="3" t="s">
        <v>94</v>
      </c>
      <c r="D99" s="3" t="s">
        <v>365</v>
      </c>
      <c r="E99" s="4">
        <v>-350</v>
      </c>
      <c r="F99" s="3" t="s">
        <v>57</v>
      </c>
      <c r="G99" s="3" t="s">
        <v>58</v>
      </c>
      <c r="H99" s="3" t="s">
        <v>59</v>
      </c>
      <c r="I99" s="3" t="s">
        <v>96</v>
      </c>
      <c r="J99" s="4">
        <v>5320.94</v>
      </c>
      <c r="K99" s="3" t="s">
        <v>61</v>
      </c>
      <c r="L99" s="4">
        <v>350</v>
      </c>
      <c r="M99" s="3" t="s">
        <v>366</v>
      </c>
      <c r="N99" s="3" t="s">
        <v>63</v>
      </c>
    </row>
    <row r="100" spans="1:14" x14ac:dyDescent="0.2">
      <c r="A100" s="3" t="s">
        <v>20</v>
      </c>
      <c r="B100" s="6">
        <v>46154</v>
      </c>
      <c r="C100" s="3" t="s">
        <v>276</v>
      </c>
      <c r="D100" s="3" t="s">
        <v>367</v>
      </c>
      <c r="E100" s="4">
        <v>-200</v>
      </c>
      <c r="F100" s="3" t="s">
        <v>57</v>
      </c>
      <c r="G100" s="3" t="s">
        <v>58</v>
      </c>
      <c r="H100" s="3" t="s">
        <v>59</v>
      </c>
      <c r="I100" s="3" t="s">
        <v>278</v>
      </c>
      <c r="J100" s="4">
        <v>5120.9399999999996</v>
      </c>
      <c r="K100" s="3" t="s">
        <v>61</v>
      </c>
      <c r="L100" s="4">
        <v>200</v>
      </c>
      <c r="M100" s="3" t="s">
        <v>368</v>
      </c>
      <c r="N100" s="3" t="s">
        <v>63</v>
      </c>
    </row>
    <row r="101" spans="1:14" x14ac:dyDescent="0.2">
      <c r="A101" s="3" t="s">
        <v>20</v>
      </c>
      <c r="B101" s="6">
        <v>46154</v>
      </c>
      <c r="C101" s="3" t="s">
        <v>369</v>
      </c>
      <c r="D101" s="3" t="s">
        <v>370</v>
      </c>
      <c r="E101" s="4">
        <v>-110</v>
      </c>
      <c r="F101" s="3" t="s">
        <v>57</v>
      </c>
      <c r="G101" s="3" t="s">
        <v>150</v>
      </c>
      <c r="H101" s="3" t="s">
        <v>151</v>
      </c>
      <c r="I101" s="3" t="s">
        <v>371</v>
      </c>
      <c r="J101" s="4">
        <v>5010.9399999999996</v>
      </c>
      <c r="K101" s="3" t="s">
        <v>61</v>
      </c>
      <c r="L101" s="4">
        <v>110</v>
      </c>
      <c r="M101" s="3" t="s">
        <v>372</v>
      </c>
      <c r="N101" s="3" t="s">
        <v>63</v>
      </c>
    </row>
    <row r="102" spans="1:14" x14ac:dyDescent="0.2">
      <c r="A102" s="3" t="s">
        <v>20</v>
      </c>
      <c r="B102" s="6">
        <v>46154</v>
      </c>
      <c r="C102" s="3" t="s">
        <v>373</v>
      </c>
      <c r="D102" s="3" t="s">
        <v>374</v>
      </c>
      <c r="E102" s="4">
        <v>-22.85</v>
      </c>
      <c r="F102" s="3" t="s">
        <v>57</v>
      </c>
      <c r="G102" s="3" t="s">
        <v>58</v>
      </c>
      <c r="H102" s="3" t="s">
        <v>59</v>
      </c>
      <c r="I102" s="3" t="s">
        <v>375</v>
      </c>
      <c r="J102" s="4">
        <v>4988.09</v>
      </c>
      <c r="K102" s="3" t="s">
        <v>61</v>
      </c>
      <c r="L102" s="4">
        <v>22.85</v>
      </c>
      <c r="M102" s="3" t="s">
        <v>376</v>
      </c>
      <c r="N102" s="3" t="s">
        <v>63</v>
      </c>
    </row>
    <row r="103" spans="1:14" x14ac:dyDescent="0.2">
      <c r="A103" s="3" t="s">
        <v>20</v>
      </c>
      <c r="B103" s="6">
        <v>46154</v>
      </c>
      <c r="C103" s="3" t="s">
        <v>78</v>
      </c>
      <c r="D103" s="3" t="s">
        <v>377</v>
      </c>
      <c r="E103" s="4">
        <v>2.46</v>
      </c>
      <c r="F103" s="3" t="s">
        <v>80</v>
      </c>
      <c r="G103" s="3" t="s">
        <v>6</v>
      </c>
      <c r="H103" s="3" t="s">
        <v>78</v>
      </c>
      <c r="I103" s="3" t="s">
        <v>81</v>
      </c>
      <c r="J103" s="4">
        <v>5670.94</v>
      </c>
      <c r="K103" s="3" t="s">
        <v>61</v>
      </c>
      <c r="L103" s="4">
        <v>2.46</v>
      </c>
      <c r="M103" s="3" t="s">
        <v>378</v>
      </c>
      <c r="N103" s="3" t="s">
        <v>63</v>
      </c>
    </row>
    <row r="104" spans="1:14" x14ac:dyDescent="0.2">
      <c r="A104" s="3" t="s">
        <v>20</v>
      </c>
      <c r="B104" s="6">
        <v>46155</v>
      </c>
      <c r="C104" s="3" t="s">
        <v>78</v>
      </c>
      <c r="D104" s="3" t="s">
        <v>379</v>
      </c>
      <c r="E104" s="4">
        <v>2.17</v>
      </c>
      <c r="F104" s="3" t="s">
        <v>80</v>
      </c>
      <c r="G104" s="3" t="s">
        <v>6</v>
      </c>
      <c r="H104" s="3" t="s">
        <v>78</v>
      </c>
      <c r="I104" s="3" t="s">
        <v>81</v>
      </c>
      <c r="J104" s="4">
        <v>4990.26</v>
      </c>
      <c r="K104" s="3" t="s">
        <v>61</v>
      </c>
      <c r="L104" s="4">
        <v>2.17</v>
      </c>
      <c r="M104" s="3" t="s">
        <v>380</v>
      </c>
      <c r="N104" s="3" t="s">
        <v>63</v>
      </c>
    </row>
    <row r="105" spans="1:14" x14ac:dyDescent="0.2">
      <c r="A105" s="3" t="s">
        <v>20</v>
      </c>
      <c r="B105" s="6">
        <v>46156</v>
      </c>
      <c r="C105" s="3" t="s">
        <v>130</v>
      </c>
      <c r="D105" s="3" t="s">
        <v>381</v>
      </c>
      <c r="E105" s="4">
        <v>-1080</v>
      </c>
      <c r="F105" s="3" t="s">
        <v>57</v>
      </c>
      <c r="G105" s="3" t="s">
        <v>58</v>
      </c>
      <c r="H105" s="3" t="s">
        <v>59</v>
      </c>
      <c r="I105" s="3" t="s">
        <v>132</v>
      </c>
      <c r="J105" s="4">
        <v>3912.43</v>
      </c>
      <c r="K105" s="3" t="s">
        <v>61</v>
      </c>
      <c r="L105" s="4">
        <v>1080</v>
      </c>
      <c r="M105" s="3" t="s">
        <v>382</v>
      </c>
      <c r="N105" s="3" t="s">
        <v>63</v>
      </c>
    </row>
    <row r="106" spans="1:14" x14ac:dyDescent="0.2">
      <c r="A106" s="3" t="s">
        <v>20</v>
      </c>
      <c r="B106" s="6">
        <v>46156</v>
      </c>
      <c r="C106" s="3" t="s">
        <v>78</v>
      </c>
      <c r="D106" s="3" t="s">
        <v>383</v>
      </c>
      <c r="E106" s="4">
        <v>2.17</v>
      </c>
      <c r="F106" s="3" t="s">
        <v>80</v>
      </c>
      <c r="G106" s="3" t="s">
        <v>6</v>
      </c>
      <c r="H106" s="3" t="s">
        <v>78</v>
      </c>
      <c r="I106" s="3" t="s">
        <v>81</v>
      </c>
      <c r="J106" s="4">
        <v>4992.43</v>
      </c>
      <c r="K106" s="3" t="s">
        <v>61</v>
      </c>
      <c r="L106" s="4">
        <v>2.17</v>
      </c>
      <c r="M106" s="3" t="s">
        <v>384</v>
      </c>
      <c r="N106" s="3" t="s">
        <v>63</v>
      </c>
    </row>
    <row r="107" spans="1:14" x14ac:dyDescent="0.2">
      <c r="A107" s="3" t="s">
        <v>20</v>
      </c>
      <c r="B107" s="6">
        <v>46157</v>
      </c>
      <c r="C107" s="3" t="s">
        <v>385</v>
      </c>
      <c r="D107" s="3" t="s">
        <v>386</v>
      </c>
      <c r="E107" s="4">
        <v>-554.91999999999996</v>
      </c>
      <c r="F107" s="3" t="s">
        <v>57</v>
      </c>
      <c r="G107" s="3" t="s">
        <v>297</v>
      </c>
      <c r="H107" s="3" t="s">
        <v>298</v>
      </c>
      <c r="I107" s="3" t="s">
        <v>387</v>
      </c>
      <c r="J107" s="4">
        <v>3323.21</v>
      </c>
      <c r="K107" s="3" t="s">
        <v>61</v>
      </c>
      <c r="L107" s="4">
        <v>554.91999999999996</v>
      </c>
      <c r="M107" s="3" t="s">
        <v>388</v>
      </c>
      <c r="N107" s="3" t="s">
        <v>63</v>
      </c>
    </row>
    <row r="108" spans="1:14" x14ac:dyDescent="0.2">
      <c r="A108" s="3" t="s">
        <v>20</v>
      </c>
      <c r="B108" s="6">
        <v>46157</v>
      </c>
      <c r="C108" s="3" t="s">
        <v>389</v>
      </c>
      <c r="D108" s="3" t="s">
        <v>390</v>
      </c>
      <c r="E108" s="4">
        <v>-86</v>
      </c>
      <c r="F108" s="3" t="s">
        <v>57</v>
      </c>
      <c r="G108" s="3" t="s">
        <v>58</v>
      </c>
      <c r="H108" s="3" t="s">
        <v>59</v>
      </c>
      <c r="I108" s="3" t="s">
        <v>391</v>
      </c>
      <c r="J108" s="4">
        <v>2767.21</v>
      </c>
      <c r="K108" s="3" t="s">
        <v>61</v>
      </c>
      <c r="L108" s="4">
        <v>86</v>
      </c>
      <c r="M108" s="3" t="s">
        <v>392</v>
      </c>
      <c r="N108" s="3" t="s">
        <v>63</v>
      </c>
    </row>
    <row r="109" spans="1:14" x14ac:dyDescent="0.2">
      <c r="A109" s="3" t="s">
        <v>20</v>
      </c>
      <c r="B109" s="6">
        <v>46157</v>
      </c>
      <c r="C109" s="3" t="s">
        <v>393</v>
      </c>
      <c r="D109" s="3" t="s">
        <v>394</v>
      </c>
      <c r="E109" s="4">
        <v>-36</v>
      </c>
      <c r="F109" s="3" t="s">
        <v>57</v>
      </c>
      <c r="G109" s="3" t="s">
        <v>58</v>
      </c>
      <c r="H109" s="3" t="s">
        <v>59</v>
      </c>
      <c r="I109" s="3" t="s">
        <v>395</v>
      </c>
      <c r="J109" s="4">
        <v>3878.13</v>
      </c>
      <c r="K109" s="3" t="s">
        <v>61</v>
      </c>
      <c r="L109" s="4">
        <v>36</v>
      </c>
      <c r="M109" s="3" t="s">
        <v>396</v>
      </c>
      <c r="N109" s="3" t="s">
        <v>63</v>
      </c>
    </row>
    <row r="110" spans="1:14" x14ac:dyDescent="0.2">
      <c r="A110" s="3" t="s">
        <v>20</v>
      </c>
      <c r="B110" s="6">
        <v>46157</v>
      </c>
      <c r="C110" s="3" t="s">
        <v>94</v>
      </c>
      <c r="D110" s="3" t="s">
        <v>397</v>
      </c>
      <c r="E110" s="4">
        <v>-470</v>
      </c>
      <c r="F110" s="3" t="s">
        <v>57</v>
      </c>
      <c r="G110" s="3" t="s">
        <v>58</v>
      </c>
      <c r="H110" s="3" t="s">
        <v>59</v>
      </c>
      <c r="I110" s="3" t="s">
        <v>96</v>
      </c>
      <c r="J110" s="4">
        <v>2853.21</v>
      </c>
      <c r="K110" s="3" t="s">
        <v>61</v>
      </c>
      <c r="L110" s="4">
        <v>470</v>
      </c>
      <c r="M110" s="3" t="s">
        <v>398</v>
      </c>
      <c r="N110" s="3" t="s">
        <v>63</v>
      </c>
    </row>
    <row r="111" spans="1:14" x14ac:dyDescent="0.2">
      <c r="A111" s="3" t="s">
        <v>20</v>
      </c>
      <c r="B111" s="6">
        <v>46157</v>
      </c>
      <c r="C111" s="3" t="s">
        <v>78</v>
      </c>
      <c r="D111" s="3" t="s">
        <v>399</v>
      </c>
      <c r="E111" s="4">
        <v>1.7</v>
      </c>
      <c r="F111" s="3" t="s">
        <v>80</v>
      </c>
      <c r="G111" s="3" t="s">
        <v>6</v>
      </c>
      <c r="H111" s="3" t="s">
        <v>78</v>
      </c>
      <c r="I111" s="3" t="s">
        <v>81</v>
      </c>
      <c r="J111" s="4">
        <v>3914.13</v>
      </c>
      <c r="K111" s="3" t="s">
        <v>61</v>
      </c>
      <c r="L111" s="4">
        <v>1.7</v>
      </c>
      <c r="M111" s="3" t="s">
        <v>400</v>
      </c>
      <c r="N111" s="3" t="s">
        <v>63</v>
      </c>
    </row>
    <row r="112" spans="1:14" x14ac:dyDescent="0.2">
      <c r="A112" s="3" t="s">
        <v>20</v>
      </c>
      <c r="B112" s="6">
        <v>46158</v>
      </c>
      <c r="C112" s="3" t="s">
        <v>68</v>
      </c>
      <c r="D112" s="3" t="s">
        <v>401</v>
      </c>
      <c r="E112" s="4">
        <v>-225.28</v>
      </c>
      <c r="F112" s="3" t="s">
        <v>57</v>
      </c>
      <c r="G112" s="3" t="s">
        <v>70</v>
      </c>
      <c r="H112" s="3" t="s">
        <v>71</v>
      </c>
      <c r="I112" s="3" t="s">
        <v>72</v>
      </c>
      <c r="J112" s="4">
        <v>2479.0100000000002</v>
      </c>
      <c r="K112" s="3" t="s">
        <v>61</v>
      </c>
      <c r="L112" s="4">
        <v>225.28</v>
      </c>
      <c r="M112" s="3" t="s">
        <v>402</v>
      </c>
      <c r="N112" s="3" t="s">
        <v>63</v>
      </c>
    </row>
    <row r="113" spans="1:14" x14ac:dyDescent="0.2">
      <c r="A113" s="3" t="s">
        <v>20</v>
      </c>
      <c r="B113" s="6">
        <v>46158</v>
      </c>
      <c r="C113" s="3" t="s">
        <v>403</v>
      </c>
      <c r="D113" s="3" t="s">
        <v>404</v>
      </c>
      <c r="E113" s="4">
        <v>-62.92</v>
      </c>
      <c r="F113" s="3" t="s">
        <v>57</v>
      </c>
      <c r="G113" s="3" t="s">
        <v>405</v>
      </c>
      <c r="H113" s="3" t="s">
        <v>406</v>
      </c>
      <c r="I113" s="3" t="s">
        <v>407</v>
      </c>
      <c r="J113" s="4">
        <v>2704.29</v>
      </c>
      <c r="K113" s="3" t="s">
        <v>61</v>
      </c>
      <c r="L113" s="4">
        <v>62.92</v>
      </c>
      <c r="M113" s="3" t="s">
        <v>408</v>
      </c>
      <c r="N113" s="3" t="s">
        <v>63</v>
      </c>
    </row>
    <row r="114" spans="1:14" x14ac:dyDescent="0.2">
      <c r="A114" s="3" t="s">
        <v>20</v>
      </c>
      <c r="B114" s="6">
        <v>46159</v>
      </c>
      <c r="C114" s="3" t="s">
        <v>122</v>
      </c>
      <c r="D114" s="3" t="s">
        <v>409</v>
      </c>
      <c r="E114" s="4">
        <v>-225.95</v>
      </c>
      <c r="F114" s="3" t="s">
        <v>57</v>
      </c>
      <c r="G114" s="3" t="s">
        <v>70</v>
      </c>
      <c r="H114" s="3" t="s">
        <v>71</v>
      </c>
      <c r="I114" s="3" t="s">
        <v>124</v>
      </c>
      <c r="J114" s="4">
        <v>2253.06</v>
      </c>
      <c r="K114" s="3" t="s">
        <v>61</v>
      </c>
      <c r="L114" s="4">
        <v>225.95</v>
      </c>
      <c r="M114" s="3" t="s">
        <v>410</v>
      </c>
      <c r="N114" s="3" t="s">
        <v>63</v>
      </c>
    </row>
    <row r="115" spans="1:14" x14ac:dyDescent="0.2">
      <c r="A115" s="3" t="s">
        <v>20</v>
      </c>
      <c r="B115" s="6">
        <v>46159</v>
      </c>
      <c r="C115" s="3" t="s">
        <v>411</v>
      </c>
      <c r="D115" s="3" t="s">
        <v>412</v>
      </c>
      <c r="E115" s="4">
        <v>-85.8</v>
      </c>
      <c r="F115" s="3" t="s">
        <v>57</v>
      </c>
      <c r="G115" s="3" t="s">
        <v>150</v>
      </c>
      <c r="H115" s="3" t="s">
        <v>151</v>
      </c>
      <c r="I115" s="3" t="s">
        <v>413</v>
      </c>
      <c r="J115" s="4">
        <v>2167.2600000000002</v>
      </c>
      <c r="K115" s="3" t="s">
        <v>61</v>
      </c>
      <c r="L115" s="4">
        <v>85.8</v>
      </c>
      <c r="M115" s="3" t="s">
        <v>414</v>
      </c>
      <c r="N115" s="3" t="s">
        <v>63</v>
      </c>
    </row>
    <row r="116" spans="1:14" x14ac:dyDescent="0.2">
      <c r="A116" s="3" t="s">
        <v>20</v>
      </c>
      <c r="B116" s="6">
        <v>46160</v>
      </c>
      <c r="C116" s="3" t="s">
        <v>122</v>
      </c>
      <c r="D116" s="3" t="s">
        <v>415</v>
      </c>
      <c r="E116" s="4">
        <v>-144.44</v>
      </c>
      <c r="F116" s="3" t="s">
        <v>57</v>
      </c>
      <c r="G116" s="3" t="s">
        <v>70</v>
      </c>
      <c r="H116" s="3" t="s">
        <v>71</v>
      </c>
      <c r="I116" s="3" t="s">
        <v>124</v>
      </c>
      <c r="J116" s="4">
        <v>2024.26</v>
      </c>
      <c r="K116" s="3" t="s">
        <v>61</v>
      </c>
      <c r="L116" s="4">
        <v>144.44</v>
      </c>
      <c r="M116" s="3" t="s">
        <v>416</v>
      </c>
      <c r="N116" s="3" t="s">
        <v>63</v>
      </c>
    </row>
    <row r="117" spans="1:14" x14ac:dyDescent="0.2">
      <c r="A117" s="3" t="s">
        <v>20</v>
      </c>
      <c r="B117" s="6">
        <v>46160</v>
      </c>
      <c r="C117" s="3" t="s">
        <v>417</v>
      </c>
      <c r="D117" s="3" t="s">
        <v>418</v>
      </c>
      <c r="E117" s="4">
        <v>-1000</v>
      </c>
      <c r="F117" s="3" t="s">
        <v>57</v>
      </c>
      <c r="G117" s="3" t="s">
        <v>58</v>
      </c>
      <c r="H117" s="3" t="s">
        <v>59</v>
      </c>
      <c r="I117" s="3" t="s">
        <v>419</v>
      </c>
      <c r="J117" s="4">
        <v>1024.26</v>
      </c>
      <c r="K117" s="3" t="s">
        <v>61</v>
      </c>
      <c r="L117" s="4">
        <v>1000</v>
      </c>
      <c r="M117" s="3" t="s">
        <v>420</v>
      </c>
      <c r="N117" s="3" t="s">
        <v>63</v>
      </c>
    </row>
    <row r="118" spans="1:14" x14ac:dyDescent="0.2">
      <c r="A118" s="3" t="s">
        <v>20</v>
      </c>
      <c r="B118" s="6">
        <v>46160</v>
      </c>
      <c r="C118" s="3" t="s">
        <v>78</v>
      </c>
      <c r="D118" s="3" t="s">
        <v>421</v>
      </c>
      <c r="E118" s="4">
        <v>1.44</v>
      </c>
      <c r="F118" s="3" t="s">
        <v>80</v>
      </c>
      <c r="G118" s="3" t="s">
        <v>6</v>
      </c>
      <c r="H118" s="3" t="s">
        <v>78</v>
      </c>
      <c r="I118" s="3" t="s">
        <v>81</v>
      </c>
      <c r="J118" s="4">
        <v>2168.6999999999998</v>
      </c>
      <c r="K118" s="3" t="s">
        <v>61</v>
      </c>
      <c r="L118" s="4">
        <v>1.44</v>
      </c>
      <c r="M118" s="3" t="s">
        <v>422</v>
      </c>
      <c r="N118" s="3" t="s">
        <v>63</v>
      </c>
    </row>
    <row r="119" spans="1:14" x14ac:dyDescent="0.2">
      <c r="A119" s="3" t="s">
        <v>20</v>
      </c>
      <c r="B119" s="6">
        <v>46161</v>
      </c>
      <c r="C119" s="3" t="s">
        <v>78</v>
      </c>
      <c r="D119" s="3" t="s">
        <v>423</v>
      </c>
      <c r="E119" s="4">
        <v>0.44</v>
      </c>
      <c r="F119" s="3" t="s">
        <v>80</v>
      </c>
      <c r="G119" s="3" t="s">
        <v>6</v>
      </c>
      <c r="H119" s="3" t="s">
        <v>78</v>
      </c>
      <c r="I119" s="3" t="s">
        <v>81</v>
      </c>
      <c r="J119" s="4">
        <v>1024.7</v>
      </c>
      <c r="K119" s="3" t="s">
        <v>61</v>
      </c>
      <c r="L119" s="4">
        <v>0.44</v>
      </c>
      <c r="M119" s="3" t="s">
        <v>424</v>
      </c>
      <c r="N119" s="3" t="s">
        <v>63</v>
      </c>
    </row>
    <row r="120" spans="1:14" x14ac:dyDescent="0.2">
      <c r="A120" s="3" t="s">
        <v>20</v>
      </c>
      <c r="B120" s="6">
        <v>46162</v>
      </c>
      <c r="C120" s="3" t="s">
        <v>235</v>
      </c>
      <c r="D120" s="3" t="s">
        <v>425</v>
      </c>
      <c r="E120" s="4">
        <v>-96.99</v>
      </c>
      <c r="F120" s="3" t="s">
        <v>57</v>
      </c>
      <c r="G120" s="3" t="s">
        <v>237</v>
      </c>
      <c r="H120" s="3" t="s">
        <v>238</v>
      </c>
      <c r="I120" s="3" t="s">
        <v>235</v>
      </c>
      <c r="J120" s="4">
        <v>928.16</v>
      </c>
      <c r="K120" s="3" t="s">
        <v>61</v>
      </c>
      <c r="L120" s="4">
        <v>96.99</v>
      </c>
      <c r="M120" s="3" t="s">
        <v>426</v>
      </c>
      <c r="N120" s="3" t="s">
        <v>63</v>
      </c>
    </row>
    <row r="121" spans="1:14" x14ac:dyDescent="0.2">
      <c r="A121" s="3" t="s">
        <v>20</v>
      </c>
      <c r="B121" s="6">
        <v>46162</v>
      </c>
      <c r="C121" s="3" t="s">
        <v>78</v>
      </c>
      <c r="D121" s="3" t="s">
        <v>427</v>
      </c>
      <c r="E121" s="4">
        <v>0.45</v>
      </c>
      <c r="F121" s="3" t="s">
        <v>80</v>
      </c>
      <c r="G121" s="3" t="s">
        <v>6</v>
      </c>
      <c r="H121" s="3" t="s">
        <v>78</v>
      </c>
      <c r="I121" s="3" t="s">
        <v>81</v>
      </c>
      <c r="J121" s="4">
        <v>1025.1500000000001</v>
      </c>
      <c r="K121" s="3" t="s">
        <v>61</v>
      </c>
      <c r="L121" s="4">
        <v>0.45</v>
      </c>
      <c r="M121" s="3" t="s">
        <v>428</v>
      </c>
      <c r="N121" s="3" t="s">
        <v>63</v>
      </c>
    </row>
    <row r="122" spans="1:14" x14ac:dyDescent="0.2">
      <c r="A122" s="3" t="s">
        <v>20</v>
      </c>
      <c r="B122" s="6">
        <v>46163</v>
      </c>
      <c r="C122" s="3" t="s">
        <v>78</v>
      </c>
      <c r="D122" s="3" t="s">
        <v>429</v>
      </c>
      <c r="E122" s="4">
        <v>0.4</v>
      </c>
      <c r="F122" s="3" t="s">
        <v>80</v>
      </c>
      <c r="G122" s="3" t="s">
        <v>6</v>
      </c>
      <c r="H122" s="3" t="s">
        <v>78</v>
      </c>
      <c r="I122" s="3" t="s">
        <v>81</v>
      </c>
      <c r="J122" s="4">
        <v>928.56</v>
      </c>
      <c r="K122" s="3" t="s">
        <v>61</v>
      </c>
      <c r="L122" s="4">
        <v>0.4</v>
      </c>
      <c r="M122" s="3" t="s">
        <v>430</v>
      </c>
      <c r="N122" s="3" t="s">
        <v>63</v>
      </c>
    </row>
    <row r="123" spans="1:14" x14ac:dyDescent="0.2">
      <c r="A123" s="3" t="s">
        <v>20</v>
      </c>
      <c r="B123" s="6">
        <v>46164</v>
      </c>
      <c r="C123" s="3" t="s">
        <v>78</v>
      </c>
      <c r="D123" s="3" t="s">
        <v>431</v>
      </c>
      <c r="E123" s="4">
        <v>0.41</v>
      </c>
      <c r="F123" s="3" t="s">
        <v>80</v>
      </c>
      <c r="G123" s="3" t="s">
        <v>6</v>
      </c>
      <c r="H123" s="3" t="s">
        <v>78</v>
      </c>
      <c r="I123" s="3" t="s">
        <v>81</v>
      </c>
      <c r="J123" s="4">
        <v>928.97</v>
      </c>
      <c r="K123" s="3" t="s">
        <v>61</v>
      </c>
      <c r="L123" s="4">
        <v>0.41</v>
      </c>
      <c r="M123" s="3" t="s">
        <v>432</v>
      </c>
      <c r="N123" s="3" t="s">
        <v>63</v>
      </c>
    </row>
    <row r="124" spans="1:14" x14ac:dyDescent="0.2">
      <c r="A124" s="3" t="s">
        <v>20</v>
      </c>
      <c r="B124" s="6">
        <v>46167</v>
      </c>
      <c r="C124" s="3" t="s">
        <v>276</v>
      </c>
      <c r="D124" s="3" t="s">
        <v>433</v>
      </c>
      <c r="E124" s="4">
        <v>-150</v>
      </c>
      <c r="F124" s="3" t="s">
        <v>57</v>
      </c>
      <c r="G124" s="3" t="s">
        <v>58</v>
      </c>
      <c r="H124" s="3" t="s">
        <v>59</v>
      </c>
      <c r="I124" s="3" t="s">
        <v>278</v>
      </c>
      <c r="J124" s="4">
        <v>779.37</v>
      </c>
      <c r="K124" s="3" t="s">
        <v>61</v>
      </c>
      <c r="L124" s="4">
        <v>150</v>
      </c>
      <c r="M124" s="3" t="s">
        <v>434</v>
      </c>
      <c r="N124" s="3" t="s">
        <v>63</v>
      </c>
    </row>
    <row r="125" spans="1:14" x14ac:dyDescent="0.2">
      <c r="A125" s="3" t="s">
        <v>20</v>
      </c>
      <c r="B125" s="6">
        <v>46167</v>
      </c>
      <c r="C125" s="3" t="s">
        <v>78</v>
      </c>
      <c r="D125" s="3" t="s">
        <v>435</v>
      </c>
      <c r="E125" s="4">
        <v>0.4</v>
      </c>
      <c r="F125" s="3" t="s">
        <v>80</v>
      </c>
      <c r="G125" s="3" t="s">
        <v>6</v>
      </c>
      <c r="H125" s="3" t="s">
        <v>78</v>
      </c>
      <c r="I125" s="3" t="s">
        <v>81</v>
      </c>
      <c r="J125" s="4">
        <v>929.37</v>
      </c>
      <c r="K125" s="3" t="s">
        <v>61</v>
      </c>
      <c r="L125" s="4">
        <v>0.4</v>
      </c>
      <c r="M125" s="3" t="s">
        <v>436</v>
      </c>
      <c r="N125" s="3" t="s">
        <v>63</v>
      </c>
    </row>
    <row r="126" spans="1:14" x14ac:dyDescent="0.2">
      <c r="A126" s="3" t="s">
        <v>20</v>
      </c>
      <c r="B126" s="6">
        <v>46168</v>
      </c>
      <c r="C126" s="3" t="s">
        <v>102</v>
      </c>
      <c r="D126" s="3" t="s">
        <v>437</v>
      </c>
      <c r="E126" s="4">
        <v>-128.9</v>
      </c>
      <c r="F126" s="3" t="s">
        <v>57</v>
      </c>
      <c r="G126" s="3" t="s">
        <v>70</v>
      </c>
      <c r="H126" s="3" t="s">
        <v>71</v>
      </c>
      <c r="I126" s="3" t="s">
        <v>104</v>
      </c>
      <c r="J126" s="4">
        <v>650.87</v>
      </c>
      <c r="K126" s="3" t="s">
        <v>61</v>
      </c>
      <c r="L126" s="4">
        <v>128.9</v>
      </c>
      <c r="M126" s="3" t="s">
        <v>438</v>
      </c>
      <c r="N126" s="3" t="s">
        <v>63</v>
      </c>
    </row>
    <row r="127" spans="1:14" x14ac:dyDescent="0.2">
      <c r="A127" s="3" t="s">
        <v>20</v>
      </c>
      <c r="B127" s="6">
        <v>46168</v>
      </c>
      <c r="C127" s="3" t="s">
        <v>78</v>
      </c>
      <c r="D127" s="3" t="s">
        <v>439</v>
      </c>
      <c r="E127" s="4">
        <v>0.4</v>
      </c>
      <c r="F127" s="3" t="s">
        <v>80</v>
      </c>
      <c r="G127" s="3" t="s">
        <v>6</v>
      </c>
      <c r="H127" s="3" t="s">
        <v>78</v>
      </c>
      <c r="I127" s="3" t="s">
        <v>81</v>
      </c>
      <c r="J127" s="4">
        <v>779.77</v>
      </c>
      <c r="K127" s="3" t="s">
        <v>61</v>
      </c>
      <c r="L127" s="4">
        <v>0.4</v>
      </c>
      <c r="M127" s="3" t="s">
        <v>440</v>
      </c>
      <c r="N127" s="3" t="s">
        <v>63</v>
      </c>
    </row>
    <row r="128" spans="1:14" x14ac:dyDescent="0.2">
      <c r="A128" s="3" t="s">
        <v>20</v>
      </c>
      <c r="B128" s="6">
        <v>46169</v>
      </c>
      <c r="C128" s="3" t="s">
        <v>130</v>
      </c>
      <c r="D128" s="3" t="s">
        <v>441</v>
      </c>
      <c r="E128" s="4">
        <v>-180</v>
      </c>
      <c r="F128" s="3" t="s">
        <v>57</v>
      </c>
      <c r="G128" s="3" t="s">
        <v>58</v>
      </c>
      <c r="H128" s="3" t="s">
        <v>59</v>
      </c>
      <c r="I128" s="3" t="s">
        <v>132</v>
      </c>
      <c r="J128" s="4">
        <v>471.2</v>
      </c>
      <c r="K128" s="3" t="s">
        <v>61</v>
      </c>
      <c r="L128" s="4">
        <v>180</v>
      </c>
      <c r="M128" s="3" t="s">
        <v>442</v>
      </c>
      <c r="N128" s="3" t="s">
        <v>63</v>
      </c>
    </row>
    <row r="129" spans="1:14" x14ac:dyDescent="0.2">
      <c r="A129" s="3" t="s">
        <v>20</v>
      </c>
      <c r="B129" s="6">
        <v>46169</v>
      </c>
      <c r="C129" s="3" t="s">
        <v>78</v>
      </c>
      <c r="D129" s="3" t="s">
        <v>443</v>
      </c>
      <c r="E129" s="4">
        <v>0.33</v>
      </c>
      <c r="F129" s="3" t="s">
        <v>80</v>
      </c>
      <c r="G129" s="3" t="s">
        <v>6</v>
      </c>
      <c r="H129" s="3" t="s">
        <v>78</v>
      </c>
      <c r="I129" s="3" t="s">
        <v>81</v>
      </c>
      <c r="J129" s="4">
        <v>651.20000000000005</v>
      </c>
      <c r="K129" s="3" t="s">
        <v>61</v>
      </c>
      <c r="L129" s="4">
        <v>0.33</v>
      </c>
      <c r="M129" s="3" t="s">
        <v>444</v>
      </c>
      <c r="N129" s="3" t="s">
        <v>63</v>
      </c>
    </row>
    <row r="130" spans="1:14" x14ac:dyDescent="0.2">
      <c r="A130" s="3" t="s">
        <v>20</v>
      </c>
      <c r="B130" s="6">
        <v>46170</v>
      </c>
      <c r="C130" s="3" t="s">
        <v>445</v>
      </c>
      <c r="D130" s="3" t="s">
        <v>446</v>
      </c>
      <c r="E130" s="4">
        <v>17000</v>
      </c>
      <c r="F130" s="3" t="s">
        <v>80</v>
      </c>
      <c r="G130" s="3" t="s">
        <v>270</v>
      </c>
      <c r="H130" s="3" t="s">
        <v>271</v>
      </c>
      <c r="I130" s="3" t="s">
        <v>447</v>
      </c>
      <c r="J130" s="4">
        <v>17471.48</v>
      </c>
      <c r="K130" s="3" t="s">
        <v>61</v>
      </c>
      <c r="L130" s="4">
        <v>17000</v>
      </c>
      <c r="M130" s="3" t="s">
        <v>448</v>
      </c>
      <c r="N130" s="3" t="s">
        <v>63</v>
      </c>
    </row>
    <row r="131" spans="1:14" x14ac:dyDescent="0.2">
      <c r="A131" s="3" t="s">
        <v>20</v>
      </c>
      <c r="B131" s="6">
        <v>46170</v>
      </c>
      <c r="C131" s="3" t="s">
        <v>64</v>
      </c>
      <c r="D131" s="3" t="s">
        <v>449</v>
      </c>
      <c r="E131" s="4">
        <v>-168</v>
      </c>
      <c r="F131" s="3" t="s">
        <v>57</v>
      </c>
      <c r="G131" s="3" t="s">
        <v>58</v>
      </c>
      <c r="H131" s="3" t="s">
        <v>59</v>
      </c>
      <c r="I131" s="3" t="s">
        <v>66</v>
      </c>
      <c r="J131" s="4">
        <v>17303.48</v>
      </c>
      <c r="K131" s="3" t="s">
        <v>61</v>
      </c>
      <c r="L131" s="4">
        <v>168</v>
      </c>
      <c r="M131" s="3" t="s">
        <v>450</v>
      </c>
      <c r="N131" s="3" t="s">
        <v>63</v>
      </c>
    </row>
    <row r="132" spans="1:14" x14ac:dyDescent="0.2">
      <c r="A132" s="3" t="s">
        <v>20</v>
      </c>
      <c r="B132" s="6">
        <v>46170</v>
      </c>
      <c r="C132" s="3" t="s">
        <v>102</v>
      </c>
      <c r="D132" s="3" t="s">
        <v>451</v>
      </c>
      <c r="E132" s="4">
        <v>-154.9</v>
      </c>
      <c r="F132" s="3" t="s">
        <v>57</v>
      </c>
      <c r="G132" s="3" t="s">
        <v>70</v>
      </c>
      <c r="H132" s="3" t="s">
        <v>71</v>
      </c>
      <c r="I132" s="3" t="s">
        <v>104</v>
      </c>
      <c r="J132" s="4">
        <v>17148.580000000002</v>
      </c>
      <c r="K132" s="3" t="s">
        <v>61</v>
      </c>
      <c r="L132" s="4">
        <v>154.9</v>
      </c>
      <c r="M132" s="3" t="s">
        <v>452</v>
      </c>
      <c r="N132" s="3" t="s">
        <v>63</v>
      </c>
    </row>
    <row r="133" spans="1:14" x14ac:dyDescent="0.2">
      <c r="A133" s="3" t="s">
        <v>20</v>
      </c>
      <c r="B133" s="6">
        <v>46170</v>
      </c>
      <c r="C133" s="3" t="s">
        <v>78</v>
      </c>
      <c r="D133" s="3" t="s">
        <v>453</v>
      </c>
      <c r="E133" s="4">
        <v>0.28000000000000003</v>
      </c>
      <c r="F133" s="3" t="s">
        <v>80</v>
      </c>
      <c r="G133" s="3" t="s">
        <v>6</v>
      </c>
      <c r="H133" s="3" t="s">
        <v>78</v>
      </c>
      <c r="I133" s="3" t="s">
        <v>81</v>
      </c>
      <c r="J133" s="4">
        <v>471.48</v>
      </c>
      <c r="K133" s="3" t="s">
        <v>61</v>
      </c>
      <c r="L133" s="4">
        <v>0.28000000000000003</v>
      </c>
      <c r="M133" s="3" t="s">
        <v>454</v>
      </c>
      <c r="N133" s="3" t="s">
        <v>63</v>
      </c>
    </row>
    <row r="134" spans="1:14" x14ac:dyDescent="0.2">
      <c r="A134" s="3" t="s">
        <v>20</v>
      </c>
      <c r="B134" s="6">
        <v>46171</v>
      </c>
      <c r="C134" s="3" t="s">
        <v>122</v>
      </c>
      <c r="D134" s="3" t="s">
        <v>455</v>
      </c>
      <c r="E134" s="4">
        <v>-118.94</v>
      </c>
      <c r="F134" s="3" t="s">
        <v>57</v>
      </c>
      <c r="G134" s="3" t="s">
        <v>70</v>
      </c>
      <c r="H134" s="3" t="s">
        <v>71</v>
      </c>
      <c r="I134" s="3" t="s">
        <v>124</v>
      </c>
      <c r="J134" s="4">
        <v>17037.14</v>
      </c>
      <c r="K134" s="3" t="s">
        <v>61</v>
      </c>
      <c r="L134" s="4">
        <v>118.94</v>
      </c>
      <c r="M134" s="3" t="s">
        <v>456</v>
      </c>
      <c r="N134" s="3" t="s">
        <v>63</v>
      </c>
    </row>
    <row r="135" spans="1:14" x14ac:dyDescent="0.2">
      <c r="A135" s="3" t="s">
        <v>20</v>
      </c>
      <c r="B135" s="6">
        <v>46171</v>
      </c>
      <c r="C135" s="3" t="s">
        <v>457</v>
      </c>
      <c r="D135" s="3" t="s">
        <v>458</v>
      </c>
      <c r="E135" s="4">
        <v>-10</v>
      </c>
      <c r="F135" s="3" t="s">
        <v>57</v>
      </c>
      <c r="G135" s="3" t="s">
        <v>459</v>
      </c>
      <c r="H135" s="3" t="s">
        <v>460</v>
      </c>
      <c r="I135" s="3" t="s">
        <v>461</v>
      </c>
      <c r="J135" s="4">
        <v>17027.14</v>
      </c>
      <c r="K135" s="3" t="s">
        <v>61</v>
      </c>
      <c r="L135" s="4">
        <v>10</v>
      </c>
      <c r="M135" s="3" t="s">
        <v>462</v>
      </c>
      <c r="N135" s="3" t="s">
        <v>63</v>
      </c>
    </row>
    <row r="136" spans="1:14" x14ac:dyDescent="0.2">
      <c r="A136" s="3" t="s">
        <v>20</v>
      </c>
      <c r="B136" s="6">
        <v>46171</v>
      </c>
      <c r="C136" s="3" t="s">
        <v>463</v>
      </c>
      <c r="D136" s="3" t="s">
        <v>464</v>
      </c>
      <c r="E136" s="4">
        <v>-10</v>
      </c>
      <c r="F136" s="3" t="s">
        <v>57</v>
      </c>
      <c r="G136" s="3" t="s">
        <v>58</v>
      </c>
      <c r="H136" s="3" t="s">
        <v>59</v>
      </c>
      <c r="I136" s="3" t="s">
        <v>465</v>
      </c>
      <c r="J136" s="4">
        <v>17017.14</v>
      </c>
      <c r="K136" s="3" t="s">
        <v>61</v>
      </c>
      <c r="L136" s="4">
        <v>10</v>
      </c>
      <c r="M136" s="3" t="s">
        <v>466</v>
      </c>
      <c r="N136" s="3" t="s">
        <v>63</v>
      </c>
    </row>
    <row r="137" spans="1:14" x14ac:dyDescent="0.2">
      <c r="A137" s="3" t="s">
        <v>20</v>
      </c>
      <c r="B137" s="6">
        <v>46171</v>
      </c>
      <c r="C137" s="3" t="s">
        <v>467</v>
      </c>
      <c r="D137" s="3" t="s">
        <v>468</v>
      </c>
      <c r="E137" s="4">
        <v>-17</v>
      </c>
      <c r="F137" s="3" t="s">
        <v>57</v>
      </c>
      <c r="G137" s="3" t="s">
        <v>58</v>
      </c>
      <c r="H137" s="3" t="s">
        <v>59</v>
      </c>
      <c r="I137" s="3" t="s">
        <v>469</v>
      </c>
      <c r="J137" s="4">
        <v>17000.14</v>
      </c>
      <c r="K137" s="3" t="s">
        <v>61</v>
      </c>
      <c r="L137" s="4">
        <v>17</v>
      </c>
      <c r="M137" s="3" t="s">
        <v>470</v>
      </c>
      <c r="N137" s="3" t="s">
        <v>63</v>
      </c>
    </row>
    <row r="138" spans="1:14" x14ac:dyDescent="0.2">
      <c r="A138" s="3" t="s">
        <v>20</v>
      </c>
      <c r="B138" s="6">
        <v>46171</v>
      </c>
      <c r="C138" s="3" t="s">
        <v>78</v>
      </c>
      <c r="D138" s="3" t="s">
        <v>471</v>
      </c>
      <c r="E138" s="4">
        <v>7.5</v>
      </c>
      <c r="F138" s="3" t="s">
        <v>80</v>
      </c>
      <c r="G138" s="3" t="s">
        <v>6</v>
      </c>
      <c r="H138" s="3" t="s">
        <v>78</v>
      </c>
      <c r="I138" s="3" t="s">
        <v>81</v>
      </c>
      <c r="J138" s="4">
        <v>17156.080000000002</v>
      </c>
      <c r="K138" s="3" t="s">
        <v>61</v>
      </c>
      <c r="L138" s="4">
        <v>7.5</v>
      </c>
      <c r="M138" s="3" t="s">
        <v>472</v>
      </c>
      <c r="N138" s="3" t="s">
        <v>63</v>
      </c>
    </row>
    <row r="139" spans="1:14" x14ac:dyDescent="0.2">
      <c r="A139" s="3" t="s">
        <v>20</v>
      </c>
      <c r="B139" s="6">
        <v>46172</v>
      </c>
      <c r="C139" s="3" t="s">
        <v>473</v>
      </c>
      <c r="D139" s="3" t="s">
        <v>474</v>
      </c>
      <c r="E139" s="4">
        <v>-144.65</v>
      </c>
      <c r="F139" s="3" t="s">
        <v>57</v>
      </c>
      <c r="G139" s="3" t="s">
        <v>90</v>
      </c>
      <c r="H139" s="3" t="s">
        <v>91</v>
      </c>
      <c r="I139" s="3" t="s">
        <v>475</v>
      </c>
      <c r="J139" s="4">
        <v>16855.490000000002</v>
      </c>
      <c r="K139" s="3" t="s">
        <v>61</v>
      </c>
      <c r="L139" s="4">
        <v>144.65</v>
      </c>
      <c r="M139" s="3" t="s">
        <v>476</v>
      </c>
      <c r="N139" s="3" t="s">
        <v>63</v>
      </c>
    </row>
    <row r="140" spans="1:14" x14ac:dyDescent="0.2">
      <c r="A140" s="3" t="s">
        <v>20</v>
      </c>
      <c r="B140" s="6">
        <v>46172</v>
      </c>
      <c r="C140" s="3" t="s">
        <v>473</v>
      </c>
      <c r="D140" s="3" t="s">
        <v>477</v>
      </c>
      <c r="E140" s="4">
        <v>-720.01</v>
      </c>
      <c r="F140" s="3" t="s">
        <v>57</v>
      </c>
      <c r="G140" s="3" t="s">
        <v>90</v>
      </c>
      <c r="H140" s="3" t="s">
        <v>91</v>
      </c>
      <c r="I140" s="3" t="s">
        <v>475</v>
      </c>
      <c r="J140" s="4">
        <v>16135.48</v>
      </c>
      <c r="K140" s="3" t="s">
        <v>61</v>
      </c>
      <c r="L140" s="4">
        <v>720.01</v>
      </c>
      <c r="M140" s="3" t="s">
        <v>478</v>
      </c>
      <c r="N140" s="3" t="s">
        <v>63</v>
      </c>
    </row>
    <row r="141" spans="1:14" x14ac:dyDescent="0.2">
      <c r="A141" s="3" t="s">
        <v>20</v>
      </c>
      <c r="B141" s="6">
        <v>46173</v>
      </c>
      <c r="C141" s="3" t="s">
        <v>55</v>
      </c>
      <c r="D141" s="3" t="s">
        <v>479</v>
      </c>
      <c r="E141" s="4">
        <v>-1110</v>
      </c>
      <c r="F141" s="3" t="s">
        <v>57</v>
      </c>
      <c r="G141" s="3" t="s">
        <v>58</v>
      </c>
      <c r="H141" s="3" t="s">
        <v>59</v>
      </c>
      <c r="I141" s="3" t="s">
        <v>60</v>
      </c>
      <c r="J141" s="4">
        <v>15025.48</v>
      </c>
      <c r="K141" s="3" t="s">
        <v>61</v>
      </c>
      <c r="L141" s="4">
        <v>1110</v>
      </c>
      <c r="M141" s="3" t="s">
        <v>480</v>
      </c>
      <c r="N141" s="3" t="s">
        <v>63</v>
      </c>
    </row>
    <row r="142" spans="1:14" x14ac:dyDescent="0.2">
      <c r="A142" s="3" t="s">
        <v>20</v>
      </c>
      <c r="B142" s="6">
        <v>46173</v>
      </c>
      <c r="C142" s="3" t="s">
        <v>481</v>
      </c>
      <c r="D142" s="3" t="s">
        <v>482</v>
      </c>
      <c r="E142" s="4">
        <v>-249.99</v>
      </c>
      <c r="F142" s="3" t="s">
        <v>57</v>
      </c>
      <c r="G142" s="3" t="s">
        <v>340</v>
      </c>
      <c r="H142" s="3" t="s">
        <v>341</v>
      </c>
      <c r="I142" s="3"/>
      <c r="J142" s="4">
        <v>14775.49</v>
      </c>
      <c r="K142" s="3" t="s">
        <v>61</v>
      </c>
      <c r="L142" s="4">
        <v>249.99</v>
      </c>
      <c r="M142" s="3" t="s">
        <v>483</v>
      </c>
      <c r="N142" s="3" t="s">
        <v>63</v>
      </c>
    </row>
    <row r="143" spans="1:14" x14ac:dyDescent="0.2">
      <c r="A143" s="3" t="s">
        <v>20</v>
      </c>
      <c r="B143" s="6">
        <v>46173</v>
      </c>
      <c r="C143" s="3" t="s">
        <v>338</v>
      </c>
      <c r="D143" s="3" t="s">
        <v>484</v>
      </c>
      <c r="E143" s="4">
        <v>-547.64</v>
      </c>
      <c r="F143" s="3" t="s">
        <v>57</v>
      </c>
      <c r="G143" s="3" t="s">
        <v>340</v>
      </c>
      <c r="H143" s="3" t="s">
        <v>341</v>
      </c>
      <c r="I143" s="3"/>
      <c r="J143" s="4">
        <v>14227.85</v>
      </c>
      <c r="K143" s="3" t="s">
        <v>61</v>
      </c>
      <c r="L143" s="4">
        <v>547.64</v>
      </c>
      <c r="M143" s="3" t="s">
        <v>485</v>
      </c>
      <c r="N143" s="3" t="s">
        <v>63</v>
      </c>
    </row>
    <row r="144" spans="1:14" x14ac:dyDescent="0.2">
      <c r="A144" s="3" t="s">
        <v>20</v>
      </c>
      <c r="B144" s="6">
        <v>46173</v>
      </c>
      <c r="C144" s="3" t="s">
        <v>68</v>
      </c>
      <c r="D144" s="3" t="s">
        <v>486</v>
      </c>
      <c r="E144" s="4">
        <v>-155.4</v>
      </c>
      <c r="F144" s="3" t="s">
        <v>57</v>
      </c>
      <c r="G144" s="3" t="s">
        <v>70</v>
      </c>
      <c r="H144" s="3" t="s">
        <v>71</v>
      </c>
      <c r="I144" s="3" t="s">
        <v>72</v>
      </c>
      <c r="J144" s="4">
        <v>14072.45</v>
      </c>
      <c r="K144" s="3" t="s">
        <v>61</v>
      </c>
      <c r="L144" s="4">
        <v>155.4</v>
      </c>
      <c r="M144" s="3" t="s">
        <v>487</v>
      </c>
      <c r="N144" s="3" t="s">
        <v>63</v>
      </c>
    </row>
    <row r="145" spans="1:14" x14ac:dyDescent="0.2">
      <c r="A145" s="3" t="s">
        <v>21</v>
      </c>
      <c r="B145" s="6">
        <v>46174</v>
      </c>
      <c r="C145" s="3" t="s">
        <v>74</v>
      </c>
      <c r="D145" s="3" t="s">
        <v>488</v>
      </c>
      <c r="E145" s="4">
        <v>-48.72</v>
      </c>
      <c r="F145" s="3" t="s">
        <v>57</v>
      </c>
      <c r="G145" s="3" t="s">
        <v>58</v>
      </c>
      <c r="H145" s="3" t="s">
        <v>59</v>
      </c>
      <c r="I145" s="3" t="s">
        <v>76</v>
      </c>
      <c r="J145" s="4">
        <v>14031.16</v>
      </c>
      <c r="K145" s="3" t="s">
        <v>489</v>
      </c>
      <c r="L145" s="4">
        <v>48.72</v>
      </c>
      <c r="M145" s="3" t="s">
        <v>490</v>
      </c>
      <c r="N145" s="3" t="s">
        <v>63</v>
      </c>
    </row>
    <row r="146" spans="1:14" x14ac:dyDescent="0.2">
      <c r="A146" s="3" t="s">
        <v>21</v>
      </c>
      <c r="B146" s="6">
        <v>46174</v>
      </c>
      <c r="C146" s="3" t="s">
        <v>122</v>
      </c>
      <c r="D146" s="3" t="s">
        <v>491</v>
      </c>
      <c r="E146" s="4">
        <v>-165.9</v>
      </c>
      <c r="F146" s="3" t="s">
        <v>57</v>
      </c>
      <c r="G146" s="3" t="s">
        <v>70</v>
      </c>
      <c r="H146" s="3" t="s">
        <v>71</v>
      </c>
      <c r="I146" s="3" t="s">
        <v>124</v>
      </c>
      <c r="J146" s="4">
        <v>13865.26</v>
      </c>
      <c r="K146" s="3" t="s">
        <v>489</v>
      </c>
      <c r="L146" s="4">
        <v>165.9</v>
      </c>
      <c r="M146" s="3" t="s">
        <v>492</v>
      </c>
      <c r="N146" s="3" t="s">
        <v>63</v>
      </c>
    </row>
    <row r="147" spans="1:14" x14ac:dyDescent="0.2">
      <c r="A147" s="3" t="s">
        <v>21</v>
      </c>
      <c r="B147" s="6">
        <v>46174</v>
      </c>
      <c r="C147" s="3" t="s">
        <v>74</v>
      </c>
      <c r="D147" s="3" t="s">
        <v>493</v>
      </c>
      <c r="E147" s="4">
        <v>-55.71</v>
      </c>
      <c r="F147" s="3" t="s">
        <v>57</v>
      </c>
      <c r="G147" s="3" t="s">
        <v>58</v>
      </c>
      <c r="H147" s="3" t="s">
        <v>59</v>
      </c>
      <c r="I147" s="3" t="s">
        <v>76</v>
      </c>
      <c r="J147" s="4">
        <v>13809.55</v>
      </c>
      <c r="K147" s="3" t="s">
        <v>489</v>
      </c>
      <c r="L147" s="4">
        <v>55.71</v>
      </c>
      <c r="M147" s="3" t="s">
        <v>494</v>
      </c>
      <c r="N147" s="3" t="s">
        <v>63</v>
      </c>
    </row>
    <row r="148" spans="1:14" x14ac:dyDescent="0.2">
      <c r="A148" s="3" t="s">
        <v>21</v>
      </c>
      <c r="B148" s="6">
        <v>46174</v>
      </c>
      <c r="C148" s="3" t="s">
        <v>78</v>
      </c>
      <c r="D148" s="3" t="s">
        <v>495</v>
      </c>
      <c r="E148" s="4">
        <v>7.43</v>
      </c>
      <c r="F148" s="3" t="s">
        <v>80</v>
      </c>
      <c r="G148" s="3" t="s">
        <v>6</v>
      </c>
      <c r="H148" s="3" t="s">
        <v>78</v>
      </c>
      <c r="I148" s="3" t="s">
        <v>81</v>
      </c>
      <c r="J148" s="4">
        <v>14079.88</v>
      </c>
      <c r="K148" s="3" t="s">
        <v>489</v>
      </c>
      <c r="L148" s="4">
        <v>7.43</v>
      </c>
      <c r="M148" s="3" t="s">
        <v>496</v>
      </c>
      <c r="N148" s="3" t="s">
        <v>63</v>
      </c>
    </row>
    <row r="149" spans="1:14" x14ac:dyDescent="0.2">
      <c r="A149" s="3" t="s">
        <v>21</v>
      </c>
      <c r="B149" s="6">
        <v>46175</v>
      </c>
      <c r="C149" s="3" t="s">
        <v>102</v>
      </c>
      <c r="D149" s="3" t="s">
        <v>497</v>
      </c>
      <c r="E149" s="4">
        <v>-119.4</v>
      </c>
      <c r="F149" s="3" t="s">
        <v>57</v>
      </c>
      <c r="G149" s="3" t="s">
        <v>70</v>
      </c>
      <c r="H149" s="3" t="s">
        <v>71</v>
      </c>
      <c r="I149" s="3" t="s">
        <v>104</v>
      </c>
      <c r="J149" s="4">
        <v>12596.13</v>
      </c>
      <c r="K149" s="3" t="s">
        <v>489</v>
      </c>
      <c r="L149" s="4">
        <v>119.4</v>
      </c>
      <c r="M149" s="3" t="s">
        <v>498</v>
      </c>
      <c r="N149" s="3" t="s">
        <v>63</v>
      </c>
    </row>
    <row r="150" spans="1:14" x14ac:dyDescent="0.2">
      <c r="A150" s="3" t="s">
        <v>21</v>
      </c>
      <c r="B150" s="6">
        <v>46175</v>
      </c>
      <c r="C150" s="3" t="s">
        <v>499</v>
      </c>
      <c r="D150" s="3" t="s">
        <v>500</v>
      </c>
      <c r="E150" s="4">
        <v>-100</v>
      </c>
      <c r="F150" s="3" t="s">
        <v>57</v>
      </c>
      <c r="G150" s="3" t="s">
        <v>58</v>
      </c>
      <c r="H150" s="3" t="s">
        <v>59</v>
      </c>
      <c r="I150" s="3" t="s">
        <v>501</v>
      </c>
      <c r="J150" s="4">
        <v>12715.53</v>
      </c>
      <c r="K150" s="3" t="s">
        <v>489</v>
      </c>
      <c r="L150" s="4">
        <v>100</v>
      </c>
      <c r="M150" s="3" t="s">
        <v>502</v>
      </c>
      <c r="N150" s="3" t="s">
        <v>63</v>
      </c>
    </row>
    <row r="151" spans="1:14" x14ac:dyDescent="0.2">
      <c r="A151" s="3" t="s">
        <v>21</v>
      </c>
      <c r="B151" s="6">
        <v>46175</v>
      </c>
      <c r="C151" s="3" t="s">
        <v>417</v>
      </c>
      <c r="D151" s="3" t="s">
        <v>503</v>
      </c>
      <c r="E151" s="4">
        <v>-1000</v>
      </c>
      <c r="F151" s="3" t="s">
        <v>57</v>
      </c>
      <c r="G151" s="3" t="s">
        <v>58</v>
      </c>
      <c r="H151" s="3" t="s">
        <v>59</v>
      </c>
      <c r="I151" s="3" t="s">
        <v>419</v>
      </c>
      <c r="J151" s="4">
        <v>12815.53</v>
      </c>
      <c r="K151" s="3" t="s">
        <v>489</v>
      </c>
      <c r="L151" s="4">
        <v>1000</v>
      </c>
      <c r="M151" s="3" t="s">
        <v>504</v>
      </c>
      <c r="N151" s="3" t="s">
        <v>63</v>
      </c>
    </row>
    <row r="152" spans="1:14" x14ac:dyDescent="0.2">
      <c r="A152" s="3" t="s">
        <v>21</v>
      </c>
      <c r="B152" s="6">
        <v>46175</v>
      </c>
      <c r="C152" s="3" t="s">
        <v>78</v>
      </c>
      <c r="D152" s="3" t="s">
        <v>505</v>
      </c>
      <c r="E152" s="4">
        <v>5.98</v>
      </c>
      <c r="F152" s="3" t="s">
        <v>80</v>
      </c>
      <c r="G152" s="3" t="s">
        <v>6</v>
      </c>
      <c r="H152" s="3" t="s">
        <v>78</v>
      </c>
      <c r="I152" s="3" t="s">
        <v>81</v>
      </c>
      <c r="J152" s="4">
        <v>13815.53</v>
      </c>
      <c r="K152" s="3" t="s">
        <v>489</v>
      </c>
      <c r="L152" s="4">
        <v>5.98</v>
      </c>
      <c r="M152" s="3" t="s">
        <v>506</v>
      </c>
      <c r="N152" s="3" t="s">
        <v>63</v>
      </c>
    </row>
    <row r="153" spans="1:14" x14ac:dyDescent="0.2">
      <c r="A153" s="3" t="s">
        <v>21</v>
      </c>
      <c r="B153" s="6">
        <v>46176</v>
      </c>
      <c r="C153" s="3" t="s">
        <v>94</v>
      </c>
      <c r="D153" s="3" t="s">
        <v>507</v>
      </c>
      <c r="E153" s="4">
        <v>-350</v>
      </c>
      <c r="F153" s="3" t="s">
        <v>57</v>
      </c>
      <c r="G153" s="3" t="s">
        <v>58</v>
      </c>
      <c r="H153" s="3" t="s">
        <v>59</v>
      </c>
      <c r="I153" s="3" t="s">
        <v>96</v>
      </c>
      <c r="J153" s="4">
        <v>11052.12</v>
      </c>
      <c r="K153" s="3" t="s">
        <v>489</v>
      </c>
      <c r="L153" s="4">
        <v>350</v>
      </c>
      <c r="M153" s="3" t="s">
        <v>508</v>
      </c>
      <c r="N153" s="3" t="s">
        <v>63</v>
      </c>
    </row>
    <row r="154" spans="1:14" x14ac:dyDescent="0.2">
      <c r="A154" s="3" t="s">
        <v>21</v>
      </c>
      <c r="B154" s="6">
        <v>46176</v>
      </c>
      <c r="C154" s="3" t="s">
        <v>509</v>
      </c>
      <c r="D154" s="3" t="s">
        <v>510</v>
      </c>
      <c r="E154" s="4">
        <v>-1200</v>
      </c>
      <c r="F154" s="3" t="s">
        <v>57</v>
      </c>
      <c r="G154" s="3" t="s">
        <v>58</v>
      </c>
      <c r="H154" s="3" t="s">
        <v>59</v>
      </c>
      <c r="I154" s="3" t="s">
        <v>511</v>
      </c>
      <c r="J154" s="4">
        <v>11402.12</v>
      </c>
      <c r="K154" s="3" t="s">
        <v>489</v>
      </c>
      <c r="L154" s="4">
        <v>1200</v>
      </c>
      <c r="M154" s="3" t="s">
        <v>512</v>
      </c>
      <c r="N154" s="3" t="s">
        <v>63</v>
      </c>
    </row>
    <row r="155" spans="1:14" x14ac:dyDescent="0.2">
      <c r="A155" s="3" t="s">
        <v>21</v>
      </c>
      <c r="B155" s="6">
        <v>46176</v>
      </c>
      <c r="C155" s="3" t="s">
        <v>78</v>
      </c>
      <c r="D155" s="3" t="s">
        <v>513</v>
      </c>
      <c r="E155" s="4">
        <v>5.99</v>
      </c>
      <c r="F155" s="3" t="s">
        <v>80</v>
      </c>
      <c r="G155" s="3" t="s">
        <v>6</v>
      </c>
      <c r="H155" s="3" t="s">
        <v>78</v>
      </c>
      <c r="I155" s="3" t="s">
        <v>81</v>
      </c>
      <c r="J155" s="4">
        <v>12602.12</v>
      </c>
      <c r="K155" s="3" t="s">
        <v>489</v>
      </c>
      <c r="L155" s="4">
        <v>5.99</v>
      </c>
      <c r="M155" s="3" t="s">
        <v>514</v>
      </c>
      <c r="N155" s="3" t="s">
        <v>63</v>
      </c>
    </row>
    <row r="156" spans="1:14" x14ac:dyDescent="0.2">
      <c r="A156" s="3" t="s">
        <v>21</v>
      </c>
      <c r="B156" s="6">
        <v>46177</v>
      </c>
      <c r="C156" s="3" t="s">
        <v>328</v>
      </c>
      <c r="D156" s="3" t="s">
        <v>515</v>
      </c>
      <c r="E156" s="4">
        <v>-103.08</v>
      </c>
      <c r="F156" s="3" t="s">
        <v>57</v>
      </c>
      <c r="G156" s="3" t="s">
        <v>70</v>
      </c>
      <c r="H156" s="3" t="s">
        <v>71</v>
      </c>
      <c r="I156" s="3" t="s">
        <v>330</v>
      </c>
      <c r="J156" s="4">
        <v>10949.04</v>
      </c>
      <c r="K156" s="3" t="s">
        <v>489</v>
      </c>
      <c r="L156" s="4">
        <v>103.08</v>
      </c>
      <c r="M156" s="3" t="s">
        <v>516</v>
      </c>
      <c r="N156" s="3" t="s">
        <v>63</v>
      </c>
    </row>
    <row r="157" spans="1:14" x14ac:dyDescent="0.2">
      <c r="A157" s="3" t="s">
        <v>21</v>
      </c>
      <c r="B157" s="6">
        <v>46177</v>
      </c>
      <c r="C157" s="3" t="s">
        <v>517</v>
      </c>
      <c r="D157" s="3" t="s">
        <v>518</v>
      </c>
      <c r="E157" s="4">
        <v>-29.5</v>
      </c>
      <c r="F157" s="3" t="s">
        <v>57</v>
      </c>
      <c r="G157" s="3" t="s">
        <v>405</v>
      </c>
      <c r="H157" s="3" t="s">
        <v>406</v>
      </c>
      <c r="I157" s="3" t="s">
        <v>519</v>
      </c>
      <c r="J157" s="4">
        <v>10883.06</v>
      </c>
      <c r="K157" s="3" t="s">
        <v>489</v>
      </c>
      <c r="L157" s="4">
        <v>29.5</v>
      </c>
      <c r="M157" s="3" t="s">
        <v>520</v>
      </c>
      <c r="N157" s="3" t="s">
        <v>63</v>
      </c>
    </row>
    <row r="158" spans="1:14" x14ac:dyDescent="0.2">
      <c r="A158" s="3" t="s">
        <v>21</v>
      </c>
      <c r="B158" s="6">
        <v>46177</v>
      </c>
      <c r="C158" s="3" t="s">
        <v>521</v>
      </c>
      <c r="D158" s="3" t="s">
        <v>522</v>
      </c>
      <c r="E158" s="4">
        <v>-16.989999999999998</v>
      </c>
      <c r="F158" s="3" t="s">
        <v>57</v>
      </c>
      <c r="G158" s="3" t="s">
        <v>297</v>
      </c>
      <c r="H158" s="3" t="s">
        <v>298</v>
      </c>
      <c r="I158" s="3" t="s">
        <v>523</v>
      </c>
      <c r="J158" s="4">
        <v>10854.57</v>
      </c>
      <c r="K158" s="3" t="s">
        <v>489</v>
      </c>
      <c r="L158" s="4">
        <v>16.989999999999998</v>
      </c>
      <c r="M158" s="3" t="s">
        <v>524</v>
      </c>
      <c r="N158" s="3" t="s">
        <v>63</v>
      </c>
    </row>
    <row r="159" spans="1:14" x14ac:dyDescent="0.2">
      <c r="A159" s="3" t="s">
        <v>21</v>
      </c>
      <c r="B159" s="6">
        <v>46177</v>
      </c>
      <c r="C159" s="3" t="s">
        <v>525</v>
      </c>
      <c r="D159" s="3" t="s">
        <v>526</v>
      </c>
      <c r="E159" s="4">
        <v>-11.5</v>
      </c>
      <c r="F159" s="3" t="s">
        <v>57</v>
      </c>
      <c r="G159" s="3" t="s">
        <v>70</v>
      </c>
      <c r="H159" s="3" t="s">
        <v>71</v>
      </c>
      <c r="I159" s="3" t="s">
        <v>527</v>
      </c>
      <c r="J159" s="4">
        <v>10871.56</v>
      </c>
      <c r="K159" s="3" t="s">
        <v>489</v>
      </c>
      <c r="L159" s="4">
        <v>11.5</v>
      </c>
      <c r="M159" s="3" t="s">
        <v>528</v>
      </c>
      <c r="N159" s="3" t="s">
        <v>63</v>
      </c>
    </row>
    <row r="160" spans="1:14" x14ac:dyDescent="0.2">
      <c r="A160" s="3" t="s">
        <v>21</v>
      </c>
      <c r="B160" s="6">
        <v>46177</v>
      </c>
      <c r="C160" s="3" t="s">
        <v>529</v>
      </c>
      <c r="D160" s="3" t="s">
        <v>530</v>
      </c>
      <c r="E160" s="4">
        <v>-50</v>
      </c>
      <c r="F160" s="3" t="s">
        <v>57</v>
      </c>
      <c r="G160" s="3" t="s">
        <v>58</v>
      </c>
      <c r="H160" s="3" t="s">
        <v>59</v>
      </c>
      <c r="I160" s="3" t="s">
        <v>531</v>
      </c>
      <c r="J160" s="4">
        <v>10804.57</v>
      </c>
      <c r="K160" s="3" t="s">
        <v>489</v>
      </c>
      <c r="L160" s="4">
        <v>50</v>
      </c>
      <c r="M160" s="3" t="s">
        <v>532</v>
      </c>
      <c r="N160" s="3" t="s">
        <v>63</v>
      </c>
    </row>
    <row r="161" spans="1:14" x14ac:dyDescent="0.2">
      <c r="A161" s="3" t="s">
        <v>21</v>
      </c>
      <c r="B161" s="6">
        <v>46177</v>
      </c>
      <c r="C161" s="3" t="s">
        <v>122</v>
      </c>
      <c r="D161" s="3" t="s">
        <v>533</v>
      </c>
      <c r="E161" s="4">
        <v>-36.479999999999997</v>
      </c>
      <c r="F161" s="3" t="s">
        <v>57</v>
      </c>
      <c r="G161" s="3" t="s">
        <v>70</v>
      </c>
      <c r="H161" s="3" t="s">
        <v>71</v>
      </c>
      <c r="I161" s="3" t="s">
        <v>124</v>
      </c>
      <c r="J161" s="4">
        <v>10912.56</v>
      </c>
      <c r="K161" s="3" t="s">
        <v>489</v>
      </c>
      <c r="L161" s="4">
        <v>36.479999999999997</v>
      </c>
      <c r="M161" s="3" t="s">
        <v>534</v>
      </c>
      <c r="N161" s="3" t="s">
        <v>63</v>
      </c>
    </row>
    <row r="162" spans="1:14" x14ac:dyDescent="0.2">
      <c r="A162" s="3" t="s">
        <v>21</v>
      </c>
      <c r="B162" s="6">
        <v>46178</v>
      </c>
      <c r="C162" s="3" t="s">
        <v>328</v>
      </c>
      <c r="D162" s="3" t="s">
        <v>535</v>
      </c>
      <c r="E162" s="4">
        <v>-34.33</v>
      </c>
      <c r="F162" s="3" t="s">
        <v>57</v>
      </c>
      <c r="G162" s="3" t="s">
        <v>70</v>
      </c>
      <c r="H162" s="3" t="s">
        <v>71</v>
      </c>
      <c r="I162" s="3" t="s">
        <v>330</v>
      </c>
      <c r="J162" s="4">
        <v>10775.19</v>
      </c>
      <c r="K162" s="3" t="s">
        <v>489</v>
      </c>
      <c r="L162" s="4">
        <v>34.33</v>
      </c>
      <c r="M162" s="3" t="s">
        <v>536</v>
      </c>
      <c r="N162" s="3" t="s">
        <v>63</v>
      </c>
    </row>
    <row r="163" spans="1:14" x14ac:dyDescent="0.2">
      <c r="A163" s="3" t="s">
        <v>21</v>
      </c>
      <c r="B163" s="6">
        <v>46178</v>
      </c>
      <c r="C163" s="3" t="s">
        <v>122</v>
      </c>
      <c r="D163" s="3" t="s">
        <v>537</v>
      </c>
      <c r="E163" s="4">
        <v>-83.49</v>
      </c>
      <c r="F163" s="3" t="s">
        <v>57</v>
      </c>
      <c r="G163" s="3" t="s">
        <v>70</v>
      </c>
      <c r="H163" s="3" t="s">
        <v>71</v>
      </c>
      <c r="I163" s="3" t="s">
        <v>124</v>
      </c>
      <c r="J163" s="4">
        <v>10691.7</v>
      </c>
      <c r="K163" s="3" t="s">
        <v>489</v>
      </c>
      <c r="L163" s="4">
        <v>83.49</v>
      </c>
      <c r="M163" s="3" t="s">
        <v>538</v>
      </c>
      <c r="N163" s="3" t="s">
        <v>63</v>
      </c>
    </row>
    <row r="164" spans="1:14" x14ac:dyDescent="0.2">
      <c r="A164" s="3" t="s">
        <v>21</v>
      </c>
      <c r="B164" s="6">
        <v>46178</v>
      </c>
      <c r="C164" s="3" t="s">
        <v>539</v>
      </c>
      <c r="D164" s="3" t="s">
        <v>540</v>
      </c>
      <c r="E164" s="4">
        <v>-500</v>
      </c>
      <c r="F164" s="3" t="s">
        <v>57</v>
      </c>
      <c r="G164" s="3" t="s">
        <v>58</v>
      </c>
      <c r="H164" s="3" t="s">
        <v>59</v>
      </c>
      <c r="I164" s="3" t="s">
        <v>541</v>
      </c>
      <c r="J164" s="4">
        <v>10191.700000000001</v>
      </c>
      <c r="K164" s="3" t="s">
        <v>489</v>
      </c>
      <c r="L164" s="4">
        <v>500</v>
      </c>
      <c r="M164" s="3" t="s">
        <v>542</v>
      </c>
      <c r="N164" s="3" t="s">
        <v>63</v>
      </c>
    </row>
    <row r="165" spans="1:14" x14ac:dyDescent="0.2">
      <c r="A165" s="3" t="s">
        <v>21</v>
      </c>
      <c r="B165" s="6">
        <v>46178</v>
      </c>
      <c r="C165" s="3" t="s">
        <v>78</v>
      </c>
      <c r="D165" s="3" t="s">
        <v>543</v>
      </c>
      <c r="E165" s="4">
        <v>4.95</v>
      </c>
      <c r="F165" s="3" t="s">
        <v>80</v>
      </c>
      <c r="G165" s="3" t="s">
        <v>6</v>
      </c>
      <c r="H165" s="3" t="s">
        <v>78</v>
      </c>
      <c r="I165" s="3" t="s">
        <v>81</v>
      </c>
      <c r="J165" s="4">
        <v>10809.52</v>
      </c>
      <c r="K165" s="3" t="s">
        <v>489</v>
      </c>
      <c r="L165" s="4">
        <v>4.95</v>
      </c>
      <c r="M165" s="3" t="s">
        <v>544</v>
      </c>
      <c r="N165" s="3" t="s">
        <v>63</v>
      </c>
    </row>
    <row r="166" spans="1:14" x14ac:dyDescent="0.2">
      <c r="A166" s="3" t="s">
        <v>21</v>
      </c>
      <c r="B166" s="6">
        <v>46179</v>
      </c>
      <c r="C166" s="3" t="s">
        <v>332</v>
      </c>
      <c r="D166" s="3" t="s">
        <v>545</v>
      </c>
      <c r="E166" s="4">
        <v>-124.59</v>
      </c>
      <c r="F166" s="3" t="s">
        <v>57</v>
      </c>
      <c r="G166" s="3" t="s">
        <v>70</v>
      </c>
      <c r="H166" s="3" t="s">
        <v>71</v>
      </c>
      <c r="I166" s="3" t="s">
        <v>334</v>
      </c>
      <c r="J166" s="4">
        <v>10053.620000000001</v>
      </c>
      <c r="K166" s="3" t="s">
        <v>489</v>
      </c>
      <c r="L166" s="4">
        <v>124.59</v>
      </c>
      <c r="M166" s="3" t="s">
        <v>546</v>
      </c>
      <c r="N166" s="3" t="s">
        <v>63</v>
      </c>
    </row>
    <row r="167" spans="1:14" x14ac:dyDescent="0.2">
      <c r="A167" s="3" t="s">
        <v>21</v>
      </c>
      <c r="B167" s="6">
        <v>46179</v>
      </c>
      <c r="C167" s="3" t="s">
        <v>547</v>
      </c>
      <c r="D167" s="3" t="s">
        <v>548</v>
      </c>
      <c r="E167" s="4">
        <v>-15</v>
      </c>
      <c r="F167" s="3" t="s">
        <v>57</v>
      </c>
      <c r="G167" s="3" t="s">
        <v>58</v>
      </c>
      <c r="H167" s="3" t="s">
        <v>59</v>
      </c>
      <c r="I167" s="3" t="s">
        <v>549</v>
      </c>
      <c r="J167" s="4">
        <v>7908.62</v>
      </c>
      <c r="K167" s="3" t="s">
        <v>489</v>
      </c>
      <c r="L167" s="4">
        <v>15</v>
      </c>
      <c r="M167" s="3" t="s">
        <v>550</v>
      </c>
      <c r="N167" s="3" t="s">
        <v>63</v>
      </c>
    </row>
    <row r="168" spans="1:14" x14ac:dyDescent="0.2">
      <c r="A168" s="3" t="s">
        <v>21</v>
      </c>
      <c r="B168" s="6">
        <v>46179</v>
      </c>
      <c r="C168" s="3" t="s">
        <v>148</v>
      </c>
      <c r="D168" s="3" t="s">
        <v>551</v>
      </c>
      <c r="E168" s="4">
        <v>-32</v>
      </c>
      <c r="F168" s="3" t="s">
        <v>57</v>
      </c>
      <c r="G168" s="3" t="s">
        <v>150</v>
      </c>
      <c r="H168" s="3" t="s">
        <v>151</v>
      </c>
      <c r="I168" s="3" t="s">
        <v>152</v>
      </c>
      <c r="J168" s="4">
        <v>7876.62</v>
      </c>
      <c r="K168" s="3" t="s">
        <v>489</v>
      </c>
      <c r="L168" s="4">
        <v>32</v>
      </c>
      <c r="M168" s="3" t="s">
        <v>552</v>
      </c>
      <c r="N168" s="3" t="s">
        <v>63</v>
      </c>
    </row>
    <row r="169" spans="1:14" x14ac:dyDescent="0.2">
      <c r="A169" s="3" t="s">
        <v>21</v>
      </c>
      <c r="B169" s="6">
        <v>46179</v>
      </c>
      <c r="C169" s="3" t="s">
        <v>553</v>
      </c>
      <c r="D169" s="3" t="s">
        <v>554</v>
      </c>
      <c r="E169" s="4">
        <v>-94.7</v>
      </c>
      <c r="F169" s="3" t="s">
        <v>57</v>
      </c>
      <c r="G169" s="3" t="s">
        <v>150</v>
      </c>
      <c r="H169" s="3" t="s">
        <v>151</v>
      </c>
      <c r="I169" s="3" t="s">
        <v>555</v>
      </c>
      <c r="J169" s="4">
        <v>7781.92</v>
      </c>
      <c r="K169" s="3" t="s">
        <v>489</v>
      </c>
      <c r="L169" s="4">
        <v>94.7</v>
      </c>
      <c r="M169" s="3" t="s">
        <v>556</v>
      </c>
      <c r="N169" s="3" t="s">
        <v>63</v>
      </c>
    </row>
    <row r="170" spans="1:14" x14ac:dyDescent="0.2">
      <c r="A170" s="3" t="s">
        <v>21</v>
      </c>
      <c r="B170" s="6">
        <v>46179</v>
      </c>
      <c r="C170" s="3" t="s">
        <v>557</v>
      </c>
      <c r="D170" s="3" t="s">
        <v>558</v>
      </c>
      <c r="E170" s="4">
        <v>-13.49</v>
      </c>
      <c r="F170" s="3" t="s">
        <v>57</v>
      </c>
      <c r="G170" s="3" t="s">
        <v>297</v>
      </c>
      <c r="H170" s="3" t="s">
        <v>298</v>
      </c>
      <c r="I170" s="3" t="s">
        <v>557</v>
      </c>
      <c r="J170" s="4">
        <v>10178.209999999999</v>
      </c>
      <c r="K170" s="3" t="s">
        <v>489</v>
      </c>
      <c r="L170" s="4">
        <v>13.49</v>
      </c>
      <c r="M170" s="3" t="s">
        <v>559</v>
      </c>
      <c r="N170" s="3" t="s">
        <v>63</v>
      </c>
    </row>
    <row r="171" spans="1:14" x14ac:dyDescent="0.2">
      <c r="A171" s="3" t="s">
        <v>21</v>
      </c>
      <c r="B171" s="6">
        <v>46179</v>
      </c>
      <c r="C171" s="3" t="s">
        <v>276</v>
      </c>
      <c r="D171" s="3" t="s">
        <v>560</v>
      </c>
      <c r="E171" s="4">
        <v>-2130</v>
      </c>
      <c r="F171" s="3" t="s">
        <v>57</v>
      </c>
      <c r="G171" s="3" t="s">
        <v>58</v>
      </c>
      <c r="H171" s="3" t="s">
        <v>59</v>
      </c>
      <c r="I171" s="3" t="s">
        <v>278</v>
      </c>
      <c r="J171" s="4">
        <v>7923.62</v>
      </c>
      <c r="K171" s="3" t="s">
        <v>489</v>
      </c>
      <c r="L171" s="4">
        <v>2130</v>
      </c>
      <c r="M171" s="3" t="s">
        <v>561</v>
      </c>
      <c r="N171" s="3" t="s">
        <v>63</v>
      </c>
    </row>
    <row r="172" spans="1:14" x14ac:dyDescent="0.2">
      <c r="A172" s="3" t="s">
        <v>21</v>
      </c>
      <c r="B172" s="6">
        <v>46181</v>
      </c>
      <c r="C172" s="3" t="s">
        <v>64</v>
      </c>
      <c r="D172" s="3" t="s">
        <v>562</v>
      </c>
      <c r="E172" s="4">
        <v>-180</v>
      </c>
      <c r="F172" s="3" t="s">
        <v>57</v>
      </c>
      <c r="G172" s="3" t="s">
        <v>58</v>
      </c>
      <c r="H172" s="3" t="s">
        <v>59</v>
      </c>
      <c r="I172" s="3" t="s">
        <v>66</v>
      </c>
      <c r="J172" s="4">
        <v>7606.55</v>
      </c>
      <c r="K172" s="3" t="s">
        <v>489</v>
      </c>
      <c r="L172" s="4">
        <v>180</v>
      </c>
      <c r="M172" s="3" t="s">
        <v>563</v>
      </c>
      <c r="N172" s="3" t="s">
        <v>63</v>
      </c>
    </row>
    <row r="173" spans="1:14" x14ac:dyDescent="0.2">
      <c r="A173" s="3" t="s">
        <v>21</v>
      </c>
      <c r="B173" s="6">
        <v>46181</v>
      </c>
      <c r="C173" s="3" t="s">
        <v>78</v>
      </c>
      <c r="D173" s="3" t="s">
        <v>564</v>
      </c>
      <c r="E173" s="4">
        <v>4.63</v>
      </c>
      <c r="F173" s="3" t="s">
        <v>80</v>
      </c>
      <c r="G173" s="3" t="s">
        <v>6</v>
      </c>
      <c r="H173" s="3" t="s">
        <v>78</v>
      </c>
      <c r="I173" s="3" t="s">
        <v>81</v>
      </c>
      <c r="J173" s="4">
        <v>7786.55</v>
      </c>
      <c r="K173" s="3" t="s">
        <v>489</v>
      </c>
      <c r="L173" s="4">
        <v>4.63</v>
      </c>
      <c r="M173" s="3" t="s">
        <v>565</v>
      </c>
      <c r="N173" s="3" t="s">
        <v>63</v>
      </c>
    </row>
    <row r="174" spans="1:14" x14ac:dyDescent="0.2">
      <c r="A174" s="3" t="s">
        <v>21</v>
      </c>
      <c r="B174" s="6">
        <v>46182</v>
      </c>
      <c r="C174" s="3" t="s">
        <v>78</v>
      </c>
      <c r="D174" s="3" t="s">
        <v>566</v>
      </c>
      <c r="E174" s="4">
        <v>3.3</v>
      </c>
      <c r="F174" s="3" t="s">
        <v>80</v>
      </c>
      <c r="G174" s="3" t="s">
        <v>6</v>
      </c>
      <c r="H174" s="3" t="s">
        <v>78</v>
      </c>
      <c r="I174" s="3" t="s">
        <v>81</v>
      </c>
      <c r="J174" s="4">
        <v>7609.85</v>
      </c>
      <c r="K174" s="3" t="s">
        <v>489</v>
      </c>
      <c r="L174" s="4">
        <v>3.3</v>
      </c>
      <c r="M174" s="3" t="s">
        <v>567</v>
      </c>
      <c r="N174" s="3" t="s">
        <v>63</v>
      </c>
    </row>
    <row r="175" spans="1:14" x14ac:dyDescent="0.2">
      <c r="A175" s="3" t="s">
        <v>21</v>
      </c>
      <c r="B175" s="6">
        <v>46183</v>
      </c>
      <c r="C175" s="3" t="s">
        <v>290</v>
      </c>
      <c r="D175" s="3" t="s">
        <v>568</v>
      </c>
      <c r="E175" s="4">
        <v>-6813.48</v>
      </c>
      <c r="F175" s="3" t="s">
        <v>57</v>
      </c>
      <c r="G175" s="3" t="s">
        <v>292</v>
      </c>
      <c r="H175" s="3" t="s">
        <v>293</v>
      </c>
      <c r="I175" s="3"/>
      <c r="J175" s="4">
        <v>799.66</v>
      </c>
      <c r="K175" s="3" t="s">
        <v>489</v>
      </c>
      <c r="L175" s="4">
        <v>6813.48</v>
      </c>
      <c r="M175" s="3" t="s">
        <v>569</v>
      </c>
      <c r="N175" s="3" t="s">
        <v>63</v>
      </c>
    </row>
    <row r="176" spans="1:14" x14ac:dyDescent="0.2">
      <c r="A176" s="3" t="s">
        <v>21</v>
      </c>
      <c r="B176" s="6">
        <v>46183</v>
      </c>
      <c r="C176" s="3" t="s">
        <v>78</v>
      </c>
      <c r="D176" s="3" t="s">
        <v>570</v>
      </c>
      <c r="E176" s="4">
        <v>3.29</v>
      </c>
      <c r="F176" s="3" t="s">
        <v>80</v>
      </c>
      <c r="G176" s="3" t="s">
        <v>6</v>
      </c>
      <c r="H176" s="3" t="s">
        <v>78</v>
      </c>
      <c r="I176" s="3" t="s">
        <v>81</v>
      </c>
      <c r="J176" s="4">
        <v>7613.14</v>
      </c>
      <c r="K176" s="3" t="s">
        <v>489</v>
      </c>
      <c r="L176" s="4">
        <v>3.29</v>
      </c>
      <c r="M176" s="3" t="s">
        <v>571</v>
      </c>
      <c r="N176" s="3" t="s">
        <v>63</v>
      </c>
    </row>
    <row r="177" spans="1:14" x14ac:dyDescent="0.2">
      <c r="A177" s="3" t="s">
        <v>21</v>
      </c>
      <c r="B177" s="6">
        <v>46184</v>
      </c>
      <c r="C177" s="3" t="s">
        <v>78</v>
      </c>
      <c r="D177" s="3" t="s">
        <v>572</v>
      </c>
      <c r="E177" s="4">
        <v>0.35</v>
      </c>
      <c r="F177" s="3" t="s">
        <v>80</v>
      </c>
      <c r="G177" s="3" t="s">
        <v>6</v>
      </c>
      <c r="H177" s="3" t="s">
        <v>78</v>
      </c>
      <c r="I177" s="3" t="s">
        <v>81</v>
      </c>
      <c r="J177" s="4">
        <v>800.01</v>
      </c>
      <c r="K177" s="3" t="s">
        <v>489</v>
      </c>
      <c r="L177" s="4">
        <v>0.35</v>
      </c>
      <c r="M177" s="3" t="s">
        <v>573</v>
      </c>
      <c r="N177" s="3" t="s">
        <v>63</v>
      </c>
    </row>
    <row r="178" spans="1:14" x14ac:dyDescent="0.2">
      <c r="A178" s="3" t="s">
        <v>21</v>
      </c>
      <c r="B178" s="6">
        <v>46185</v>
      </c>
      <c r="C178" s="3" t="s">
        <v>78</v>
      </c>
      <c r="D178" s="3" t="s">
        <v>574</v>
      </c>
      <c r="E178" s="4">
        <v>0.35</v>
      </c>
      <c r="F178" s="3" t="s">
        <v>80</v>
      </c>
      <c r="G178" s="3" t="s">
        <v>6</v>
      </c>
      <c r="H178" s="3" t="s">
        <v>78</v>
      </c>
      <c r="I178" s="3" t="s">
        <v>81</v>
      </c>
      <c r="J178" s="4">
        <v>800.36</v>
      </c>
      <c r="K178" s="3" t="s">
        <v>489</v>
      </c>
      <c r="L178" s="4">
        <v>0.35</v>
      </c>
      <c r="M178" s="3" t="s">
        <v>575</v>
      </c>
      <c r="N178" s="3" t="s">
        <v>63</v>
      </c>
    </row>
    <row r="179" spans="1:14" x14ac:dyDescent="0.2">
      <c r="A179" s="3" t="s">
        <v>21</v>
      </c>
      <c r="B179" s="6">
        <v>46186</v>
      </c>
      <c r="C179" s="3" t="s">
        <v>276</v>
      </c>
      <c r="D179" s="3" t="s">
        <v>576</v>
      </c>
      <c r="E179" s="4">
        <v>-150</v>
      </c>
      <c r="F179" s="3" t="s">
        <v>57</v>
      </c>
      <c r="G179" s="3" t="s">
        <v>58</v>
      </c>
      <c r="H179" s="3" t="s">
        <v>59</v>
      </c>
      <c r="I179" s="3" t="s">
        <v>278</v>
      </c>
      <c r="J179" s="4">
        <v>650.36</v>
      </c>
      <c r="K179" s="3" t="s">
        <v>489</v>
      </c>
      <c r="L179" s="4">
        <v>150</v>
      </c>
      <c r="M179" s="3" t="s">
        <v>577</v>
      </c>
      <c r="N179" s="3" t="s">
        <v>63</v>
      </c>
    </row>
    <row r="180" spans="1:14" x14ac:dyDescent="0.2">
      <c r="A180" s="3" t="s">
        <v>21</v>
      </c>
      <c r="B180" s="6">
        <v>46187</v>
      </c>
      <c r="C180" s="3" t="s">
        <v>55</v>
      </c>
      <c r="D180" s="3" t="s">
        <v>578</v>
      </c>
      <c r="E180" s="4">
        <v>-590</v>
      </c>
      <c r="F180" s="3" t="s">
        <v>57</v>
      </c>
      <c r="G180" s="3" t="s">
        <v>58</v>
      </c>
      <c r="H180" s="3" t="s">
        <v>59</v>
      </c>
      <c r="I180" s="3" t="s">
        <v>60</v>
      </c>
      <c r="J180" s="4">
        <v>60.36</v>
      </c>
      <c r="K180" s="3" t="s">
        <v>489</v>
      </c>
      <c r="L180" s="4">
        <v>590</v>
      </c>
      <c r="M180" s="3" t="s">
        <v>579</v>
      </c>
      <c r="N180" s="3" t="s">
        <v>63</v>
      </c>
    </row>
    <row r="181" spans="1:14" x14ac:dyDescent="0.2">
      <c r="A181" s="3" t="s">
        <v>21</v>
      </c>
      <c r="B181" s="6">
        <v>46188</v>
      </c>
      <c r="C181" s="3" t="s">
        <v>78</v>
      </c>
      <c r="D181" s="3" t="s">
        <v>580</v>
      </c>
      <c r="E181" s="4">
        <v>0.35</v>
      </c>
      <c r="F181" s="3" t="s">
        <v>80</v>
      </c>
      <c r="G181" s="3" t="s">
        <v>6</v>
      </c>
      <c r="H181" s="3" t="s">
        <v>78</v>
      </c>
      <c r="I181" s="3" t="s">
        <v>81</v>
      </c>
      <c r="J181" s="4">
        <v>60.71</v>
      </c>
      <c r="K181" s="3" t="s">
        <v>489</v>
      </c>
      <c r="L181" s="4">
        <v>0.35</v>
      </c>
      <c r="M181" s="3" t="s">
        <v>581</v>
      </c>
      <c r="N181" s="3" t="s">
        <v>63</v>
      </c>
    </row>
    <row r="182" spans="1:14" x14ac:dyDescent="0.2">
      <c r="A182" s="3" t="s">
        <v>21</v>
      </c>
      <c r="B182" s="6">
        <v>46189</v>
      </c>
      <c r="C182" s="3" t="s">
        <v>78</v>
      </c>
      <c r="D182" s="3" t="s">
        <v>582</v>
      </c>
      <c r="E182" s="4">
        <v>0.03</v>
      </c>
      <c r="F182" s="3" t="s">
        <v>80</v>
      </c>
      <c r="G182" s="3" t="s">
        <v>6</v>
      </c>
      <c r="H182" s="3" t="s">
        <v>78</v>
      </c>
      <c r="I182" s="3" t="s">
        <v>81</v>
      </c>
      <c r="J182" s="4">
        <v>60.74</v>
      </c>
      <c r="K182" s="3" t="s">
        <v>489</v>
      </c>
      <c r="L182" s="4">
        <v>0.03</v>
      </c>
      <c r="M182" s="3" t="s">
        <v>583</v>
      </c>
      <c r="N182" s="3" t="s">
        <v>63</v>
      </c>
    </row>
    <row r="183" spans="1:14" x14ac:dyDescent="0.2">
      <c r="A183" s="3" t="s">
        <v>21</v>
      </c>
      <c r="B183" s="6">
        <v>46190</v>
      </c>
      <c r="C183" s="3" t="s">
        <v>78</v>
      </c>
      <c r="D183" s="3" t="s">
        <v>584</v>
      </c>
      <c r="E183" s="4">
        <v>0.03</v>
      </c>
      <c r="F183" s="3" t="s">
        <v>80</v>
      </c>
      <c r="G183" s="3" t="s">
        <v>6</v>
      </c>
      <c r="H183" s="3" t="s">
        <v>78</v>
      </c>
      <c r="I183" s="3" t="s">
        <v>81</v>
      </c>
      <c r="J183" s="4">
        <v>60.77</v>
      </c>
      <c r="K183" s="3" t="s">
        <v>489</v>
      </c>
      <c r="L183" s="4">
        <v>0.03</v>
      </c>
      <c r="M183" s="3" t="s">
        <v>585</v>
      </c>
      <c r="N183" s="3" t="s">
        <v>63</v>
      </c>
    </row>
    <row r="184" spans="1:14" x14ac:dyDescent="0.2">
      <c r="A184" s="3" t="s">
        <v>21</v>
      </c>
      <c r="B184" s="6">
        <v>46191</v>
      </c>
      <c r="C184" s="3" t="s">
        <v>78</v>
      </c>
      <c r="D184" s="3" t="s">
        <v>586</v>
      </c>
      <c r="E184" s="4">
        <v>0.02</v>
      </c>
      <c r="F184" s="3" t="s">
        <v>80</v>
      </c>
      <c r="G184" s="3" t="s">
        <v>6</v>
      </c>
      <c r="H184" s="3" t="s">
        <v>78</v>
      </c>
      <c r="I184" s="3" t="s">
        <v>81</v>
      </c>
      <c r="J184" s="4">
        <v>60.79</v>
      </c>
      <c r="K184" s="3" t="s">
        <v>489</v>
      </c>
      <c r="L184" s="4">
        <v>0.02</v>
      </c>
      <c r="M184" s="3" t="s">
        <v>587</v>
      </c>
      <c r="N184" s="3" t="s">
        <v>63</v>
      </c>
    </row>
    <row r="185" spans="1:14" x14ac:dyDescent="0.2">
      <c r="A185" s="3" t="s">
        <v>21</v>
      </c>
      <c r="B185" s="6">
        <v>46192</v>
      </c>
      <c r="C185" s="3" t="s">
        <v>403</v>
      </c>
      <c r="D185" s="3" t="s">
        <v>588</v>
      </c>
      <c r="E185" s="4">
        <v>-32.99</v>
      </c>
      <c r="F185" s="3" t="s">
        <v>57</v>
      </c>
      <c r="G185" s="3" t="s">
        <v>405</v>
      </c>
      <c r="H185" s="3" t="s">
        <v>406</v>
      </c>
      <c r="I185" s="3" t="s">
        <v>407</v>
      </c>
      <c r="J185" s="4">
        <v>27.83</v>
      </c>
      <c r="K185" s="3" t="s">
        <v>489</v>
      </c>
      <c r="L185" s="4">
        <v>32.99</v>
      </c>
      <c r="M185" s="3" t="s">
        <v>589</v>
      </c>
      <c r="N185" s="3" t="s">
        <v>63</v>
      </c>
    </row>
    <row r="186" spans="1:14" x14ac:dyDescent="0.2">
      <c r="A186" s="3" t="s">
        <v>21</v>
      </c>
      <c r="B186" s="6">
        <v>46192</v>
      </c>
      <c r="C186" s="3" t="s">
        <v>78</v>
      </c>
      <c r="D186" s="3" t="s">
        <v>590</v>
      </c>
      <c r="E186" s="4">
        <v>0.03</v>
      </c>
      <c r="F186" s="3" t="s">
        <v>80</v>
      </c>
      <c r="G186" s="3" t="s">
        <v>6</v>
      </c>
      <c r="H186" s="3" t="s">
        <v>78</v>
      </c>
      <c r="I186" s="3" t="s">
        <v>81</v>
      </c>
      <c r="J186" s="4">
        <v>60.82</v>
      </c>
      <c r="K186" s="3" t="s">
        <v>489</v>
      </c>
      <c r="L186" s="4">
        <v>0.03</v>
      </c>
      <c r="M186" s="3" t="s">
        <v>591</v>
      </c>
      <c r="N186" s="3" t="s">
        <v>63</v>
      </c>
    </row>
    <row r="187" spans="1:14" x14ac:dyDescent="0.2">
      <c r="A187" s="3" t="s">
        <v>21</v>
      </c>
      <c r="B187" s="6">
        <v>46194</v>
      </c>
      <c r="C187" s="3" t="s">
        <v>403</v>
      </c>
      <c r="D187" s="3" t="s">
        <v>592</v>
      </c>
      <c r="E187" s="4">
        <v>-26.95</v>
      </c>
      <c r="F187" s="3" t="s">
        <v>57</v>
      </c>
      <c r="G187" s="3" t="s">
        <v>405</v>
      </c>
      <c r="H187" s="3" t="s">
        <v>406</v>
      </c>
      <c r="I187" s="3" t="s">
        <v>407</v>
      </c>
      <c r="J187" s="4">
        <v>0.88</v>
      </c>
      <c r="K187" s="3" t="s">
        <v>489</v>
      </c>
      <c r="L187" s="4">
        <v>26.95</v>
      </c>
      <c r="M187" s="3" t="s">
        <v>593</v>
      </c>
      <c r="N187" s="3" t="s">
        <v>63</v>
      </c>
    </row>
    <row r="188" spans="1:14" x14ac:dyDescent="0.2">
      <c r="A188" s="3" t="s">
        <v>21</v>
      </c>
      <c r="B188" s="6">
        <v>46195</v>
      </c>
      <c r="C188" s="3" t="s">
        <v>78</v>
      </c>
      <c r="D188" s="3" t="s">
        <v>594</v>
      </c>
      <c r="E188" s="4">
        <v>0.01</v>
      </c>
      <c r="F188" s="3" t="s">
        <v>80</v>
      </c>
      <c r="G188" s="3" t="s">
        <v>6</v>
      </c>
      <c r="H188" s="3" t="s">
        <v>78</v>
      </c>
      <c r="I188" s="3" t="s">
        <v>81</v>
      </c>
      <c r="J188" s="4">
        <v>0.89</v>
      </c>
      <c r="K188" s="3" t="s">
        <v>489</v>
      </c>
      <c r="L188" s="4">
        <v>0.01</v>
      </c>
      <c r="M188" s="3" t="s">
        <v>595</v>
      </c>
      <c r="N188" s="3" t="s">
        <v>63</v>
      </c>
    </row>
    <row r="189" spans="1:14" x14ac:dyDescent="0.2">
      <c r="A189" s="3" t="s">
        <v>21</v>
      </c>
      <c r="B189" s="6">
        <v>46202</v>
      </c>
      <c r="C189" s="3" t="s">
        <v>445</v>
      </c>
      <c r="D189" s="3" t="s">
        <v>596</v>
      </c>
      <c r="E189" s="4">
        <v>17000</v>
      </c>
      <c r="F189" s="3" t="s">
        <v>80</v>
      </c>
      <c r="G189" s="3" t="s">
        <v>270</v>
      </c>
      <c r="H189" s="3" t="s">
        <v>271</v>
      </c>
      <c r="I189" s="3" t="s">
        <v>447</v>
      </c>
      <c r="J189" s="4">
        <v>17000.89</v>
      </c>
      <c r="K189" s="3" t="s">
        <v>489</v>
      </c>
      <c r="L189" s="4">
        <v>17000</v>
      </c>
      <c r="M189" s="3" t="s">
        <v>597</v>
      </c>
      <c r="N189" s="3" t="s">
        <v>63</v>
      </c>
    </row>
    <row r="190" spans="1:14" x14ac:dyDescent="0.2">
      <c r="A190" s="3" t="s">
        <v>21</v>
      </c>
      <c r="B190" s="6">
        <v>46203</v>
      </c>
      <c r="C190" s="3" t="s">
        <v>268</v>
      </c>
      <c r="D190" s="3" t="s">
        <v>598</v>
      </c>
      <c r="E190" s="4">
        <v>7107.05</v>
      </c>
      <c r="F190" s="3" t="s">
        <v>80</v>
      </c>
      <c r="G190" s="3" t="s">
        <v>270</v>
      </c>
      <c r="H190" s="3" t="s">
        <v>271</v>
      </c>
      <c r="I190" s="3" t="s">
        <v>272</v>
      </c>
      <c r="J190" s="4">
        <v>24115.19</v>
      </c>
      <c r="K190" s="3" t="s">
        <v>489</v>
      </c>
      <c r="L190" s="4">
        <v>7107.05</v>
      </c>
      <c r="M190" s="3" t="s">
        <v>599</v>
      </c>
      <c r="N190" s="3" t="s">
        <v>63</v>
      </c>
    </row>
    <row r="191" spans="1:14" x14ac:dyDescent="0.2">
      <c r="A191" s="3" t="s">
        <v>21</v>
      </c>
      <c r="B191" s="6">
        <v>46203</v>
      </c>
      <c r="C191" s="3" t="s">
        <v>78</v>
      </c>
      <c r="D191" s="3" t="s">
        <v>600</v>
      </c>
      <c r="E191" s="4">
        <v>7.25</v>
      </c>
      <c r="F191" s="3" t="s">
        <v>80</v>
      </c>
      <c r="G191" s="3" t="s">
        <v>6</v>
      </c>
      <c r="H191" s="3" t="s">
        <v>78</v>
      </c>
      <c r="I191" s="3" t="s">
        <v>81</v>
      </c>
      <c r="J191" s="4">
        <v>17008.14</v>
      </c>
      <c r="K191" s="3" t="s">
        <v>489</v>
      </c>
      <c r="L191" s="4">
        <v>7.25</v>
      </c>
      <c r="M191" s="3" t="s">
        <v>601</v>
      </c>
      <c r="N191" s="3" t="s">
        <v>63</v>
      </c>
    </row>
    <row r="192" spans="1:14" x14ac:dyDescent="0.2">
      <c r="A192" s="3" t="s">
        <v>22</v>
      </c>
      <c r="B192" s="6">
        <v>46204</v>
      </c>
      <c r="C192" s="3" t="s">
        <v>602</v>
      </c>
      <c r="D192" s="3" t="s">
        <v>603</v>
      </c>
      <c r="E192" s="4">
        <v>-350</v>
      </c>
      <c r="F192" s="3" t="s">
        <v>57</v>
      </c>
      <c r="G192" s="3" t="s">
        <v>58</v>
      </c>
      <c r="H192" s="3" t="s">
        <v>59</v>
      </c>
      <c r="I192" s="3" t="s">
        <v>604</v>
      </c>
      <c r="J192" s="4">
        <v>19775.39</v>
      </c>
      <c r="K192" s="3" t="s">
        <v>605</v>
      </c>
      <c r="L192" s="4">
        <v>350</v>
      </c>
      <c r="M192" s="3" t="s">
        <v>606</v>
      </c>
      <c r="N192" s="3" t="s">
        <v>63</v>
      </c>
    </row>
    <row r="193" spans="1:14" x14ac:dyDescent="0.2">
      <c r="A193" s="3" t="s">
        <v>22</v>
      </c>
      <c r="B193" s="6">
        <v>46204</v>
      </c>
      <c r="C193" s="3" t="s">
        <v>276</v>
      </c>
      <c r="D193" s="3" t="s">
        <v>607</v>
      </c>
      <c r="E193" s="4">
        <v>-1180</v>
      </c>
      <c r="F193" s="3" t="s">
        <v>57</v>
      </c>
      <c r="G193" s="3" t="s">
        <v>58</v>
      </c>
      <c r="H193" s="3" t="s">
        <v>59</v>
      </c>
      <c r="I193" s="3" t="s">
        <v>278</v>
      </c>
      <c r="J193" s="4">
        <v>22295.39</v>
      </c>
      <c r="K193" s="3" t="s">
        <v>605</v>
      </c>
      <c r="L193" s="4">
        <v>1180</v>
      </c>
      <c r="M193" s="3" t="s">
        <v>608</v>
      </c>
      <c r="N193" s="3" t="s">
        <v>63</v>
      </c>
    </row>
    <row r="194" spans="1:14" x14ac:dyDescent="0.2">
      <c r="A194" s="3" t="s">
        <v>22</v>
      </c>
      <c r="B194" s="6">
        <v>46204</v>
      </c>
      <c r="C194" s="3" t="s">
        <v>280</v>
      </c>
      <c r="D194" s="3" t="s">
        <v>609</v>
      </c>
      <c r="E194" s="4">
        <v>-4000</v>
      </c>
      <c r="F194" s="3" t="s">
        <v>57</v>
      </c>
      <c r="G194" s="3" t="s">
        <v>58</v>
      </c>
      <c r="H194" s="3" t="s">
        <v>59</v>
      </c>
      <c r="I194" s="3" t="s">
        <v>282</v>
      </c>
      <c r="J194" s="4">
        <v>20125.39</v>
      </c>
      <c r="K194" s="3" t="s">
        <v>605</v>
      </c>
      <c r="L194" s="4">
        <v>4000</v>
      </c>
      <c r="M194" s="3" t="s">
        <v>610</v>
      </c>
      <c r="N194" s="3" t="s">
        <v>63</v>
      </c>
    </row>
    <row r="195" spans="1:14" x14ac:dyDescent="0.2">
      <c r="A195" s="3" t="s">
        <v>22</v>
      </c>
      <c r="B195" s="6">
        <v>46204</v>
      </c>
      <c r="C195" s="3" t="s">
        <v>611</v>
      </c>
      <c r="D195" s="3" t="s">
        <v>612</v>
      </c>
      <c r="E195" s="4">
        <v>3700</v>
      </c>
      <c r="F195" s="3" t="s">
        <v>80</v>
      </c>
      <c r="G195" s="3" t="s">
        <v>248</v>
      </c>
      <c r="H195" s="3" t="s">
        <v>249</v>
      </c>
      <c r="I195" s="3" t="s">
        <v>613</v>
      </c>
      <c r="J195" s="4">
        <v>23475.39</v>
      </c>
      <c r="K195" s="3" t="s">
        <v>605</v>
      </c>
      <c r="L195" s="4">
        <v>3700</v>
      </c>
      <c r="M195" s="3" t="s">
        <v>614</v>
      </c>
      <c r="N195" s="3" t="s">
        <v>63</v>
      </c>
    </row>
    <row r="196" spans="1:14" x14ac:dyDescent="0.2">
      <c r="A196" s="3" t="s">
        <v>22</v>
      </c>
      <c r="B196" s="6">
        <v>46204</v>
      </c>
      <c r="C196" s="3" t="s">
        <v>78</v>
      </c>
      <c r="D196" s="3" t="s">
        <v>615</v>
      </c>
      <c r="E196" s="4">
        <v>10.199999999999999</v>
      </c>
      <c r="F196" s="3" t="s">
        <v>80</v>
      </c>
      <c r="G196" s="3" t="s">
        <v>6</v>
      </c>
      <c r="H196" s="3" t="s">
        <v>78</v>
      </c>
      <c r="I196" s="3" t="s">
        <v>81</v>
      </c>
      <c r="J196" s="4">
        <v>24125.39</v>
      </c>
      <c r="K196" s="3" t="s">
        <v>605</v>
      </c>
      <c r="L196" s="4">
        <v>10.199999999999999</v>
      </c>
      <c r="M196" s="3" t="s">
        <v>616</v>
      </c>
      <c r="N196" s="3" t="s">
        <v>63</v>
      </c>
    </row>
    <row r="197" spans="1:14" x14ac:dyDescent="0.2">
      <c r="A197" s="3" t="s">
        <v>22</v>
      </c>
      <c r="B197" s="6">
        <v>46205</v>
      </c>
      <c r="C197" s="3" t="s">
        <v>78</v>
      </c>
      <c r="D197" s="3" t="s">
        <v>617</v>
      </c>
      <c r="E197" s="4">
        <v>9.4700000000000006</v>
      </c>
      <c r="F197" s="3" t="s">
        <v>80</v>
      </c>
      <c r="G197" s="3" t="s">
        <v>6</v>
      </c>
      <c r="H197" s="3" t="s">
        <v>78</v>
      </c>
      <c r="I197" s="3" t="s">
        <v>81</v>
      </c>
      <c r="J197" s="4">
        <v>22304.86</v>
      </c>
      <c r="K197" s="3" t="s">
        <v>605</v>
      </c>
      <c r="L197" s="4">
        <v>9.4700000000000006</v>
      </c>
      <c r="M197" s="3" t="s">
        <v>618</v>
      </c>
      <c r="N197" s="3" t="s">
        <v>63</v>
      </c>
    </row>
    <row r="198" spans="1:14" x14ac:dyDescent="0.2">
      <c r="A198" s="3" t="s">
        <v>22</v>
      </c>
      <c r="B198" s="6">
        <v>46206</v>
      </c>
      <c r="C198" s="3" t="s">
        <v>55</v>
      </c>
      <c r="D198" s="3" t="s">
        <v>619</v>
      </c>
      <c r="E198" s="4">
        <v>-2760</v>
      </c>
      <c r="F198" s="3" t="s">
        <v>57</v>
      </c>
      <c r="G198" s="3" t="s">
        <v>58</v>
      </c>
      <c r="H198" s="3" t="s">
        <v>59</v>
      </c>
      <c r="I198" s="3" t="s">
        <v>60</v>
      </c>
      <c r="J198" s="4">
        <v>19554.32</v>
      </c>
      <c r="K198" s="3" t="s">
        <v>605</v>
      </c>
      <c r="L198" s="4">
        <v>2760</v>
      </c>
      <c r="M198" s="3" t="s">
        <v>620</v>
      </c>
      <c r="N198" s="3" t="s">
        <v>63</v>
      </c>
    </row>
    <row r="199" spans="1:14" x14ac:dyDescent="0.2">
      <c r="A199" s="3" t="s">
        <v>22</v>
      </c>
      <c r="B199" s="6">
        <v>46206</v>
      </c>
      <c r="C199" s="3" t="s">
        <v>78</v>
      </c>
      <c r="D199" s="3" t="s">
        <v>621</v>
      </c>
      <c r="E199" s="4">
        <v>9.4600000000000009</v>
      </c>
      <c r="F199" s="3" t="s">
        <v>80</v>
      </c>
      <c r="G199" s="3" t="s">
        <v>6</v>
      </c>
      <c r="H199" s="3" t="s">
        <v>78</v>
      </c>
      <c r="I199" s="3" t="s">
        <v>81</v>
      </c>
      <c r="J199" s="4">
        <v>22314.32</v>
      </c>
      <c r="K199" s="3" t="s">
        <v>605</v>
      </c>
      <c r="L199" s="4">
        <v>9.4600000000000009</v>
      </c>
      <c r="M199" s="3" t="s">
        <v>622</v>
      </c>
      <c r="N199" s="3" t="s">
        <v>63</v>
      </c>
    </row>
    <row r="200" spans="1:14" x14ac:dyDescent="0.2">
      <c r="A200" s="3" t="s">
        <v>22</v>
      </c>
      <c r="B200" s="6">
        <v>46207</v>
      </c>
      <c r="C200" s="3" t="s">
        <v>623</v>
      </c>
      <c r="D200" s="3" t="s">
        <v>624</v>
      </c>
      <c r="E200" s="4">
        <v>-9377.49</v>
      </c>
      <c r="F200" s="3" t="s">
        <v>57</v>
      </c>
      <c r="G200" s="3" t="s">
        <v>625</v>
      </c>
      <c r="H200" s="3" t="s">
        <v>626</v>
      </c>
      <c r="I200" s="3" t="s">
        <v>627</v>
      </c>
      <c r="J200" s="4">
        <v>10176.83</v>
      </c>
      <c r="K200" s="3" t="s">
        <v>605</v>
      </c>
      <c r="L200" s="4">
        <v>9377.49</v>
      </c>
      <c r="M200" s="3" t="s">
        <v>628</v>
      </c>
      <c r="N200" s="3" t="s">
        <v>63</v>
      </c>
    </row>
    <row r="201" spans="1:14" x14ac:dyDescent="0.2">
      <c r="A201" s="3" t="s">
        <v>22</v>
      </c>
      <c r="B201" s="6">
        <v>46208</v>
      </c>
      <c r="C201" s="3" t="s">
        <v>223</v>
      </c>
      <c r="D201" s="3" t="s">
        <v>629</v>
      </c>
      <c r="E201" s="4">
        <v>-74.02</v>
      </c>
      <c r="F201" s="3" t="s">
        <v>57</v>
      </c>
      <c r="G201" s="3" t="s">
        <v>112</v>
      </c>
      <c r="H201" s="3" t="s">
        <v>113</v>
      </c>
      <c r="I201" s="3" t="s">
        <v>225</v>
      </c>
      <c r="J201" s="4">
        <v>10102.81</v>
      </c>
      <c r="K201" s="3" t="s">
        <v>605</v>
      </c>
      <c r="L201" s="4">
        <v>74.02</v>
      </c>
      <c r="M201" s="3" t="s">
        <v>630</v>
      </c>
      <c r="N201" s="3" t="s">
        <v>63</v>
      </c>
    </row>
    <row r="202" spans="1:14" x14ac:dyDescent="0.2">
      <c r="A202" s="3" t="s">
        <v>22</v>
      </c>
      <c r="B202" s="6">
        <v>46209</v>
      </c>
      <c r="C202" s="3" t="s">
        <v>290</v>
      </c>
      <c r="D202" s="3" t="s">
        <v>631</v>
      </c>
      <c r="E202" s="4">
        <v>-3803.89</v>
      </c>
      <c r="F202" s="3" t="s">
        <v>57</v>
      </c>
      <c r="G202" s="3" t="s">
        <v>292</v>
      </c>
      <c r="H202" s="3" t="s">
        <v>293</v>
      </c>
      <c r="I202" s="3"/>
      <c r="J202" s="4">
        <v>5970.69</v>
      </c>
      <c r="K202" s="3" t="s">
        <v>605</v>
      </c>
      <c r="L202" s="4">
        <v>3803.89</v>
      </c>
      <c r="M202" s="3" t="s">
        <v>632</v>
      </c>
      <c r="N202" s="3" t="s">
        <v>63</v>
      </c>
    </row>
    <row r="203" spans="1:14" x14ac:dyDescent="0.2">
      <c r="A203" s="3" t="s">
        <v>22</v>
      </c>
      <c r="B203" s="6">
        <v>46209</v>
      </c>
      <c r="C203" s="3" t="s">
        <v>633</v>
      </c>
      <c r="D203" s="3" t="s">
        <v>634</v>
      </c>
      <c r="E203" s="4">
        <v>-288.58</v>
      </c>
      <c r="F203" s="3" t="s">
        <v>57</v>
      </c>
      <c r="G203" s="3" t="s">
        <v>112</v>
      </c>
      <c r="H203" s="3" t="s">
        <v>113</v>
      </c>
      <c r="I203" s="3" t="s">
        <v>635</v>
      </c>
      <c r="J203" s="4">
        <v>9774.58</v>
      </c>
      <c r="K203" s="3" t="s">
        <v>605</v>
      </c>
      <c r="L203" s="4">
        <v>288.58</v>
      </c>
      <c r="M203" s="3" t="s">
        <v>636</v>
      </c>
      <c r="N203" s="3" t="s">
        <v>63</v>
      </c>
    </row>
    <row r="204" spans="1:14" x14ac:dyDescent="0.2">
      <c r="A204" s="3" t="s">
        <v>22</v>
      </c>
      <c r="B204" s="6">
        <v>46209</v>
      </c>
      <c r="C204" s="3" t="s">
        <v>633</v>
      </c>
      <c r="D204" s="3" t="s">
        <v>637</v>
      </c>
      <c r="E204" s="4">
        <v>-47.99</v>
      </c>
      <c r="F204" s="3" t="s">
        <v>57</v>
      </c>
      <c r="G204" s="3" t="s">
        <v>112</v>
      </c>
      <c r="H204" s="3" t="s">
        <v>113</v>
      </c>
      <c r="I204" s="3" t="s">
        <v>635</v>
      </c>
      <c r="J204" s="4">
        <v>10063.16</v>
      </c>
      <c r="K204" s="3" t="s">
        <v>605</v>
      </c>
      <c r="L204" s="4">
        <v>47.99</v>
      </c>
      <c r="M204" s="3" t="s">
        <v>638</v>
      </c>
      <c r="N204" s="3" t="s">
        <v>63</v>
      </c>
    </row>
    <row r="205" spans="1:14" x14ac:dyDescent="0.2">
      <c r="A205" s="3" t="s">
        <v>22</v>
      </c>
      <c r="B205" s="6">
        <v>46209</v>
      </c>
      <c r="C205" s="3" t="s">
        <v>602</v>
      </c>
      <c r="D205" s="3" t="s">
        <v>639</v>
      </c>
      <c r="E205" s="4">
        <v>-350</v>
      </c>
      <c r="F205" s="3" t="s">
        <v>57</v>
      </c>
      <c r="G205" s="3" t="s">
        <v>58</v>
      </c>
      <c r="H205" s="3" t="s">
        <v>59</v>
      </c>
      <c r="I205" s="3" t="s">
        <v>604</v>
      </c>
      <c r="J205" s="4">
        <v>5620.69</v>
      </c>
      <c r="K205" s="3" t="s">
        <v>605</v>
      </c>
      <c r="L205" s="4">
        <v>350</v>
      </c>
      <c r="M205" s="3" t="s">
        <v>640</v>
      </c>
      <c r="N205" s="3" t="s">
        <v>63</v>
      </c>
    </row>
    <row r="206" spans="1:14" x14ac:dyDescent="0.2">
      <c r="A206" s="3" t="s">
        <v>22</v>
      </c>
      <c r="B206" s="6">
        <v>46209</v>
      </c>
      <c r="C206" s="3" t="s">
        <v>78</v>
      </c>
      <c r="D206" s="3" t="s">
        <v>641</v>
      </c>
      <c r="E206" s="4">
        <v>8.34</v>
      </c>
      <c r="F206" s="3" t="s">
        <v>80</v>
      </c>
      <c r="G206" s="3" t="s">
        <v>6</v>
      </c>
      <c r="H206" s="3" t="s">
        <v>78</v>
      </c>
      <c r="I206" s="3" t="s">
        <v>81</v>
      </c>
      <c r="J206" s="4">
        <v>10111.15</v>
      </c>
      <c r="K206" s="3" t="s">
        <v>605</v>
      </c>
      <c r="L206" s="4">
        <v>8.34</v>
      </c>
      <c r="M206" s="3" t="s">
        <v>642</v>
      </c>
      <c r="N206" s="3" t="s">
        <v>63</v>
      </c>
    </row>
    <row r="207" spans="1:14" x14ac:dyDescent="0.2">
      <c r="A207" s="3" t="s">
        <v>22</v>
      </c>
      <c r="B207" s="6">
        <v>46210</v>
      </c>
      <c r="C207" s="3" t="s">
        <v>338</v>
      </c>
      <c r="D207" s="3" t="s">
        <v>643</v>
      </c>
      <c r="E207" s="4">
        <v>-66.599999999999994</v>
      </c>
      <c r="F207" s="3" t="s">
        <v>57</v>
      </c>
      <c r="G207" s="3" t="s">
        <v>340</v>
      </c>
      <c r="H207" s="3" t="s">
        <v>341</v>
      </c>
      <c r="I207" s="3"/>
      <c r="J207" s="4">
        <v>5556.48</v>
      </c>
      <c r="K207" s="3" t="s">
        <v>605</v>
      </c>
      <c r="L207" s="4">
        <v>66.599999999999994</v>
      </c>
      <c r="M207" s="3" t="s">
        <v>644</v>
      </c>
      <c r="N207" s="3" t="s">
        <v>63</v>
      </c>
    </row>
    <row r="208" spans="1:14" x14ac:dyDescent="0.2">
      <c r="A208" s="3" t="s">
        <v>22</v>
      </c>
      <c r="B208" s="6">
        <v>46210</v>
      </c>
      <c r="C208" s="3" t="s">
        <v>130</v>
      </c>
      <c r="D208" s="3" t="s">
        <v>645</v>
      </c>
      <c r="E208" s="4">
        <v>-55</v>
      </c>
      <c r="F208" s="3" t="s">
        <v>57</v>
      </c>
      <c r="G208" s="3" t="s">
        <v>58</v>
      </c>
      <c r="H208" s="3" t="s">
        <v>59</v>
      </c>
      <c r="I208" s="3" t="s">
        <v>132</v>
      </c>
      <c r="J208" s="4">
        <v>5501.48</v>
      </c>
      <c r="K208" s="3" t="s">
        <v>605</v>
      </c>
      <c r="L208" s="4">
        <v>55</v>
      </c>
      <c r="M208" s="3" t="s">
        <v>646</v>
      </c>
      <c r="N208" s="3" t="s">
        <v>63</v>
      </c>
    </row>
    <row r="209" spans="1:14" x14ac:dyDescent="0.2">
      <c r="A209" s="3" t="s">
        <v>22</v>
      </c>
      <c r="B209" s="6">
        <v>46210</v>
      </c>
      <c r="C209" s="3" t="s">
        <v>78</v>
      </c>
      <c r="D209" s="3" t="s">
        <v>647</v>
      </c>
      <c r="E209" s="4">
        <v>2.39</v>
      </c>
      <c r="F209" s="3" t="s">
        <v>80</v>
      </c>
      <c r="G209" s="3" t="s">
        <v>6</v>
      </c>
      <c r="H209" s="3" t="s">
        <v>78</v>
      </c>
      <c r="I209" s="3" t="s">
        <v>81</v>
      </c>
      <c r="J209" s="4">
        <v>5623.08</v>
      </c>
      <c r="K209" s="3" t="s">
        <v>605</v>
      </c>
      <c r="L209" s="4">
        <v>2.39</v>
      </c>
      <c r="M209" s="3" t="s">
        <v>648</v>
      </c>
      <c r="N209" s="3" t="s">
        <v>63</v>
      </c>
    </row>
    <row r="210" spans="1:14" x14ac:dyDescent="0.2">
      <c r="A210" s="3" t="s">
        <v>22</v>
      </c>
      <c r="B210" s="6">
        <v>46211</v>
      </c>
      <c r="C210" s="3" t="s">
        <v>55</v>
      </c>
      <c r="D210" s="3" t="s">
        <v>649</v>
      </c>
      <c r="E210" s="4">
        <v>-695</v>
      </c>
      <c r="F210" s="3" t="s">
        <v>57</v>
      </c>
      <c r="G210" s="3" t="s">
        <v>58</v>
      </c>
      <c r="H210" s="3" t="s">
        <v>59</v>
      </c>
      <c r="I210" s="3" t="s">
        <v>60</v>
      </c>
      <c r="J210" s="4">
        <v>4808.83</v>
      </c>
      <c r="K210" s="3" t="s">
        <v>605</v>
      </c>
      <c r="L210" s="4">
        <v>695</v>
      </c>
      <c r="M210" s="3" t="s">
        <v>650</v>
      </c>
      <c r="N210" s="3" t="s">
        <v>63</v>
      </c>
    </row>
    <row r="211" spans="1:14" x14ac:dyDescent="0.2">
      <c r="A211" s="3" t="s">
        <v>22</v>
      </c>
      <c r="B211" s="6">
        <v>46211</v>
      </c>
      <c r="C211" s="3" t="s">
        <v>78</v>
      </c>
      <c r="D211" s="3" t="s">
        <v>651</v>
      </c>
      <c r="E211" s="4">
        <v>2.35</v>
      </c>
      <c r="F211" s="3" t="s">
        <v>80</v>
      </c>
      <c r="G211" s="3" t="s">
        <v>6</v>
      </c>
      <c r="H211" s="3" t="s">
        <v>78</v>
      </c>
      <c r="I211" s="3" t="s">
        <v>81</v>
      </c>
      <c r="J211" s="4">
        <v>5503.83</v>
      </c>
      <c r="K211" s="3" t="s">
        <v>605</v>
      </c>
      <c r="L211" s="4">
        <v>2.35</v>
      </c>
      <c r="M211" s="3" t="s">
        <v>652</v>
      </c>
      <c r="N211" s="3" t="s">
        <v>63</v>
      </c>
    </row>
    <row r="212" spans="1:14" x14ac:dyDescent="0.2">
      <c r="A212" s="3" t="s">
        <v>22</v>
      </c>
      <c r="B212" s="6">
        <v>46212</v>
      </c>
      <c r="C212" s="3" t="s">
        <v>653</v>
      </c>
      <c r="D212" s="3" t="s">
        <v>654</v>
      </c>
      <c r="E212" s="4">
        <v>-9.19</v>
      </c>
      <c r="F212" s="3" t="s">
        <v>57</v>
      </c>
      <c r="G212" s="3" t="s">
        <v>58</v>
      </c>
      <c r="H212" s="3" t="s">
        <v>59</v>
      </c>
      <c r="I212" s="3" t="s">
        <v>655</v>
      </c>
      <c r="J212" s="4">
        <v>4799.6400000000003</v>
      </c>
      <c r="K212" s="3" t="s">
        <v>605</v>
      </c>
      <c r="L212" s="4">
        <v>9.19</v>
      </c>
      <c r="M212" s="3" t="s">
        <v>656</v>
      </c>
      <c r="N212" s="3" t="s">
        <v>63</v>
      </c>
    </row>
    <row r="213" spans="1:14" x14ac:dyDescent="0.2">
      <c r="A213" s="3" t="s">
        <v>22</v>
      </c>
      <c r="B213" s="6">
        <v>46212</v>
      </c>
      <c r="C213" s="3" t="s">
        <v>78</v>
      </c>
      <c r="D213" s="3" t="s">
        <v>657</v>
      </c>
      <c r="E213" s="4">
        <v>2.04</v>
      </c>
      <c r="F213" s="3" t="s">
        <v>80</v>
      </c>
      <c r="G213" s="3" t="s">
        <v>6</v>
      </c>
      <c r="H213" s="3" t="s">
        <v>78</v>
      </c>
      <c r="I213" s="3" t="s">
        <v>81</v>
      </c>
      <c r="J213" s="4">
        <v>4801.68</v>
      </c>
      <c r="K213" s="3" t="s">
        <v>605</v>
      </c>
      <c r="L213" s="4">
        <v>2.04</v>
      </c>
      <c r="M213" s="3" t="s">
        <v>658</v>
      </c>
      <c r="N213" s="3" t="s">
        <v>63</v>
      </c>
    </row>
    <row r="214" spans="1:14" x14ac:dyDescent="0.2">
      <c r="A214" s="3" t="s">
        <v>22</v>
      </c>
      <c r="B214" s="6">
        <v>46213</v>
      </c>
      <c r="C214" s="3" t="s">
        <v>102</v>
      </c>
      <c r="D214" s="3" t="s">
        <v>659</v>
      </c>
      <c r="E214" s="4">
        <v>-66.5</v>
      </c>
      <c r="F214" s="3" t="s">
        <v>57</v>
      </c>
      <c r="G214" s="3" t="s">
        <v>70</v>
      </c>
      <c r="H214" s="3" t="s">
        <v>71</v>
      </c>
      <c r="I214" s="3" t="s">
        <v>104</v>
      </c>
      <c r="J214" s="4">
        <v>4737.2299999999996</v>
      </c>
      <c r="K214" s="3" t="s">
        <v>605</v>
      </c>
      <c r="L214" s="4">
        <v>66.5</v>
      </c>
      <c r="M214" s="3" t="s">
        <v>660</v>
      </c>
      <c r="N214" s="3" t="s">
        <v>63</v>
      </c>
    </row>
    <row r="215" spans="1:14" x14ac:dyDescent="0.2">
      <c r="A215" s="3" t="s">
        <v>22</v>
      </c>
      <c r="B215" s="6">
        <v>46213</v>
      </c>
      <c r="C215" s="3" t="s">
        <v>78</v>
      </c>
      <c r="D215" s="3" t="s">
        <v>661</v>
      </c>
      <c r="E215" s="4">
        <v>2.0499999999999998</v>
      </c>
      <c r="F215" s="3" t="s">
        <v>80</v>
      </c>
      <c r="G215" s="3" t="s">
        <v>6</v>
      </c>
      <c r="H215" s="3" t="s">
        <v>78</v>
      </c>
      <c r="I215" s="3" t="s">
        <v>81</v>
      </c>
      <c r="J215" s="4">
        <v>4803.7299999999996</v>
      </c>
      <c r="K215" s="3" t="s">
        <v>605</v>
      </c>
      <c r="L215" s="4">
        <v>2.0499999999999998</v>
      </c>
      <c r="M215" s="3" t="s">
        <v>662</v>
      </c>
      <c r="N215" s="3" t="s">
        <v>63</v>
      </c>
    </row>
    <row r="216" spans="1:14" x14ac:dyDescent="0.2">
      <c r="A216" s="3" t="s">
        <v>22</v>
      </c>
      <c r="B216" s="6">
        <v>46214</v>
      </c>
      <c r="C216" s="3" t="s">
        <v>64</v>
      </c>
      <c r="D216" s="3" t="s">
        <v>663</v>
      </c>
      <c r="E216" s="4">
        <v>-450</v>
      </c>
      <c r="F216" s="3" t="s">
        <v>57</v>
      </c>
      <c r="G216" s="3" t="s">
        <v>58</v>
      </c>
      <c r="H216" s="3" t="s">
        <v>59</v>
      </c>
      <c r="I216" s="3" t="s">
        <v>66</v>
      </c>
      <c r="J216" s="4">
        <v>4287.2299999999996</v>
      </c>
      <c r="K216" s="3" t="s">
        <v>605</v>
      </c>
      <c r="L216" s="4">
        <v>450</v>
      </c>
      <c r="M216" s="3" t="s">
        <v>664</v>
      </c>
      <c r="N216" s="3" t="s">
        <v>63</v>
      </c>
    </row>
    <row r="217" spans="1:14" x14ac:dyDescent="0.2">
      <c r="A217" s="3" t="s">
        <v>22</v>
      </c>
      <c r="B217" s="6">
        <v>46215</v>
      </c>
      <c r="C217" s="3" t="s">
        <v>665</v>
      </c>
      <c r="D217" s="3" t="s">
        <v>666</v>
      </c>
      <c r="E217" s="4">
        <v>-25</v>
      </c>
      <c r="F217" s="3" t="s">
        <v>57</v>
      </c>
      <c r="G217" s="3" t="s">
        <v>667</v>
      </c>
      <c r="H217" s="3" t="s">
        <v>667</v>
      </c>
      <c r="I217" s="3" t="s">
        <v>665</v>
      </c>
      <c r="J217" s="4">
        <v>4262.2299999999996</v>
      </c>
      <c r="K217" s="3" t="s">
        <v>605</v>
      </c>
      <c r="L217" s="4">
        <v>25</v>
      </c>
      <c r="M217" s="3" t="s">
        <v>668</v>
      </c>
      <c r="N217" s="3" t="s">
        <v>63</v>
      </c>
    </row>
    <row r="218" spans="1:14" x14ac:dyDescent="0.2">
      <c r="A218" s="3" t="s">
        <v>22</v>
      </c>
      <c r="B218" s="6">
        <v>46216</v>
      </c>
      <c r="C218" s="3" t="s">
        <v>669</v>
      </c>
      <c r="D218" s="3" t="s">
        <v>670</v>
      </c>
      <c r="E218" s="4">
        <v>-413.11</v>
      </c>
      <c r="F218" s="3" t="s">
        <v>57</v>
      </c>
      <c r="G218" s="3" t="s">
        <v>625</v>
      </c>
      <c r="H218" s="3" t="s">
        <v>626</v>
      </c>
      <c r="I218" s="3" t="s">
        <v>671</v>
      </c>
      <c r="J218" s="4">
        <v>3851.14</v>
      </c>
      <c r="K218" s="3" t="s">
        <v>605</v>
      </c>
      <c r="L218" s="4">
        <v>413.11</v>
      </c>
      <c r="M218" s="3" t="s">
        <v>672</v>
      </c>
      <c r="N218" s="3" t="s">
        <v>63</v>
      </c>
    </row>
    <row r="219" spans="1:14" x14ac:dyDescent="0.2">
      <c r="A219" s="3" t="s">
        <v>22</v>
      </c>
      <c r="B219" s="6">
        <v>46216</v>
      </c>
      <c r="C219" s="3" t="s">
        <v>102</v>
      </c>
      <c r="D219" s="3" t="s">
        <v>673</v>
      </c>
      <c r="E219" s="4">
        <v>-120.9</v>
      </c>
      <c r="F219" s="3" t="s">
        <v>57</v>
      </c>
      <c r="G219" s="3" t="s">
        <v>70</v>
      </c>
      <c r="H219" s="3" t="s">
        <v>71</v>
      </c>
      <c r="I219" s="3" t="s">
        <v>104</v>
      </c>
      <c r="J219" s="4">
        <v>3730.24</v>
      </c>
      <c r="K219" s="3" t="s">
        <v>605</v>
      </c>
      <c r="L219" s="4">
        <v>120.9</v>
      </c>
      <c r="M219" s="3" t="s">
        <v>674</v>
      </c>
      <c r="N219" s="3" t="s">
        <v>63</v>
      </c>
    </row>
    <row r="220" spans="1:14" x14ac:dyDescent="0.2">
      <c r="A220" s="3" t="s">
        <v>22</v>
      </c>
      <c r="B220" s="6">
        <v>46216</v>
      </c>
      <c r="C220" s="3" t="s">
        <v>78</v>
      </c>
      <c r="D220" s="3" t="s">
        <v>675</v>
      </c>
      <c r="E220" s="4">
        <v>2.02</v>
      </c>
      <c r="F220" s="3" t="s">
        <v>80</v>
      </c>
      <c r="G220" s="3" t="s">
        <v>6</v>
      </c>
      <c r="H220" s="3" t="s">
        <v>78</v>
      </c>
      <c r="I220" s="3" t="s">
        <v>81</v>
      </c>
      <c r="J220" s="4">
        <v>4264.25</v>
      </c>
      <c r="K220" s="3" t="s">
        <v>605</v>
      </c>
      <c r="L220" s="4">
        <v>2.02</v>
      </c>
      <c r="M220" s="3" t="s">
        <v>676</v>
      </c>
      <c r="N220" s="3" t="s">
        <v>63</v>
      </c>
    </row>
    <row r="221" spans="1:14" x14ac:dyDescent="0.2">
      <c r="A221" s="3" t="s">
        <v>22</v>
      </c>
      <c r="B221" s="6">
        <v>46217</v>
      </c>
      <c r="C221" s="3" t="s">
        <v>102</v>
      </c>
      <c r="D221" s="3" t="s">
        <v>677</v>
      </c>
      <c r="E221" s="4">
        <v>-79</v>
      </c>
      <c r="F221" s="3" t="s">
        <v>57</v>
      </c>
      <c r="G221" s="3" t="s">
        <v>70</v>
      </c>
      <c r="H221" s="3" t="s">
        <v>71</v>
      </c>
      <c r="I221" s="3" t="s">
        <v>104</v>
      </c>
      <c r="J221" s="4">
        <v>3652.88</v>
      </c>
      <c r="K221" s="3" t="s">
        <v>605</v>
      </c>
      <c r="L221" s="4">
        <v>79</v>
      </c>
      <c r="M221" s="3" t="s">
        <v>678</v>
      </c>
      <c r="N221" s="3" t="s">
        <v>63</v>
      </c>
    </row>
    <row r="222" spans="1:14" x14ac:dyDescent="0.2">
      <c r="A222" s="3" t="s">
        <v>22</v>
      </c>
      <c r="B222" s="6">
        <v>46217</v>
      </c>
      <c r="C222" s="3" t="s">
        <v>78</v>
      </c>
      <c r="D222" s="3" t="s">
        <v>679</v>
      </c>
      <c r="E222" s="4">
        <v>1.64</v>
      </c>
      <c r="F222" s="3" t="s">
        <v>80</v>
      </c>
      <c r="G222" s="3" t="s">
        <v>6</v>
      </c>
      <c r="H222" s="3" t="s">
        <v>78</v>
      </c>
      <c r="I222" s="3" t="s">
        <v>81</v>
      </c>
      <c r="J222" s="4">
        <v>3731.88</v>
      </c>
      <c r="K222" s="3" t="s">
        <v>605</v>
      </c>
      <c r="L222" s="4">
        <v>1.64</v>
      </c>
      <c r="M222" s="3" t="s">
        <v>680</v>
      </c>
      <c r="N222" s="3" t="s">
        <v>63</v>
      </c>
    </row>
    <row r="223" spans="1:14" x14ac:dyDescent="0.2">
      <c r="A223" s="3" t="s">
        <v>22</v>
      </c>
      <c r="B223" s="6">
        <v>46218</v>
      </c>
      <c r="C223" s="3" t="s">
        <v>78</v>
      </c>
      <c r="D223" s="3" t="s">
        <v>681</v>
      </c>
      <c r="E223" s="4">
        <v>1.59</v>
      </c>
      <c r="F223" s="3" t="s">
        <v>80</v>
      </c>
      <c r="G223" s="3" t="s">
        <v>6</v>
      </c>
      <c r="H223" s="3" t="s">
        <v>78</v>
      </c>
      <c r="I223" s="3" t="s">
        <v>81</v>
      </c>
      <c r="J223" s="4">
        <v>3654.47</v>
      </c>
      <c r="K223" s="3" t="s">
        <v>605</v>
      </c>
      <c r="L223" s="4">
        <v>1.59</v>
      </c>
      <c r="M223" s="3" t="s">
        <v>682</v>
      </c>
      <c r="N223" s="3" t="s">
        <v>63</v>
      </c>
    </row>
    <row r="224" spans="1:14" x14ac:dyDescent="0.2">
      <c r="A224" s="3" t="s">
        <v>22</v>
      </c>
      <c r="B224" s="6">
        <v>46219</v>
      </c>
      <c r="C224" s="3" t="s">
        <v>78</v>
      </c>
      <c r="D224" s="3" t="s">
        <v>683</v>
      </c>
      <c r="E224" s="4">
        <v>1.56</v>
      </c>
      <c r="F224" s="3" t="s">
        <v>80</v>
      </c>
      <c r="G224" s="3" t="s">
        <v>6</v>
      </c>
      <c r="H224" s="3" t="s">
        <v>78</v>
      </c>
      <c r="I224" s="3" t="s">
        <v>81</v>
      </c>
      <c r="J224" s="4">
        <v>3656.03</v>
      </c>
      <c r="K224" s="3" t="s">
        <v>605</v>
      </c>
      <c r="L224" s="4">
        <v>1.56</v>
      </c>
      <c r="M224" s="3" t="s">
        <v>684</v>
      </c>
      <c r="N224" s="3" t="s">
        <v>63</v>
      </c>
    </row>
    <row r="225" spans="1:14" x14ac:dyDescent="0.2">
      <c r="A225" s="3" t="s">
        <v>22</v>
      </c>
      <c r="B225" s="6">
        <v>46220</v>
      </c>
      <c r="C225" s="3" t="s">
        <v>122</v>
      </c>
      <c r="D225" s="3" t="s">
        <v>685</v>
      </c>
      <c r="E225" s="4">
        <v>-272.86</v>
      </c>
      <c r="F225" s="3" t="s">
        <v>57</v>
      </c>
      <c r="G225" s="3" t="s">
        <v>70</v>
      </c>
      <c r="H225" s="3" t="s">
        <v>71</v>
      </c>
      <c r="I225" s="3" t="s">
        <v>124</v>
      </c>
      <c r="J225" s="4">
        <v>3384.72</v>
      </c>
      <c r="K225" s="3" t="s">
        <v>605</v>
      </c>
      <c r="L225" s="4">
        <v>272.86</v>
      </c>
      <c r="M225" s="3" t="s">
        <v>686</v>
      </c>
      <c r="N225" s="3" t="s">
        <v>63</v>
      </c>
    </row>
    <row r="226" spans="1:14" x14ac:dyDescent="0.2">
      <c r="A226" s="3" t="s">
        <v>22</v>
      </c>
      <c r="B226" s="6">
        <v>46220</v>
      </c>
      <c r="C226" s="3" t="s">
        <v>78</v>
      </c>
      <c r="D226" s="3" t="s">
        <v>687</v>
      </c>
      <c r="E226" s="4">
        <v>1.55</v>
      </c>
      <c r="F226" s="3" t="s">
        <v>80</v>
      </c>
      <c r="G226" s="3" t="s">
        <v>6</v>
      </c>
      <c r="H226" s="3" t="s">
        <v>78</v>
      </c>
      <c r="I226" s="3" t="s">
        <v>81</v>
      </c>
      <c r="J226" s="4">
        <v>3657.58</v>
      </c>
      <c r="K226" s="3" t="s">
        <v>605</v>
      </c>
      <c r="L226" s="4">
        <v>1.55</v>
      </c>
      <c r="M226" s="3" t="s">
        <v>688</v>
      </c>
      <c r="N226" s="3" t="s">
        <v>63</v>
      </c>
    </row>
    <row r="227" spans="1:14" x14ac:dyDescent="0.2">
      <c r="A227" s="3" t="s">
        <v>22</v>
      </c>
      <c r="B227" s="6">
        <v>46221</v>
      </c>
      <c r="C227" s="3" t="s">
        <v>276</v>
      </c>
      <c r="D227" s="3" t="s">
        <v>689</v>
      </c>
      <c r="E227" s="4">
        <v>-200</v>
      </c>
      <c r="F227" s="3" t="s">
        <v>57</v>
      </c>
      <c r="G227" s="3" t="s">
        <v>58</v>
      </c>
      <c r="H227" s="3" t="s">
        <v>59</v>
      </c>
      <c r="I227" s="3" t="s">
        <v>278</v>
      </c>
      <c r="J227" s="4">
        <v>3184.72</v>
      </c>
      <c r="K227" s="3" t="s">
        <v>605</v>
      </c>
      <c r="L227" s="4">
        <v>200</v>
      </c>
      <c r="M227" s="3" t="s">
        <v>690</v>
      </c>
      <c r="N227" s="3" t="s">
        <v>63</v>
      </c>
    </row>
    <row r="228" spans="1:14" x14ac:dyDescent="0.2">
      <c r="A228" s="3" t="s">
        <v>22</v>
      </c>
      <c r="B228" s="6">
        <v>46221</v>
      </c>
      <c r="C228" s="3" t="s">
        <v>691</v>
      </c>
      <c r="D228" s="3" t="s">
        <v>692</v>
      </c>
      <c r="E228" s="4">
        <v>-78</v>
      </c>
      <c r="F228" s="3" t="s">
        <v>57</v>
      </c>
      <c r="G228" s="3" t="s">
        <v>58</v>
      </c>
      <c r="H228" s="3" t="s">
        <v>59</v>
      </c>
      <c r="I228" s="3" t="s">
        <v>693</v>
      </c>
      <c r="J228" s="4">
        <v>3106.72</v>
      </c>
      <c r="K228" s="3" t="s">
        <v>605</v>
      </c>
      <c r="L228" s="4">
        <v>78</v>
      </c>
      <c r="M228" s="3" t="s">
        <v>694</v>
      </c>
      <c r="N228" s="3" t="s">
        <v>63</v>
      </c>
    </row>
    <row r="229" spans="1:14" x14ac:dyDescent="0.2">
      <c r="A229" s="3" t="s">
        <v>22</v>
      </c>
      <c r="B229" s="6">
        <v>46222</v>
      </c>
      <c r="C229" s="3" t="s">
        <v>481</v>
      </c>
      <c r="D229" s="3" t="s">
        <v>695</v>
      </c>
      <c r="E229" s="4">
        <v>-289.94</v>
      </c>
      <c r="F229" s="3" t="s">
        <v>57</v>
      </c>
      <c r="G229" s="3" t="s">
        <v>340</v>
      </c>
      <c r="H229" s="3" t="s">
        <v>341</v>
      </c>
      <c r="I229" s="3"/>
      <c r="J229" s="4">
        <v>2816.78</v>
      </c>
      <c r="K229" s="3" t="s">
        <v>605</v>
      </c>
      <c r="L229" s="4">
        <v>289.94</v>
      </c>
      <c r="M229" s="3" t="s">
        <v>696</v>
      </c>
      <c r="N229" s="3" t="s">
        <v>63</v>
      </c>
    </row>
    <row r="230" spans="1:14" x14ac:dyDescent="0.2">
      <c r="A230" s="3" t="s">
        <v>22</v>
      </c>
      <c r="B230" s="6">
        <v>46223</v>
      </c>
      <c r="C230" s="3" t="s">
        <v>235</v>
      </c>
      <c r="D230" s="3" t="s">
        <v>697</v>
      </c>
      <c r="E230" s="4">
        <v>-96.99</v>
      </c>
      <c r="F230" s="3" t="s">
        <v>57</v>
      </c>
      <c r="G230" s="3" t="s">
        <v>237</v>
      </c>
      <c r="H230" s="3" t="s">
        <v>238</v>
      </c>
      <c r="I230" s="3" t="s">
        <v>235</v>
      </c>
      <c r="J230" s="4">
        <v>2721.25</v>
      </c>
      <c r="K230" s="3" t="s">
        <v>605</v>
      </c>
      <c r="L230" s="4">
        <v>96.99</v>
      </c>
      <c r="M230" s="3" t="s">
        <v>698</v>
      </c>
      <c r="N230" s="3" t="s">
        <v>63</v>
      </c>
    </row>
    <row r="231" spans="1:14" x14ac:dyDescent="0.2">
      <c r="A231" s="3" t="s">
        <v>22</v>
      </c>
      <c r="B231" s="6">
        <v>46223</v>
      </c>
      <c r="C231" s="3" t="s">
        <v>78</v>
      </c>
      <c r="D231" s="3" t="s">
        <v>699</v>
      </c>
      <c r="E231" s="4">
        <v>1.46</v>
      </c>
      <c r="F231" s="3" t="s">
        <v>80</v>
      </c>
      <c r="G231" s="3" t="s">
        <v>6</v>
      </c>
      <c r="H231" s="3" t="s">
        <v>78</v>
      </c>
      <c r="I231" s="3" t="s">
        <v>81</v>
      </c>
      <c r="J231" s="4">
        <v>2818.24</v>
      </c>
      <c r="K231" s="3" t="s">
        <v>605</v>
      </c>
      <c r="L231" s="4">
        <v>1.46</v>
      </c>
      <c r="M231" s="3" t="s">
        <v>700</v>
      </c>
      <c r="N231" s="3" t="s">
        <v>63</v>
      </c>
    </row>
    <row r="232" spans="1:14" x14ac:dyDescent="0.2">
      <c r="A232" s="3" t="s">
        <v>22</v>
      </c>
      <c r="B232" s="6">
        <v>46224</v>
      </c>
      <c r="C232" s="3" t="s">
        <v>701</v>
      </c>
      <c r="D232" s="3" t="s">
        <v>702</v>
      </c>
      <c r="E232" s="4">
        <v>-89.5</v>
      </c>
      <c r="F232" s="3" t="s">
        <v>57</v>
      </c>
      <c r="G232" s="3" t="s">
        <v>70</v>
      </c>
      <c r="H232" s="3" t="s">
        <v>71</v>
      </c>
      <c r="I232" s="3" t="s">
        <v>701</v>
      </c>
      <c r="J232" s="4">
        <v>1027.92</v>
      </c>
      <c r="K232" s="3" t="s">
        <v>605</v>
      </c>
      <c r="L232" s="4">
        <v>89.5</v>
      </c>
      <c r="M232" s="3" t="s">
        <v>703</v>
      </c>
      <c r="N232" s="3" t="s">
        <v>63</v>
      </c>
    </row>
    <row r="233" spans="1:14" x14ac:dyDescent="0.2">
      <c r="A233" s="3" t="s">
        <v>22</v>
      </c>
      <c r="B233" s="6">
        <v>46224</v>
      </c>
      <c r="C233" s="3" t="s">
        <v>55</v>
      </c>
      <c r="D233" s="3" t="s">
        <v>704</v>
      </c>
      <c r="E233" s="4">
        <v>-1605</v>
      </c>
      <c r="F233" s="3" t="s">
        <v>57</v>
      </c>
      <c r="G233" s="3" t="s">
        <v>58</v>
      </c>
      <c r="H233" s="3" t="s">
        <v>59</v>
      </c>
      <c r="I233" s="3" t="s">
        <v>60</v>
      </c>
      <c r="J233" s="4">
        <v>1117.42</v>
      </c>
      <c r="K233" s="3" t="s">
        <v>605</v>
      </c>
      <c r="L233" s="4">
        <v>1605</v>
      </c>
      <c r="M233" s="3" t="s">
        <v>705</v>
      </c>
      <c r="N233" s="3" t="s">
        <v>63</v>
      </c>
    </row>
    <row r="234" spans="1:14" x14ac:dyDescent="0.2">
      <c r="A234" s="3" t="s">
        <v>22</v>
      </c>
      <c r="B234" s="6">
        <v>46224</v>
      </c>
      <c r="C234" s="3" t="s">
        <v>78</v>
      </c>
      <c r="D234" s="3" t="s">
        <v>706</v>
      </c>
      <c r="E234" s="4">
        <v>1.17</v>
      </c>
      <c r="F234" s="3" t="s">
        <v>80</v>
      </c>
      <c r="G234" s="3" t="s">
        <v>6</v>
      </c>
      <c r="H234" s="3" t="s">
        <v>78</v>
      </c>
      <c r="I234" s="3" t="s">
        <v>81</v>
      </c>
      <c r="J234" s="4">
        <v>2722.42</v>
      </c>
      <c r="K234" s="3" t="s">
        <v>605</v>
      </c>
      <c r="L234" s="4">
        <v>1.17</v>
      </c>
      <c r="M234" s="3" t="s">
        <v>707</v>
      </c>
      <c r="N234" s="3" t="s">
        <v>63</v>
      </c>
    </row>
    <row r="235" spans="1:14" x14ac:dyDescent="0.2">
      <c r="A235" s="3" t="s">
        <v>22</v>
      </c>
      <c r="B235" s="6">
        <v>46225</v>
      </c>
      <c r="C235" s="3" t="s">
        <v>602</v>
      </c>
      <c r="D235" s="3" t="s">
        <v>708</v>
      </c>
      <c r="E235" s="4">
        <v>-570</v>
      </c>
      <c r="F235" s="3" t="s">
        <v>57</v>
      </c>
      <c r="G235" s="3" t="s">
        <v>58</v>
      </c>
      <c r="H235" s="3" t="s">
        <v>59</v>
      </c>
      <c r="I235" s="3" t="s">
        <v>604</v>
      </c>
      <c r="J235" s="4">
        <v>411.87</v>
      </c>
      <c r="K235" s="3" t="s">
        <v>605</v>
      </c>
      <c r="L235" s="4">
        <v>570</v>
      </c>
      <c r="M235" s="3" t="s">
        <v>709</v>
      </c>
      <c r="N235" s="3" t="s">
        <v>63</v>
      </c>
    </row>
    <row r="236" spans="1:14" x14ac:dyDescent="0.2">
      <c r="A236" s="3" t="s">
        <v>22</v>
      </c>
      <c r="B236" s="6">
        <v>46225</v>
      </c>
      <c r="C236" s="3" t="s">
        <v>122</v>
      </c>
      <c r="D236" s="3" t="s">
        <v>710</v>
      </c>
      <c r="E236" s="4">
        <v>-46.49</v>
      </c>
      <c r="F236" s="3" t="s">
        <v>57</v>
      </c>
      <c r="G236" s="3" t="s">
        <v>70</v>
      </c>
      <c r="H236" s="3" t="s">
        <v>71</v>
      </c>
      <c r="I236" s="3" t="s">
        <v>124</v>
      </c>
      <c r="J236" s="4">
        <v>981.87</v>
      </c>
      <c r="K236" s="3" t="s">
        <v>605</v>
      </c>
      <c r="L236" s="4">
        <v>46.49</v>
      </c>
      <c r="M236" s="3" t="s">
        <v>711</v>
      </c>
      <c r="N236" s="3" t="s">
        <v>63</v>
      </c>
    </row>
    <row r="237" spans="1:14" x14ac:dyDescent="0.2">
      <c r="A237" s="3" t="s">
        <v>22</v>
      </c>
      <c r="B237" s="6">
        <v>46225</v>
      </c>
      <c r="C237" s="3" t="s">
        <v>78</v>
      </c>
      <c r="D237" s="3" t="s">
        <v>712</v>
      </c>
      <c r="E237" s="4">
        <v>0.44</v>
      </c>
      <c r="F237" s="3" t="s">
        <v>80</v>
      </c>
      <c r="G237" s="3" t="s">
        <v>6</v>
      </c>
      <c r="H237" s="3" t="s">
        <v>78</v>
      </c>
      <c r="I237" s="3" t="s">
        <v>81</v>
      </c>
      <c r="J237" s="4">
        <v>1028.3599999999999</v>
      </c>
      <c r="K237" s="3" t="s">
        <v>605</v>
      </c>
      <c r="L237" s="4">
        <v>0.44</v>
      </c>
      <c r="M237" s="3" t="s">
        <v>713</v>
      </c>
      <c r="N237" s="3" t="s">
        <v>63</v>
      </c>
    </row>
    <row r="238" spans="1:14" x14ac:dyDescent="0.2">
      <c r="A238" s="3" t="s">
        <v>22</v>
      </c>
      <c r="B238" s="6">
        <v>46226</v>
      </c>
      <c r="C238" s="3" t="s">
        <v>714</v>
      </c>
      <c r="D238" s="3" t="s">
        <v>715</v>
      </c>
      <c r="E238" s="4">
        <v>-13</v>
      </c>
      <c r="F238" s="3" t="s">
        <v>57</v>
      </c>
      <c r="G238" s="3" t="s">
        <v>716</v>
      </c>
      <c r="H238" s="3" t="s">
        <v>716</v>
      </c>
      <c r="I238" s="3" t="s">
        <v>717</v>
      </c>
      <c r="J238" s="4">
        <v>340.05</v>
      </c>
      <c r="K238" s="3" t="s">
        <v>605</v>
      </c>
      <c r="L238" s="4">
        <v>13</v>
      </c>
      <c r="M238" s="3" t="s">
        <v>718</v>
      </c>
      <c r="N238" s="3" t="s">
        <v>63</v>
      </c>
    </row>
    <row r="239" spans="1:14" x14ac:dyDescent="0.2">
      <c r="A239" s="3" t="s">
        <v>22</v>
      </c>
      <c r="B239" s="6">
        <v>46226</v>
      </c>
      <c r="C239" s="3" t="s">
        <v>719</v>
      </c>
      <c r="D239" s="3" t="s">
        <v>720</v>
      </c>
      <c r="E239" s="4">
        <v>-174.12</v>
      </c>
      <c r="F239" s="3" t="s">
        <v>57</v>
      </c>
      <c r="G239" s="3" t="s">
        <v>405</v>
      </c>
      <c r="H239" s="3" t="s">
        <v>406</v>
      </c>
      <c r="I239" s="3" t="s">
        <v>719</v>
      </c>
      <c r="J239" s="4">
        <v>131.93</v>
      </c>
      <c r="K239" s="3" t="s">
        <v>605</v>
      </c>
      <c r="L239" s="4">
        <v>174.12</v>
      </c>
      <c r="M239" s="3" t="s">
        <v>721</v>
      </c>
      <c r="N239" s="3" t="s">
        <v>63</v>
      </c>
    </row>
    <row r="240" spans="1:14" x14ac:dyDescent="0.2">
      <c r="A240" s="3" t="s">
        <v>22</v>
      </c>
      <c r="B240" s="6">
        <v>46226</v>
      </c>
      <c r="C240" s="3" t="s">
        <v>719</v>
      </c>
      <c r="D240" s="3" t="s">
        <v>722</v>
      </c>
      <c r="E240" s="4">
        <v>-34</v>
      </c>
      <c r="F240" s="3" t="s">
        <v>57</v>
      </c>
      <c r="G240" s="3" t="s">
        <v>405</v>
      </c>
      <c r="H240" s="3" t="s">
        <v>406</v>
      </c>
      <c r="I240" s="3" t="s">
        <v>719</v>
      </c>
      <c r="J240" s="4">
        <v>306.05</v>
      </c>
      <c r="K240" s="3" t="s">
        <v>605</v>
      </c>
      <c r="L240" s="4">
        <v>34</v>
      </c>
      <c r="M240" s="3" t="s">
        <v>723</v>
      </c>
      <c r="N240" s="3" t="s">
        <v>63</v>
      </c>
    </row>
    <row r="241" spans="1:14" x14ac:dyDescent="0.2">
      <c r="A241" s="3" t="s">
        <v>22</v>
      </c>
      <c r="B241" s="6">
        <v>46226</v>
      </c>
      <c r="C241" s="3" t="s">
        <v>724</v>
      </c>
      <c r="D241" s="3" t="s">
        <v>725</v>
      </c>
      <c r="E241" s="4">
        <v>-59</v>
      </c>
      <c r="F241" s="3" t="s">
        <v>57</v>
      </c>
      <c r="G241" s="3" t="s">
        <v>58</v>
      </c>
      <c r="H241" s="3" t="s">
        <v>59</v>
      </c>
      <c r="I241" s="3" t="s">
        <v>726</v>
      </c>
      <c r="J241" s="4">
        <v>353.05</v>
      </c>
      <c r="K241" s="3" t="s">
        <v>605</v>
      </c>
      <c r="L241" s="4">
        <v>59</v>
      </c>
      <c r="M241" s="3" t="s">
        <v>727</v>
      </c>
      <c r="N241" s="3" t="s">
        <v>63</v>
      </c>
    </row>
    <row r="242" spans="1:14" x14ac:dyDescent="0.2">
      <c r="A242" s="3" t="s">
        <v>22</v>
      </c>
      <c r="B242" s="6">
        <v>46226</v>
      </c>
      <c r="C242" s="3" t="s">
        <v>78</v>
      </c>
      <c r="D242" s="3" t="s">
        <v>728</v>
      </c>
      <c r="E242" s="4">
        <v>0.18</v>
      </c>
      <c r="F242" s="3" t="s">
        <v>80</v>
      </c>
      <c r="G242" s="3" t="s">
        <v>6</v>
      </c>
      <c r="H242" s="3" t="s">
        <v>78</v>
      </c>
      <c r="I242" s="3" t="s">
        <v>81</v>
      </c>
      <c r="J242" s="4">
        <v>412.05</v>
      </c>
      <c r="K242" s="3" t="s">
        <v>605</v>
      </c>
      <c r="L242" s="4">
        <v>0.18</v>
      </c>
      <c r="M242" s="3" t="s">
        <v>729</v>
      </c>
      <c r="N242" s="3" t="s">
        <v>63</v>
      </c>
    </row>
    <row r="243" spans="1:14" x14ac:dyDescent="0.2">
      <c r="A243" s="3" t="s">
        <v>22</v>
      </c>
      <c r="B243" s="6">
        <v>46227</v>
      </c>
      <c r="C243" s="3" t="s">
        <v>724</v>
      </c>
      <c r="D243" s="3" t="s">
        <v>730</v>
      </c>
      <c r="E243" s="4">
        <v>-86</v>
      </c>
      <c r="F243" s="3" t="s">
        <v>57</v>
      </c>
      <c r="G243" s="3" t="s">
        <v>58</v>
      </c>
      <c r="H243" s="3" t="s">
        <v>59</v>
      </c>
      <c r="I243" s="3" t="s">
        <v>726</v>
      </c>
      <c r="J243" s="4">
        <v>46.11</v>
      </c>
      <c r="K243" s="3" t="s">
        <v>605</v>
      </c>
      <c r="L243" s="4">
        <v>86</v>
      </c>
      <c r="M243" s="3" t="s">
        <v>731</v>
      </c>
      <c r="N243" s="3" t="s">
        <v>63</v>
      </c>
    </row>
    <row r="244" spans="1:14" x14ac:dyDescent="0.2">
      <c r="A244" s="3" t="s">
        <v>22</v>
      </c>
      <c r="B244" s="6">
        <v>46227</v>
      </c>
      <c r="C244" s="3" t="s">
        <v>714</v>
      </c>
      <c r="D244" s="3" t="s">
        <v>732</v>
      </c>
      <c r="E244" s="4">
        <v>-13</v>
      </c>
      <c r="F244" s="3" t="s">
        <v>57</v>
      </c>
      <c r="G244" s="3" t="s">
        <v>716</v>
      </c>
      <c r="H244" s="3" t="s">
        <v>716</v>
      </c>
      <c r="I244" s="3" t="s">
        <v>717</v>
      </c>
      <c r="J244" s="4">
        <v>33.11</v>
      </c>
      <c r="K244" s="3" t="s">
        <v>605</v>
      </c>
      <c r="L244" s="4">
        <v>13</v>
      </c>
      <c r="M244" s="3" t="s">
        <v>733</v>
      </c>
      <c r="N244" s="3" t="s">
        <v>63</v>
      </c>
    </row>
    <row r="245" spans="1:14" x14ac:dyDescent="0.2">
      <c r="A245" s="3" t="s">
        <v>22</v>
      </c>
      <c r="B245" s="6">
        <v>46227</v>
      </c>
      <c r="C245" s="3" t="s">
        <v>445</v>
      </c>
      <c r="D245" s="3" t="s">
        <v>734</v>
      </c>
      <c r="E245" s="4">
        <v>7500</v>
      </c>
      <c r="F245" s="3" t="s">
        <v>80</v>
      </c>
      <c r="G245" s="3" t="s">
        <v>270</v>
      </c>
      <c r="H245" s="3" t="s">
        <v>271</v>
      </c>
      <c r="I245" s="3" t="s">
        <v>447</v>
      </c>
      <c r="J245" s="4">
        <v>7533.11</v>
      </c>
      <c r="K245" s="3" t="s">
        <v>605</v>
      </c>
      <c r="L245" s="4">
        <v>7500</v>
      </c>
      <c r="M245" s="3" t="s">
        <v>735</v>
      </c>
      <c r="N245" s="3" t="s">
        <v>63</v>
      </c>
    </row>
    <row r="246" spans="1:14" x14ac:dyDescent="0.2">
      <c r="A246" s="3" t="s">
        <v>22</v>
      </c>
      <c r="B246" s="6">
        <v>46227</v>
      </c>
      <c r="C246" s="3" t="s">
        <v>78</v>
      </c>
      <c r="D246" s="3" t="s">
        <v>736</v>
      </c>
      <c r="E246" s="4">
        <v>0.18</v>
      </c>
      <c r="F246" s="3" t="s">
        <v>80</v>
      </c>
      <c r="G246" s="3" t="s">
        <v>6</v>
      </c>
      <c r="H246" s="3" t="s">
        <v>78</v>
      </c>
      <c r="I246" s="3" t="s">
        <v>81</v>
      </c>
      <c r="J246" s="4">
        <v>132.11000000000001</v>
      </c>
      <c r="K246" s="3" t="s">
        <v>605</v>
      </c>
      <c r="L246" s="4">
        <v>0.18</v>
      </c>
      <c r="M246" s="3" t="s">
        <v>737</v>
      </c>
      <c r="N246" s="3" t="s">
        <v>63</v>
      </c>
    </row>
    <row r="247" spans="1:14" x14ac:dyDescent="0.2">
      <c r="A247" s="3" t="s">
        <v>22</v>
      </c>
      <c r="B247" s="6">
        <v>46228</v>
      </c>
      <c r="C247" s="3" t="s">
        <v>64</v>
      </c>
      <c r="D247" s="3" t="s">
        <v>738</v>
      </c>
      <c r="E247" s="4">
        <v>-172.2</v>
      </c>
      <c r="F247" s="3" t="s">
        <v>57</v>
      </c>
      <c r="G247" s="3" t="s">
        <v>58</v>
      </c>
      <c r="H247" s="3" t="s">
        <v>59</v>
      </c>
      <c r="I247" s="3" t="s">
        <v>66</v>
      </c>
      <c r="J247" s="4">
        <v>7360.91</v>
      </c>
      <c r="K247" s="3" t="s">
        <v>605</v>
      </c>
      <c r="L247" s="4">
        <v>172.2</v>
      </c>
      <c r="M247" s="3" t="s">
        <v>739</v>
      </c>
      <c r="N247" s="3" t="s">
        <v>63</v>
      </c>
    </row>
    <row r="248" spans="1:14" x14ac:dyDescent="0.2">
      <c r="A248" s="3" t="s">
        <v>22</v>
      </c>
      <c r="B248" s="6">
        <v>46230</v>
      </c>
      <c r="C248" s="3" t="s">
        <v>740</v>
      </c>
      <c r="D248" s="3" t="s">
        <v>741</v>
      </c>
      <c r="E248" s="4">
        <v>-130.13</v>
      </c>
      <c r="F248" s="3" t="s">
        <v>57</v>
      </c>
      <c r="G248" s="3" t="s">
        <v>58</v>
      </c>
      <c r="H248" s="3" t="s">
        <v>59</v>
      </c>
      <c r="I248" s="3" t="s">
        <v>742</v>
      </c>
      <c r="J248" s="4">
        <v>7233.98</v>
      </c>
      <c r="K248" s="3" t="s">
        <v>605</v>
      </c>
      <c r="L248" s="4">
        <v>130.13</v>
      </c>
      <c r="M248" s="3" t="s">
        <v>743</v>
      </c>
      <c r="N248" s="3" t="s">
        <v>63</v>
      </c>
    </row>
    <row r="249" spans="1:14" x14ac:dyDescent="0.2">
      <c r="A249" s="3" t="s">
        <v>22</v>
      </c>
      <c r="B249" s="6">
        <v>46230</v>
      </c>
      <c r="C249" s="3" t="s">
        <v>744</v>
      </c>
      <c r="D249" s="3" t="s">
        <v>745</v>
      </c>
      <c r="E249" s="4">
        <v>-322.8</v>
      </c>
      <c r="F249" s="3" t="s">
        <v>57</v>
      </c>
      <c r="G249" s="3" t="s">
        <v>312</v>
      </c>
      <c r="H249" s="3" t="s">
        <v>313</v>
      </c>
      <c r="I249" s="3" t="s">
        <v>746</v>
      </c>
      <c r="J249" s="4">
        <v>6911.18</v>
      </c>
      <c r="K249" s="3" t="s">
        <v>605</v>
      </c>
      <c r="L249" s="4">
        <v>322.8</v>
      </c>
      <c r="M249" s="3" t="s">
        <v>747</v>
      </c>
      <c r="N249" s="3" t="s">
        <v>63</v>
      </c>
    </row>
    <row r="250" spans="1:14" x14ac:dyDescent="0.2">
      <c r="A250" s="3" t="s">
        <v>22</v>
      </c>
      <c r="B250" s="6">
        <v>46230</v>
      </c>
      <c r="C250" s="3" t="s">
        <v>78</v>
      </c>
      <c r="D250" s="3" t="s">
        <v>748</v>
      </c>
      <c r="E250" s="4">
        <v>3.2</v>
      </c>
      <c r="F250" s="3" t="s">
        <v>80</v>
      </c>
      <c r="G250" s="3" t="s">
        <v>6</v>
      </c>
      <c r="H250" s="3" t="s">
        <v>78</v>
      </c>
      <c r="I250" s="3" t="s">
        <v>81</v>
      </c>
      <c r="J250" s="4">
        <v>7364.11</v>
      </c>
      <c r="K250" s="3" t="s">
        <v>605</v>
      </c>
      <c r="L250" s="4">
        <v>3.2</v>
      </c>
      <c r="M250" s="3" t="s">
        <v>749</v>
      </c>
      <c r="N250" s="3" t="s">
        <v>63</v>
      </c>
    </row>
    <row r="251" spans="1:14" x14ac:dyDescent="0.2">
      <c r="A251" s="3" t="s">
        <v>22</v>
      </c>
      <c r="B251" s="6">
        <v>46231</v>
      </c>
      <c r="C251" s="3" t="s">
        <v>750</v>
      </c>
      <c r="D251" s="3" t="s">
        <v>751</v>
      </c>
      <c r="E251" s="4">
        <v>-146.99</v>
      </c>
      <c r="F251" s="3" t="s">
        <v>57</v>
      </c>
      <c r="G251" s="3" t="s">
        <v>58</v>
      </c>
      <c r="H251" s="3" t="s">
        <v>59</v>
      </c>
      <c r="I251" s="3" t="s">
        <v>752</v>
      </c>
      <c r="J251" s="4">
        <v>6767.13</v>
      </c>
      <c r="K251" s="3" t="s">
        <v>605</v>
      </c>
      <c r="L251" s="4">
        <v>146.99</v>
      </c>
      <c r="M251" s="3" t="s">
        <v>753</v>
      </c>
      <c r="N251" s="3" t="s">
        <v>63</v>
      </c>
    </row>
    <row r="252" spans="1:14" x14ac:dyDescent="0.2">
      <c r="A252" s="3" t="s">
        <v>22</v>
      </c>
      <c r="B252" s="6">
        <v>46231</v>
      </c>
      <c r="C252" s="3" t="s">
        <v>78</v>
      </c>
      <c r="D252" s="3" t="s">
        <v>754</v>
      </c>
      <c r="E252" s="4">
        <v>2.94</v>
      </c>
      <c r="F252" s="3" t="s">
        <v>80</v>
      </c>
      <c r="G252" s="3" t="s">
        <v>6</v>
      </c>
      <c r="H252" s="3" t="s">
        <v>78</v>
      </c>
      <c r="I252" s="3" t="s">
        <v>81</v>
      </c>
      <c r="J252" s="4">
        <v>6914.12</v>
      </c>
      <c r="K252" s="3" t="s">
        <v>605</v>
      </c>
      <c r="L252" s="4">
        <v>2.94</v>
      </c>
      <c r="M252" s="3" t="s">
        <v>755</v>
      </c>
      <c r="N252" s="3" t="s">
        <v>63</v>
      </c>
    </row>
    <row r="253" spans="1:14" x14ac:dyDescent="0.2">
      <c r="A253" s="3" t="s">
        <v>22</v>
      </c>
      <c r="B253" s="6">
        <v>46232</v>
      </c>
      <c r="C253" s="3" t="s">
        <v>78</v>
      </c>
      <c r="D253" s="3" t="s">
        <v>756</v>
      </c>
      <c r="E253" s="4">
        <v>2.89</v>
      </c>
      <c r="F253" s="3" t="s">
        <v>80</v>
      </c>
      <c r="G253" s="3" t="s">
        <v>6</v>
      </c>
      <c r="H253" s="3" t="s">
        <v>78</v>
      </c>
      <c r="I253" s="3" t="s">
        <v>81</v>
      </c>
      <c r="J253" s="4">
        <v>6770.02</v>
      </c>
      <c r="K253" s="3" t="s">
        <v>605</v>
      </c>
      <c r="L253" s="4">
        <v>2.89</v>
      </c>
      <c r="M253" s="3" t="s">
        <v>757</v>
      </c>
      <c r="N253" s="3" t="s">
        <v>63</v>
      </c>
    </row>
    <row r="254" spans="1:14" x14ac:dyDescent="0.2">
      <c r="A254" s="3" t="s">
        <v>22</v>
      </c>
      <c r="B254" s="6">
        <v>46233</v>
      </c>
      <c r="C254" s="3" t="s">
        <v>78</v>
      </c>
      <c r="D254" s="3" t="s">
        <v>758</v>
      </c>
      <c r="E254" s="4">
        <v>2.88</v>
      </c>
      <c r="F254" s="3" t="s">
        <v>80</v>
      </c>
      <c r="G254" s="3" t="s">
        <v>6</v>
      </c>
      <c r="H254" s="3" t="s">
        <v>78</v>
      </c>
      <c r="I254" s="3" t="s">
        <v>81</v>
      </c>
      <c r="J254" s="4">
        <v>6772.9</v>
      </c>
      <c r="K254" s="3" t="s">
        <v>605</v>
      </c>
      <c r="L254" s="4">
        <v>2.88</v>
      </c>
      <c r="M254" s="3" t="s">
        <v>759</v>
      </c>
      <c r="N254" s="3" t="s">
        <v>63</v>
      </c>
    </row>
    <row r="255" spans="1:14" x14ac:dyDescent="0.2">
      <c r="A255" s="3" t="s">
        <v>22</v>
      </c>
      <c r="B255" s="6">
        <v>46234</v>
      </c>
      <c r="C255" s="3" t="s">
        <v>760</v>
      </c>
      <c r="D255" s="3" t="s">
        <v>761</v>
      </c>
      <c r="E255" s="4">
        <v>-960</v>
      </c>
      <c r="F255" s="3" t="s">
        <v>57</v>
      </c>
      <c r="G255" s="3" t="s">
        <v>58</v>
      </c>
      <c r="H255" s="3" t="s">
        <v>59</v>
      </c>
      <c r="I255" s="3" t="s">
        <v>762</v>
      </c>
      <c r="J255" s="4">
        <v>5125.91</v>
      </c>
      <c r="K255" s="3" t="s">
        <v>605</v>
      </c>
      <c r="L255" s="4">
        <v>960</v>
      </c>
      <c r="M255" s="3" t="s">
        <v>763</v>
      </c>
      <c r="N255" s="3" t="s">
        <v>63</v>
      </c>
    </row>
    <row r="256" spans="1:14" x14ac:dyDescent="0.2">
      <c r="A256" s="3" t="s">
        <v>22</v>
      </c>
      <c r="B256" s="6">
        <v>46234</v>
      </c>
      <c r="C256" s="3" t="s">
        <v>764</v>
      </c>
      <c r="D256" s="3" t="s">
        <v>765</v>
      </c>
      <c r="E256" s="4">
        <v>-188</v>
      </c>
      <c r="F256" s="3" t="s">
        <v>57</v>
      </c>
      <c r="G256" s="3" t="s">
        <v>312</v>
      </c>
      <c r="H256" s="3" t="s">
        <v>313</v>
      </c>
      <c r="I256" s="3" t="s">
        <v>764</v>
      </c>
      <c r="J256" s="4">
        <v>4629.07</v>
      </c>
      <c r="K256" s="3" t="s">
        <v>605</v>
      </c>
      <c r="L256" s="4">
        <v>188</v>
      </c>
      <c r="M256" s="3" t="s">
        <v>766</v>
      </c>
      <c r="N256" s="3" t="s">
        <v>63</v>
      </c>
    </row>
    <row r="257" spans="1:14" x14ac:dyDescent="0.2">
      <c r="A257" s="3" t="s">
        <v>22</v>
      </c>
      <c r="B257" s="6">
        <v>46234</v>
      </c>
      <c r="C257" s="3" t="s">
        <v>338</v>
      </c>
      <c r="D257" s="3" t="s">
        <v>767</v>
      </c>
      <c r="E257" s="4">
        <v>-689.88</v>
      </c>
      <c r="F257" s="3" t="s">
        <v>57</v>
      </c>
      <c r="G257" s="3" t="s">
        <v>340</v>
      </c>
      <c r="H257" s="3" t="s">
        <v>341</v>
      </c>
      <c r="I257" s="3"/>
      <c r="J257" s="4">
        <v>6085.91</v>
      </c>
      <c r="K257" s="3" t="s">
        <v>605</v>
      </c>
      <c r="L257" s="4">
        <v>689.88</v>
      </c>
      <c r="M257" s="3" t="s">
        <v>768</v>
      </c>
      <c r="N257" s="3" t="s">
        <v>63</v>
      </c>
    </row>
    <row r="258" spans="1:14" x14ac:dyDescent="0.2">
      <c r="A258" s="3" t="s">
        <v>22</v>
      </c>
      <c r="B258" s="6">
        <v>46234</v>
      </c>
      <c r="C258" s="3" t="s">
        <v>122</v>
      </c>
      <c r="D258" s="3" t="s">
        <v>769</v>
      </c>
      <c r="E258" s="4">
        <v>-308.83999999999997</v>
      </c>
      <c r="F258" s="3" t="s">
        <v>57</v>
      </c>
      <c r="G258" s="3" t="s">
        <v>70</v>
      </c>
      <c r="H258" s="3" t="s">
        <v>71</v>
      </c>
      <c r="I258" s="3" t="s">
        <v>124</v>
      </c>
      <c r="J258" s="4">
        <v>4817.07</v>
      </c>
      <c r="K258" s="3" t="s">
        <v>605</v>
      </c>
      <c r="L258" s="4">
        <v>308.83999999999997</v>
      </c>
      <c r="M258" s="3" t="s">
        <v>770</v>
      </c>
      <c r="N258" s="3" t="s">
        <v>63</v>
      </c>
    </row>
    <row r="259" spans="1:14" x14ac:dyDescent="0.2">
      <c r="A259" s="3" t="s">
        <v>22</v>
      </c>
      <c r="B259" s="6">
        <v>46234</v>
      </c>
      <c r="C259" s="3" t="s">
        <v>64</v>
      </c>
      <c r="D259" s="3" t="s">
        <v>771</v>
      </c>
      <c r="E259" s="4">
        <v>-310</v>
      </c>
      <c r="F259" s="3" t="s">
        <v>57</v>
      </c>
      <c r="G259" s="3" t="s">
        <v>58</v>
      </c>
      <c r="H259" s="3" t="s">
        <v>59</v>
      </c>
      <c r="I259" s="3" t="s">
        <v>66</v>
      </c>
      <c r="J259" s="4">
        <v>4319.07</v>
      </c>
      <c r="K259" s="3" t="s">
        <v>605</v>
      </c>
      <c r="L259" s="4">
        <v>310</v>
      </c>
      <c r="M259" s="3" t="s">
        <v>772</v>
      </c>
      <c r="N259" s="3" t="s">
        <v>63</v>
      </c>
    </row>
    <row r="260" spans="1:14" x14ac:dyDescent="0.2">
      <c r="A260" s="3" t="s">
        <v>22</v>
      </c>
      <c r="B260" s="6">
        <v>46234</v>
      </c>
      <c r="C260" s="3" t="s">
        <v>78</v>
      </c>
      <c r="D260" s="3" t="s">
        <v>773</v>
      </c>
      <c r="E260" s="4">
        <v>2.89</v>
      </c>
      <c r="F260" s="3" t="s">
        <v>80</v>
      </c>
      <c r="G260" s="3" t="s">
        <v>6</v>
      </c>
      <c r="H260" s="3" t="s">
        <v>78</v>
      </c>
      <c r="I260" s="3" t="s">
        <v>81</v>
      </c>
      <c r="J260" s="4">
        <v>6775.79</v>
      </c>
      <c r="K260" s="3" t="s">
        <v>605</v>
      </c>
      <c r="L260" s="4">
        <v>2.89</v>
      </c>
      <c r="M260" s="3" t="s">
        <v>774</v>
      </c>
      <c r="N260" s="3" t="s">
        <v>63</v>
      </c>
    </row>
    <row r="261" spans="1:14" x14ac:dyDescent="0.2">
      <c r="A261" s="3" t="s">
        <v>23</v>
      </c>
      <c r="B261" s="6">
        <v>46235</v>
      </c>
      <c r="C261" s="3" t="s">
        <v>775</v>
      </c>
      <c r="D261" s="3" t="s">
        <v>776</v>
      </c>
      <c r="E261" s="4">
        <v>-41.38</v>
      </c>
      <c r="F261" s="3" t="s">
        <v>57</v>
      </c>
      <c r="G261" s="3" t="s">
        <v>58</v>
      </c>
      <c r="H261" s="3" t="s">
        <v>59</v>
      </c>
      <c r="I261" s="3" t="s">
        <v>777</v>
      </c>
      <c r="J261" s="4">
        <v>4277.6899999999996</v>
      </c>
      <c r="K261" s="3" t="s">
        <v>778</v>
      </c>
      <c r="L261" s="4">
        <v>41.38</v>
      </c>
      <c r="M261" s="3" t="s">
        <v>779</v>
      </c>
      <c r="N261" s="3" t="s">
        <v>63</v>
      </c>
    </row>
    <row r="262" spans="1:14" x14ac:dyDescent="0.2">
      <c r="A262" s="3" t="s">
        <v>23</v>
      </c>
      <c r="B262" s="6">
        <v>46237</v>
      </c>
      <c r="C262" s="3" t="s">
        <v>122</v>
      </c>
      <c r="D262" s="3" t="s">
        <v>780</v>
      </c>
      <c r="E262" s="4">
        <v>-166.93</v>
      </c>
      <c r="F262" s="3" t="s">
        <v>57</v>
      </c>
      <c r="G262" s="3" t="s">
        <v>70</v>
      </c>
      <c r="H262" s="3" t="s">
        <v>71</v>
      </c>
      <c r="I262" s="3" t="s">
        <v>124</v>
      </c>
      <c r="J262" s="4">
        <v>4112.7299999999996</v>
      </c>
      <c r="K262" s="3" t="s">
        <v>778</v>
      </c>
      <c r="L262" s="4">
        <v>166.93</v>
      </c>
      <c r="M262" s="3" t="s">
        <v>781</v>
      </c>
      <c r="N262" s="3" t="s">
        <v>63</v>
      </c>
    </row>
    <row r="263" spans="1:14" x14ac:dyDescent="0.2">
      <c r="A263" s="3" t="s">
        <v>23</v>
      </c>
      <c r="B263" s="6">
        <v>46237</v>
      </c>
      <c r="C263" s="3" t="s">
        <v>78</v>
      </c>
      <c r="D263" s="3" t="s">
        <v>782</v>
      </c>
      <c r="E263" s="4">
        <v>1.97</v>
      </c>
      <c r="F263" s="3" t="s">
        <v>80</v>
      </c>
      <c r="G263" s="3" t="s">
        <v>6</v>
      </c>
      <c r="H263" s="3" t="s">
        <v>78</v>
      </c>
      <c r="I263" s="3" t="s">
        <v>81</v>
      </c>
      <c r="J263" s="4">
        <v>4279.66</v>
      </c>
      <c r="K263" s="3" t="s">
        <v>778</v>
      </c>
      <c r="L263" s="4">
        <v>1.97</v>
      </c>
      <c r="M263" s="3" t="s">
        <v>783</v>
      </c>
      <c r="N263" s="3" t="s">
        <v>63</v>
      </c>
    </row>
    <row r="264" spans="1:14" x14ac:dyDescent="0.2">
      <c r="A264" s="3" t="s">
        <v>23</v>
      </c>
      <c r="B264" s="6">
        <v>46238</v>
      </c>
      <c r="C264" s="3" t="s">
        <v>338</v>
      </c>
      <c r="D264" s="3" t="s">
        <v>784</v>
      </c>
      <c r="E264" s="4">
        <v>-584.99</v>
      </c>
      <c r="F264" s="3" t="s">
        <v>57</v>
      </c>
      <c r="G264" s="3" t="s">
        <v>340</v>
      </c>
      <c r="H264" s="3" t="s">
        <v>341</v>
      </c>
      <c r="I264" s="3"/>
      <c r="J264" s="4">
        <v>3527.74</v>
      </c>
      <c r="K264" s="3" t="s">
        <v>778</v>
      </c>
      <c r="L264" s="4">
        <v>584.99</v>
      </c>
      <c r="M264" s="3" t="s">
        <v>785</v>
      </c>
      <c r="N264" s="3" t="s">
        <v>63</v>
      </c>
    </row>
    <row r="265" spans="1:14" x14ac:dyDescent="0.2">
      <c r="A265" s="3" t="s">
        <v>23</v>
      </c>
      <c r="B265" s="6">
        <v>46238</v>
      </c>
      <c r="C265" s="3" t="s">
        <v>602</v>
      </c>
      <c r="D265" s="3" t="s">
        <v>786</v>
      </c>
      <c r="E265" s="4">
        <v>-450</v>
      </c>
      <c r="F265" s="3" t="s">
        <v>57</v>
      </c>
      <c r="G265" s="3" t="s">
        <v>58</v>
      </c>
      <c r="H265" s="3" t="s">
        <v>59</v>
      </c>
      <c r="I265" s="3" t="s">
        <v>604</v>
      </c>
      <c r="J265" s="4">
        <v>3079.49</v>
      </c>
      <c r="K265" s="3" t="s">
        <v>778</v>
      </c>
      <c r="L265" s="4">
        <v>450</v>
      </c>
      <c r="M265" s="3" t="s">
        <v>787</v>
      </c>
      <c r="N265" s="3" t="s">
        <v>63</v>
      </c>
    </row>
    <row r="266" spans="1:14" x14ac:dyDescent="0.2">
      <c r="A266" s="3" t="s">
        <v>23</v>
      </c>
      <c r="B266" s="6">
        <v>46238</v>
      </c>
      <c r="C266" s="3" t="s">
        <v>78</v>
      </c>
      <c r="D266" s="3" t="s">
        <v>788</v>
      </c>
      <c r="E266" s="4">
        <v>1.75</v>
      </c>
      <c r="F266" s="3" t="s">
        <v>80</v>
      </c>
      <c r="G266" s="3" t="s">
        <v>6</v>
      </c>
      <c r="H266" s="3" t="s">
        <v>78</v>
      </c>
      <c r="I266" s="3" t="s">
        <v>81</v>
      </c>
      <c r="J266" s="4">
        <v>3529.49</v>
      </c>
      <c r="K266" s="3" t="s">
        <v>778</v>
      </c>
      <c r="L266" s="4">
        <v>1.75</v>
      </c>
      <c r="M266" s="3" t="s">
        <v>789</v>
      </c>
      <c r="N266" s="3" t="s">
        <v>63</v>
      </c>
    </row>
    <row r="267" spans="1:14" x14ac:dyDescent="0.2">
      <c r="A267" s="3" t="s">
        <v>23</v>
      </c>
      <c r="B267" s="6">
        <v>46239</v>
      </c>
      <c r="C267" s="3" t="s">
        <v>78</v>
      </c>
      <c r="D267" s="3" t="s">
        <v>790</v>
      </c>
      <c r="E267" s="4">
        <v>1.3</v>
      </c>
      <c r="F267" s="3" t="s">
        <v>80</v>
      </c>
      <c r="G267" s="3" t="s">
        <v>6</v>
      </c>
      <c r="H267" s="3" t="s">
        <v>78</v>
      </c>
      <c r="I267" s="3" t="s">
        <v>81</v>
      </c>
      <c r="J267" s="4">
        <v>3080.79</v>
      </c>
      <c r="K267" s="3" t="s">
        <v>778</v>
      </c>
      <c r="L267" s="4">
        <v>1.3</v>
      </c>
      <c r="M267" s="3" t="s">
        <v>791</v>
      </c>
      <c r="N267" s="3" t="s">
        <v>63</v>
      </c>
    </row>
    <row r="268" spans="1:14" x14ac:dyDescent="0.2">
      <c r="A268" s="3" t="s">
        <v>23</v>
      </c>
      <c r="B268" s="6">
        <v>46240</v>
      </c>
      <c r="C268" s="3" t="s">
        <v>719</v>
      </c>
      <c r="D268" s="3" t="s">
        <v>792</v>
      </c>
      <c r="E268" s="4">
        <v>-80.72</v>
      </c>
      <c r="F268" s="3" t="s">
        <v>57</v>
      </c>
      <c r="G268" s="3" t="s">
        <v>405</v>
      </c>
      <c r="H268" s="3" t="s">
        <v>406</v>
      </c>
      <c r="I268" s="3" t="s">
        <v>719</v>
      </c>
      <c r="J268" s="4">
        <v>3000.07</v>
      </c>
      <c r="K268" s="3" t="s">
        <v>778</v>
      </c>
      <c r="L268" s="4">
        <v>80.72</v>
      </c>
      <c r="M268" s="3" t="s">
        <v>793</v>
      </c>
      <c r="N268" s="3" t="s">
        <v>63</v>
      </c>
    </row>
    <row r="269" spans="1:14" x14ac:dyDescent="0.2">
      <c r="A269" s="3" t="s">
        <v>23</v>
      </c>
      <c r="B269" s="6">
        <v>46240</v>
      </c>
      <c r="C269" s="3" t="s">
        <v>794</v>
      </c>
      <c r="D269" s="3" t="s">
        <v>795</v>
      </c>
      <c r="E269" s="4">
        <v>-400</v>
      </c>
      <c r="F269" s="3" t="s">
        <v>57</v>
      </c>
      <c r="G269" s="3" t="s">
        <v>312</v>
      </c>
      <c r="H269" s="3" t="s">
        <v>313</v>
      </c>
      <c r="I269" s="3" t="s">
        <v>796</v>
      </c>
      <c r="J269" s="4">
        <v>2601.39</v>
      </c>
      <c r="K269" s="3" t="s">
        <v>778</v>
      </c>
      <c r="L269" s="4">
        <v>400</v>
      </c>
      <c r="M269" s="3" t="s">
        <v>797</v>
      </c>
      <c r="N269" s="3" t="s">
        <v>63</v>
      </c>
    </row>
    <row r="270" spans="1:14" x14ac:dyDescent="0.2">
      <c r="A270" s="3" t="s">
        <v>23</v>
      </c>
      <c r="B270" s="6">
        <v>46240</v>
      </c>
      <c r="C270" s="3" t="s">
        <v>701</v>
      </c>
      <c r="D270" s="3" t="s">
        <v>798</v>
      </c>
      <c r="E270" s="4">
        <v>-118.9</v>
      </c>
      <c r="F270" s="3" t="s">
        <v>57</v>
      </c>
      <c r="G270" s="3" t="s">
        <v>70</v>
      </c>
      <c r="H270" s="3" t="s">
        <v>71</v>
      </c>
      <c r="I270" s="3" t="s">
        <v>701</v>
      </c>
      <c r="J270" s="4">
        <v>2482.4899999999998</v>
      </c>
      <c r="K270" s="3" t="s">
        <v>778</v>
      </c>
      <c r="L270" s="4">
        <v>118.9</v>
      </c>
      <c r="M270" s="3" t="s">
        <v>799</v>
      </c>
      <c r="N270" s="3" t="s">
        <v>63</v>
      </c>
    </row>
    <row r="271" spans="1:14" x14ac:dyDescent="0.2">
      <c r="A271" s="3" t="s">
        <v>23</v>
      </c>
      <c r="B271" s="6">
        <v>46240</v>
      </c>
      <c r="C271" s="3" t="s">
        <v>78</v>
      </c>
      <c r="D271" s="3" t="s">
        <v>800</v>
      </c>
      <c r="E271" s="4">
        <v>1.32</v>
      </c>
      <c r="F271" s="3" t="s">
        <v>80</v>
      </c>
      <c r="G271" s="3" t="s">
        <v>6</v>
      </c>
      <c r="H271" s="3" t="s">
        <v>78</v>
      </c>
      <c r="I271" s="3" t="s">
        <v>81</v>
      </c>
      <c r="J271" s="4">
        <v>3001.39</v>
      </c>
      <c r="K271" s="3" t="s">
        <v>778</v>
      </c>
      <c r="L271" s="4">
        <v>1.32</v>
      </c>
      <c r="M271" s="3" t="s">
        <v>801</v>
      </c>
      <c r="N271" s="3" t="s">
        <v>63</v>
      </c>
    </row>
    <row r="272" spans="1:14" x14ac:dyDescent="0.2">
      <c r="A272" s="3" t="s">
        <v>23</v>
      </c>
      <c r="B272" s="6">
        <v>46241</v>
      </c>
      <c r="C272" s="3" t="s">
        <v>481</v>
      </c>
      <c r="D272" s="3" t="s">
        <v>802</v>
      </c>
      <c r="E272" s="4">
        <v>-1090</v>
      </c>
      <c r="F272" s="3" t="s">
        <v>57</v>
      </c>
      <c r="G272" s="3" t="s">
        <v>340</v>
      </c>
      <c r="H272" s="3" t="s">
        <v>341</v>
      </c>
      <c r="I272" s="3"/>
      <c r="J272" s="4">
        <v>1393.58</v>
      </c>
      <c r="K272" s="3" t="s">
        <v>778</v>
      </c>
      <c r="L272" s="4">
        <v>1090</v>
      </c>
      <c r="M272" s="3" t="s">
        <v>803</v>
      </c>
      <c r="N272" s="3" t="s">
        <v>63</v>
      </c>
    </row>
    <row r="273" spans="1:14" x14ac:dyDescent="0.2">
      <c r="A273" s="3" t="s">
        <v>23</v>
      </c>
      <c r="B273" s="6">
        <v>46241</v>
      </c>
      <c r="C273" s="3" t="s">
        <v>98</v>
      </c>
      <c r="D273" s="3" t="s">
        <v>804</v>
      </c>
      <c r="E273" s="4">
        <v>-281.43</v>
      </c>
      <c r="F273" s="3" t="s">
        <v>57</v>
      </c>
      <c r="G273" s="3" t="s">
        <v>70</v>
      </c>
      <c r="H273" s="3" t="s">
        <v>71</v>
      </c>
      <c r="I273" s="3" t="s">
        <v>100</v>
      </c>
      <c r="J273" s="4">
        <v>1112.1500000000001</v>
      </c>
      <c r="K273" s="3" t="s">
        <v>778</v>
      </c>
      <c r="L273" s="4">
        <v>281.43</v>
      </c>
      <c r="M273" s="3" t="s">
        <v>805</v>
      </c>
      <c r="N273" s="3" t="s">
        <v>63</v>
      </c>
    </row>
    <row r="274" spans="1:14" x14ac:dyDescent="0.2">
      <c r="A274" s="3" t="s">
        <v>23</v>
      </c>
      <c r="B274" s="6">
        <v>46241</v>
      </c>
      <c r="C274" s="3" t="s">
        <v>78</v>
      </c>
      <c r="D274" s="3" t="s">
        <v>806</v>
      </c>
      <c r="E274" s="4">
        <v>1.0900000000000001</v>
      </c>
      <c r="F274" s="3" t="s">
        <v>80</v>
      </c>
      <c r="G274" s="3" t="s">
        <v>6</v>
      </c>
      <c r="H274" s="3" t="s">
        <v>78</v>
      </c>
      <c r="I274" s="3" t="s">
        <v>81</v>
      </c>
      <c r="J274" s="4">
        <v>2483.58</v>
      </c>
      <c r="K274" s="3" t="s">
        <v>778</v>
      </c>
      <c r="L274" s="4">
        <v>1.0900000000000001</v>
      </c>
      <c r="M274" s="3" t="s">
        <v>807</v>
      </c>
      <c r="N274" s="3" t="s">
        <v>63</v>
      </c>
    </row>
    <row r="275" spans="1:14" x14ac:dyDescent="0.2">
      <c r="A275" s="3" t="s">
        <v>23</v>
      </c>
      <c r="B275" s="6">
        <v>46242</v>
      </c>
      <c r="C275" s="3" t="s">
        <v>122</v>
      </c>
      <c r="D275" s="3" t="s">
        <v>808</v>
      </c>
      <c r="E275" s="4">
        <v>-162.91</v>
      </c>
      <c r="F275" s="3" t="s">
        <v>57</v>
      </c>
      <c r="G275" s="3" t="s">
        <v>70</v>
      </c>
      <c r="H275" s="3" t="s">
        <v>71</v>
      </c>
      <c r="I275" s="3" t="s">
        <v>124</v>
      </c>
      <c r="J275" s="4">
        <v>949.24</v>
      </c>
      <c r="K275" s="3" t="s">
        <v>778</v>
      </c>
      <c r="L275" s="4">
        <v>162.91</v>
      </c>
      <c r="M275" s="3" t="s">
        <v>809</v>
      </c>
      <c r="N275" s="3" t="s">
        <v>63</v>
      </c>
    </row>
    <row r="276" spans="1:14" x14ac:dyDescent="0.2">
      <c r="A276" s="3" t="s">
        <v>23</v>
      </c>
      <c r="B276" s="6">
        <v>46243</v>
      </c>
      <c r="C276" s="3" t="s">
        <v>691</v>
      </c>
      <c r="D276" s="3" t="s">
        <v>810</v>
      </c>
      <c r="E276" s="4">
        <v>-88</v>
      </c>
      <c r="F276" s="3" t="s">
        <v>57</v>
      </c>
      <c r="G276" s="3" t="s">
        <v>58</v>
      </c>
      <c r="H276" s="3" t="s">
        <v>59</v>
      </c>
      <c r="I276" s="3" t="s">
        <v>693</v>
      </c>
      <c r="J276" s="4">
        <v>861.24</v>
      </c>
      <c r="K276" s="3" t="s">
        <v>778</v>
      </c>
      <c r="L276" s="4">
        <v>88</v>
      </c>
      <c r="M276" s="3" t="s">
        <v>811</v>
      </c>
      <c r="N276" s="3" t="s">
        <v>63</v>
      </c>
    </row>
    <row r="277" spans="1:14" x14ac:dyDescent="0.2">
      <c r="A277" s="3" t="s">
        <v>23</v>
      </c>
      <c r="B277" s="6">
        <v>46244</v>
      </c>
      <c r="C277" s="3" t="s">
        <v>812</v>
      </c>
      <c r="D277" s="3" t="s">
        <v>813</v>
      </c>
      <c r="E277" s="4">
        <v>-140</v>
      </c>
      <c r="F277" s="3" t="s">
        <v>57</v>
      </c>
      <c r="G277" s="3" t="s">
        <v>178</v>
      </c>
      <c r="H277" s="3" t="s">
        <v>178</v>
      </c>
      <c r="I277" s="3" t="s">
        <v>814</v>
      </c>
      <c r="J277" s="4">
        <v>721.82</v>
      </c>
      <c r="K277" s="3" t="s">
        <v>778</v>
      </c>
      <c r="L277" s="4">
        <v>140</v>
      </c>
      <c r="M277" s="3" t="s">
        <v>815</v>
      </c>
      <c r="N277" s="3" t="s">
        <v>63</v>
      </c>
    </row>
    <row r="278" spans="1:14" x14ac:dyDescent="0.2">
      <c r="A278" s="3" t="s">
        <v>23</v>
      </c>
      <c r="B278" s="6">
        <v>46244</v>
      </c>
      <c r="C278" s="3" t="s">
        <v>78</v>
      </c>
      <c r="D278" s="3" t="s">
        <v>816</v>
      </c>
      <c r="E278" s="4">
        <v>0.57999999999999996</v>
      </c>
      <c r="F278" s="3" t="s">
        <v>80</v>
      </c>
      <c r="G278" s="3" t="s">
        <v>6</v>
      </c>
      <c r="H278" s="3" t="s">
        <v>78</v>
      </c>
      <c r="I278" s="3" t="s">
        <v>81</v>
      </c>
      <c r="J278" s="4">
        <v>861.82</v>
      </c>
      <c r="K278" s="3" t="s">
        <v>778</v>
      </c>
      <c r="L278" s="4">
        <v>0.57999999999999996</v>
      </c>
      <c r="M278" s="3" t="s">
        <v>817</v>
      </c>
      <c r="N278" s="3" t="s">
        <v>63</v>
      </c>
    </row>
    <row r="279" spans="1:14" x14ac:dyDescent="0.2">
      <c r="A279" s="3" t="s">
        <v>23</v>
      </c>
      <c r="B279" s="6">
        <v>46245</v>
      </c>
      <c r="C279" s="3" t="s">
        <v>818</v>
      </c>
      <c r="D279" s="3" t="s">
        <v>819</v>
      </c>
      <c r="E279" s="4">
        <v>-154.12</v>
      </c>
      <c r="F279" s="3" t="s">
        <v>57</v>
      </c>
      <c r="G279" s="3" t="s">
        <v>667</v>
      </c>
      <c r="H279" s="3" t="s">
        <v>667</v>
      </c>
      <c r="I279" s="3" t="s">
        <v>818</v>
      </c>
      <c r="J279" s="4">
        <v>548.14</v>
      </c>
      <c r="K279" s="3" t="s">
        <v>778</v>
      </c>
      <c r="L279" s="4">
        <v>154.12</v>
      </c>
      <c r="M279" s="3" t="s">
        <v>820</v>
      </c>
      <c r="N279" s="3" t="s">
        <v>63</v>
      </c>
    </row>
    <row r="280" spans="1:14" x14ac:dyDescent="0.2">
      <c r="A280" s="3" t="s">
        <v>23</v>
      </c>
      <c r="B280" s="6">
        <v>46245</v>
      </c>
      <c r="C280" s="3" t="s">
        <v>821</v>
      </c>
      <c r="D280" s="3" t="s">
        <v>822</v>
      </c>
      <c r="E280" s="4">
        <v>6000</v>
      </c>
      <c r="F280" s="3" t="s">
        <v>80</v>
      </c>
      <c r="G280" s="3" t="s">
        <v>270</v>
      </c>
      <c r="H280" s="3" t="s">
        <v>271</v>
      </c>
      <c r="I280" s="3" t="s">
        <v>272</v>
      </c>
      <c r="J280" s="4">
        <v>6548.44</v>
      </c>
      <c r="K280" s="3" t="s">
        <v>778</v>
      </c>
      <c r="L280" s="4">
        <v>6000</v>
      </c>
      <c r="M280" s="3" t="s">
        <v>823</v>
      </c>
      <c r="N280" s="3" t="s">
        <v>63</v>
      </c>
    </row>
    <row r="281" spans="1:14" x14ac:dyDescent="0.2">
      <c r="A281" s="3" t="s">
        <v>23</v>
      </c>
      <c r="B281" s="6">
        <v>46245</v>
      </c>
      <c r="C281" s="3" t="s">
        <v>719</v>
      </c>
      <c r="D281" s="3" t="s">
        <v>824</v>
      </c>
      <c r="E281" s="4">
        <v>-19.559999999999999</v>
      </c>
      <c r="F281" s="3" t="s">
        <v>57</v>
      </c>
      <c r="G281" s="3" t="s">
        <v>405</v>
      </c>
      <c r="H281" s="3" t="s">
        <v>406</v>
      </c>
      <c r="I281" s="3" t="s">
        <v>719</v>
      </c>
      <c r="J281" s="4">
        <v>702.26</v>
      </c>
      <c r="K281" s="3" t="s">
        <v>778</v>
      </c>
      <c r="L281" s="4">
        <v>19.559999999999999</v>
      </c>
      <c r="M281" s="3" t="s">
        <v>825</v>
      </c>
      <c r="N281" s="3" t="s">
        <v>63</v>
      </c>
    </row>
    <row r="282" spans="1:14" x14ac:dyDescent="0.2">
      <c r="A282" s="3" t="s">
        <v>23</v>
      </c>
      <c r="B282" s="6">
        <v>46245</v>
      </c>
      <c r="C282" s="3" t="s">
        <v>78</v>
      </c>
      <c r="D282" s="3" t="s">
        <v>826</v>
      </c>
      <c r="E282" s="4">
        <v>0.3</v>
      </c>
      <c r="F282" s="3" t="s">
        <v>80</v>
      </c>
      <c r="G282" s="3" t="s">
        <v>6</v>
      </c>
      <c r="H282" s="3" t="s">
        <v>78</v>
      </c>
      <c r="I282" s="3" t="s">
        <v>81</v>
      </c>
      <c r="J282" s="4">
        <v>548.44000000000005</v>
      </c>
      <c r="K282" s="3" t="s">
        <v>778</v>
      </c>
      <c r="L282" s="4">
        <v>0.3</v>
      </c>
      <c r="M282" s="3" t="s">
        <v>827</v>
      </c>
      <c r="N282" s="3" t="s">
        <v>63</v>
      </c>
    </row>
    <row r="283" spans="1:14" x14ac:dyDescent="0.2">
      <c r="A283" s="3" t="s">
        <v>23</v>
      </c>
      <c r="B283" s="6">
        <v>46246</v>
      </c>
      <c r="C283" s="3" t="s">
        <v>445</v>
      </c>
      <c r="D283" s="3" t="s">
        <v>828</v>
      </c>
      <c r="E283" s="4">
        <v>2500</v>
      </c>
      <c r="F283" s="3" t="s">
        <v>80</v>
      </c>
      <c r="G283" s="3" t="s">
        <v>270</v>
      </c>
      <c r="H283" s="3" t="s">
        <v>271</v>
      </c>
      <c r="I283" s="3" t="s">
        <v>447</v>
      </c>
      <c r="J283" s="4">
        <v>8995.19</v>
      </c>
      <c r="K283" s="3" t="s">
        <v>778</v>
      </c>
      <c r="L283" s="4">
        <v>2500</v>
      </c>
      <c r="M283" s="3" t="s">
        <v>829</v>
      </c>
      <c r="N283" s="3" t="s">
        <v>63</v>
      </c>
    </row>
    <row r="284" spans="1:14" x14ac:dyDescent="0.2">
      <c r="A284" s="3" t="s">
        <v>23</v>
      </c>
      <c r="B284" s="6">
        <v>46246</v>
      </c>
      <c r="C284" s="3" t="s">
        <v>148</v>
      </c>
      <c r="D284" s="3" t="s">
        <v>830</v>
      </c>
      <c r="E284" s="4">
        <v>-43</v>
      </c>
      <c r="F284" s="3" t="s">
        <v>57</v>
      </c>
      <c r="G284" s="3" t="s">
        <v>150</v>
      </c>
      <c r="H284" s="3" t="s">
        <v>151</v>
      </c>
      <c r="I284" s="3" t="s">
        <v>152</v>
      </c>
      <c r="J284" s="4">
        <v>6508.19</v>
      </c>
      <c r="K284" s="3" t="s">
        <v>778</v>
      </c>
      <c r="L284" s="4">
        <v>43</v>
      </c>
      <c r="M284" s="3" t="s">
        <v>831</v>
      </c>
      <c r="N284" s="3" t="s">
        <v>63</v>
      </c>
    </row>
    <row r="285" spans="1:14" x14ac:dyDescent="0.2">
      <c r="A285" s="3" t="s">
        <v>23</v>
      </c>
      <c r="B285" s="6">
        <v>46246</v>
      </c>
      <c r="C285" s="3" t="s">
        <v>547</v>
      </c>
      <c r="D285" s="3" t="s">
        <v>832</v>
      </c>
      <c r="E285" s="4">
        <v>-13</v>
      </c>
      <c r="F285" s="3" t="s">
        <v>57</v>
      </c>
      <c r="G285" s="3" t="s">
        <v>58</v>
      </c>
      <c r="H285" s="3" t="s">
        <v>59</v>
      </c>
      <c r="I285" s="3" t="s">
        <v>549</v>
      </c>
      <c r="J285" s="4">
        <v>6495.19</v>
      </c>
      <c r="K285" s="3" t="s">
        <v>778</v>
      </c>
      <c r="L285" s="4">
        <v>13</v>
      </c>
      <c r="M285" s="3" t="s">
        <v>833</v>
      </c>
      <c r="N285" s="3" t="s">
        <v>63</v>
      </c>
    </row>
    <row r="286" spans="1:14" x14ac:dyDescent="0.2">
      <c r="A286" s="3" t="s">
        <v>23</v>
      </c>
      <c r="B286" s="6">
        <v>46246</v>
      </c>
      <c r="C286" s="3" t="s">
        <v>290</v>
      </c>
      <c r="D286" s="3" t="s">
        <v>834</v>
      </c>
      <c r="E286" s="4">
        <v>-8573.23</v>
      </c>
      <c r="F286" s="3" t="s">
        <v>57</v>
      </c>
      <c r="G286" s="3" t="s">
        <v>292</v>
      </c>
      <c r="H286" s="3" t="s">
        <v>293</v>
      </c>
      <c r="I286" s="3"/>
      <c r="J286" s="4">
        <v>421.96</v>
      </c>
      <c r="K286" s="3" t="s">
        <v>778</v>
      </c>
      <c r="L286" s="4">
        <v>8573.23</v>
      </c>
      <c r="M286" s="3" t="s">
        <v>835</v>
      </c>
      <c r="N286" s="3" t="s">
        <v>63</v>
      </c>
    </row>
    <row r="287" spans="1:14" x14ac:dyDescent="0.2">
      <c r="A287" s="3" t="s">
        <v>23</v>
      </c>
      <c r="B287" s="6">
        <v>46246</v>
      </c>
      <c r="C287" s="3" t="s">
        <v>836</v>
      </c>
      <c r="D287" s="3" t="s">
        <v>837</v>
      </c>
      <c r="E287" s="4">
        <v>-168.1</v>
      </c>
      <c r="F287" s="3" t="s">
        <v>57</v>
      </c>
      <c r="G287" s="3" t="s">
        <v>150</v>
      </c>
      <c r="H287" s="3" t="s">
        <v>151</v>
      </c>
      <c r="I287" s="3" t="s">
        <v>838</v>
      </c>
      <c r="J287" s="4">
        <v>253.86</v>
      </c>
      <c r="K287" s="3" t="s">
        <v>778</v>
      </c>
      <c r="L287" s="4">
        <v>168.1</v>
      </c>
      <c r="M287" s="3" t="s">
        <v>839</v>
      </c>
      <c r="N287" s="3" t="s">
        <v>63</v>
      </c>
    </row>
    <row r="288" spans="1:14" x14ac:dyDescent="0.2">
      <c r="A288" s="3" t="s">
        <v>23</v>
      </c>
      <c r="B288" s="6">
        <v>46246</v>
      </c>
      <c r="C288" s="3" t="s">
        <v>78</v>
      </c>
      <c r="D288" s="3" t="s">
        <v>840</v>
      </c>
      <c r="E288" s="4">
        <v>2.75</v>
      </c>
      <c r="F288" s="3" t="s">
        <v>80</v>
      </c>
      <c r="G288" s="3" t="s">
        <v>6</v>
      </c>
      <c r="H288" s="3" t="s">
        <v>78</v>
      </c>
      <c r="I288" s="3" t="s">
        <v>81</v>
      </c>
      <c r="J288" s="4">
        <v>6551.19</v>
      </c>
      <c r="K288" s="3" t="s">
        <v>778</v>
      </c>
      <c r="L288" s="4">
        <v>2.75</v>
      </c>
      <c r="M288" s="3" t="s">
        <v>841</v>
      </c>
      <c r="N288" s="3" t="s">
        <v>63</v>
      </c>
    </row>
    <row r="289" spans="1:14" x14ac:dyDescent="0.2">
      <c r="A289" s="3" t="s">
        <v>23</v>
      </c>
      <c r="B289" s="6">
        <v>46247</v>
      </c>
      <c r="C289" s="3" t="s">
        <v>842</v>
      </c>
      <c r="D289" s="3" t="s">
        <v>843</v>
      </c>
      <c r="E289" s="4">
        <v>-98.58</v>
      </c>
      <c r="F289" s="3" t="s">
        <v>57</v>
      </c>
      <c r="G289" s="3" t="s">
        <v>297</v>
      </c>
      <c r="H289" s="3" t="s">
        <v>298</v>
      </c>
      <c r="I289" s="3" t="s">
        <v>844</v>
      </c>
      <c r="J289" s="4">
        <v>155.47</v>
      </c>
      <c r="K289" s="3" t="s">
        <v>778</v>
      </c>
      <c r="L289" s="4">
        <v>98.58</v>
      </c>
      <c r="M289" s="3" t="s">
        <v>845</v>
      </c>
      <c r="N289" s="3" t="s">
        <v>63</v>
      </c>
    </row>
    <row r="290" spans="1:14" x14ac:dyDescent="0.2">
      <c r="A290" s="3" t="s">
        <v>23</v>
      </c>
      <c r="B290" s="6">
        <v>46247</v>
      </c>
      <c r="C290" s="3" t="s">
        <v>78</v>
      </c>
      <c r="D290" s="3" t="s">
        <v>846</v>
      </c>
      <c r="E290" s="4">
        <v>0.19</v>
      </c>
      <c r="F290" s="3" t="s">
        <v>80</v>
      </c>
      <c r="G290" s="3" t="s">
        <v>6</v>
      </c>
      <c r="H290" s="3" t="s">
        <v>78</v>
      </c>
      <c r="I290" s="3" t="s">
        <v>81</v>
      </c>
      <c r="J290" s="4">
        <v>254.05</v>
      </c>
      <c r="K290" s="3" t="s">
        <v>778</v>
      </c>
      <c r="L290" s="4">
        <v>0.19</v>
      </c>
      <c r="M290" s="3" t="s">
        <v>847</v>
      </c>
      <c r="N290" s="3" t="s">
        <v>63</v>
      </c>
    </row>
    <row r="291" spans="1:14" x14ac:dyDescent="0.2">
      <c r="A291" s="3" t="s">
        <v>23</v>
      </c>
      <c r="B291" s="6">
        <v>46248</v>
      </c>
      <c r="C291" s="3" t="s">
        <v>78</v>
      </c>
      <c r="D291" s="3" t="s">
        <v>848</v>
      </c>
      <c r="E291" s="4">
        <v>0.11</v>
      </c>
      <c r="F291" s="3" t="s">
        <v>80</v>
      </c>
      <c r="G291" s="3" t="s">
        <v>6</v>
      </c>
      <c r="H291" s="3" t="s">
        <v>78</v>
      </c>
      <c r="I291" s="3" t="s">
        <v>81</v>
      </c>
      <c r="J291" s="4">
        <v>0.11</v>
      </c>
      <c r="K291" s="3" t="s">
        <v>778</v>
      </c>
      <c r="L291" s="4">
        <v>0.11</v>
      </c>
      <c r="M291" s="3" t="s">
        <v>849</v>
      </c>
      <c r="N291" s="3" t="s">
        <v>63</v>
      </c>
    </row>
    <row r="292" spans="1:14" x14ac:dyDescent="0.2">
      <c r="A292" s="3" t="s">
        <v>23</v>
      </c>
      <c r="B292" s="6">
        <v>46248</v>
      </c>
      <c r="C292" s="3" t="s">
        <v>850</v>
      </c>
      <c r="D292" s="3" t="s">
        <v>851</v>
      </c>
      <c r="E292" s="4">
        <v>-155.47</v>
      </c>
      <c r="F292" s="3" t="s">
        <v>57</v>
      </c>
      <c r="G292" s="3" t="s">
        <v>852</v>
      </c>
      <c r="H292" s="3" t="s">
        <v>853</v>
      </c>
      <c r="I292" s="3" t="s">
        <v>850</v>
      </c>
      <c r="J292" s="4">
        <v>0</v>
      </c>
      <c r="K292" s="3" t="s">
        <v>778</v>
      </c>
      <c r="L292" s="4">
        <v>155.47</v>
      </c>
      <c r="M292" s="3" t="s">
        <v>854</v>
      </c>
      <c r="N292" s="3" t="s">
        <v>63</v>
      </c>
    </row>
    <row r="293" spans="1:14" x14ac:dyDescent="0.2">
      <c r="A293" s="3" t="s">
        <v>23</v>
      </c>
      <c r="B293" s="6">
        <v>46248</v>
      </c>
      <c r="C293" s="3" t="s">
        <v>850</v>
      </c>
      <c r="D293" s="3" t="s">
        <v>855</v>
      </c>
      <c r="E293" s="4">
        <v>-0.11</v>
      </c>
      <c r="F293" s="3" t="s">
        <v>57</v>
      </c>
      <c r="G293" s="3" t="s">
        <v>852</v>
      </c>
      <c r="H293" s="3" t="s">
        <v>853</v>
      </c>
      <c r="I293" s="3" t="s">
        <v>850</v>
      </c>
      <c r="J293" s="4">
        <v>0</v>
      </c>
      <c r="K293" s="3" t="s">
        <v>778</v>
      </c>
      <c r="L293" s="4">
        <v>0.11</v>
      </c>
      <c r="M293" s="3" t="s">
        <v>856</v>
      </c>
      <c r="N293" s="3" t="s">
        <v>63</v>
      </c>
    </row>
    <row r="294" spans="1:14" x14ac:dyDescent="0.2">
      <c r="A294" s="3" t="s">
        <v>23</v>
      </c>
      <c r="B294" s="6">
        <v>46249</v>
      </c>
      <c r="C294" s="3" t="s">
        <v>445</v>
      </c>
      <c r="D294" s="3" t="s">
        <v>857</v>
      </c>
      <c r="E294" s="4">
        <v>5000</v>
      </c>
      <c r="F294" s="3" t="s">
        <v>80</v>
      </c>
      <c r="G294" s="3" t="s">
        <v>270</v>
      </c>
      <c r="H294" s="3" t="s">
        <v>271</v>
      </c>
      <c r="I294" s="3" t="s">
        <v>447</v>
      </c>
      <c r="J294" s="4">
        <v>5000</v>
      </c>
      <c r="K294" s="3" t="s">
        <v>778</v>
      </c>
      <c r="L294" s="4">
        <v>5000</v>
      </c>
      <c r="M294" s="3" t="s">
        <v>858</v>
      </c>
      <c r="N294" s="3" t="s">
        <v>63</v>
      </c>
    </row>
    <row r="295" spans="1:14" x14ac:dyDescent="0.2">
      <c r="A295" s="3" t="s">
        <v>23</v>
      </c>
      <c r="B295" s="6">
        <v>46249</v>
      </c>
      <c r="C295" s="3" t="s">
        <v>859</v>
      </c>
      <c r="D295" s="3" t="s">
        <v>860</v>
      </c>
      <c r="E295" s="4">
        <v>-2106.6</v>
      </c>
      <c r="F295" s="3" t="s">
        <v>57</v>
      </c>
      <c r="G295" s="3" t="s">
        <v>85</v>
      </c>
      <c r="H295" s="3" t="s">
        <v>85</v>
      </c>
      <c r="I295" s="3" t="s">
        <v>861</v>
      </c>
      <c r="J295" s="4">
        <v>2893.4</v>
      </c>
      <c r="K295" s="3" t="s">
        <v>778</v>
      </c>
      <c r="L295" s="4">
        <v>2106.6</v>
      </c>
      <c r="M295" s="3" t="s">
        <v>862</v>
      </c>
      <c r="N295" s="3" t="s">
        <v>63</v>
      </c>
    </row>
    <row r="296" spans="1:14" x14ac:dyDescent="0.2">
      <c r="A296" s="3" t="s">
        <v>23</v>
      </c>
      <c r="B296" s="6">
        <v>46250</v>
      </c>
      <c r="C296" s="3" t="s">
        <v>863</v>
      </c>
      <c r="D296" s="3" t="s">
        <v>864</v>
      </c>
      <c r="E296" s="4">
        <v>-116.82</v>
      </c>
      <c r="F296" s="3" t="s">
        <v>57</v>
      </c>
      <c r="G296" s="3" t="s">
        <v>150</v>
      </c>
      <c r="H296" s="3" t="s">
        <v>151</v>
      </c>
      <c r="I296" s="3" t="s">
        <v>865</v>
      </c>
      <c r="J296" s="4">
        <v>2616.1999999999998</v>
      </c>
      <c r="K296" s="3" t="s">
        <v>778</v>
      </c>
      <c r="L296" s="4">
        <v>116.82</v>
      </c>
      <c r="M296" s="3" t="s">
        <v>866</v>
      </c>
      <c r="N296" s="3" t="s">
        <v>63</v>
      </c>
    </row>
    <row r="297" spans="1:14" x14ac:dyDescent="0.2">
      <c r="A297" s="3" t="s">
        <v>23</v>
      </c>
      <c r="B297" s="6">
        <v>46250</v>
      </c>
      <c r="C297" s="3" t="s">
        <v>191</v>
      </c>
      <c r="D297" s="3" t="s">
        <v>867</v>
      </c>
      <c r="E297" s="4">
        <v>-160.38</v>
      </c>
      <c r="F297" s="3" t="s">
        <v>57</v>
      </c>
      <c r="G297" s="3" t="s">
        <v>150</v>
      </c>
      <c r="H297" s="3" t="s">
        <v>151</v>
      </c>
      <c r="I297" s="3" t="s">
        <v>193</v>
      </c>
      <c r="J297" s="4">
        <v>2733.02</v>
      </c>
      <c r="K297" s="3" t="s">
        <v>778</v>
      </c>
      <c r="L297" s="4">
        <v>160.38</v>
      </c>
      <c r="M297" s="3" t="s">
        <v>868</v>
      </c>
      <c r="N297" s="3" t="s">
        <v>63</v>
      </c>
    </row>
    <row r="298" spans="1:14" x14ac:dyDescent="0.2">
      <c r="A298" s="3" t="s">
        <v>23</v>
      </c>
      <c r="B298" s="6">
        <v>46250</v>
      </c>
      <c r="C298" s="3" t="s">
        <v>481</v>
      </c>
      <c r="D298" s="3" t="s">
        <v>869</v>
      </c>
      <c r="E298" s="4">
        <v>-223.75</v>
      </c>
      <c r="F298" s="3" t="s">
        <v>57</v>
      </c>
      <c r="G298" s="3" t="s">
        <v>340</v>
      </c>
      <c r="H298" s="3" t="s">
        <v>341</v>
      </c>
      <c r="I298" s="3"/>
      <c r="J298" s="4">
        <v>2392.4499999999998</v>
      </c>
      <c r="K298" s="3" t="s">
        <v>778</v>
      </c>
      <c r="L298" s="4">
        <v>223.75</v>
      </c>
      <c r="M298" s="3" t="s">
        <v>870</v>
      </c>
      <c r="N298" s="3" t="s">
        <v>63</v>
      </c>
    </row>
    <row r="299" spans="1:14" x14ac:dyDescent="0.2">
      <c r="A299" s="3" t="s">
        <v>23</v>
      </c>
      <c r="B299" s="6">
        <v>46251</v>
      </c>
      <c r="C299" s="3" t="s">
        <v>871</v>
      </c>
      <c r="D299" s="3" t="s">
        <v>872</v>
      </c>
      <c r="E299" s="4">
        <v>-171.5</v>
      </c>
      <c r="F299" s="3" t="s">
        <v>57</v>
      </c>
      <c r="G299" s="3" t="s">
        <v>70</v>
      </c>
      <c r="H299" s="3" t="s">
        <v>71</v>
      </c>
      <c r="I299" s="3" t="s">
        <v>873</v>
      </c>
      <c r="J299" s="4">
        <v>1343.91</v>
      </c>
      <c r="K299" s="3" t="s">
        <v>778</v>
      </c>
      <c r="L299" s="4">
        <v>171.5</v>
      </c>
      <c r="M299" s="3" t="s">
        <v>874</v>
      </c>
      <c r="N299" s="3" t="s">
        <v>63</v>
      </c>
    </row>
    <row r="300" spans="1:14" x14ac:dyDescent="0.2">
      <c r="A300" s="3" t="s">
        <v>23</v>
      </c>
      <c r="B300" s="6">
        <v>46251</v>
      </c>
      <c r="C300" s="3" t="s">
        <v>875</v>
      </c>
      <c r="D300" s="3" t="s">
        <v>876</v>
      </c>
      <c r="E300" s="4">
        <v>-40</v>
      </c>
      <c r="F300" s="3" t="s">
        <v>57</v>
      </c>
      <c r="G300" s="3" t="s">
        <v>667</v>
      </c>
      <c r="H300" s="3" t="s">
        <v>667</v>
      </c>
      <c r="I300" s="3" t="s">
        <v>875</v>
      </c>
      <c r="J300" s="4">
        <v>1303.9100000000001</v>
      </c>
      <c r="K300" s="3" t="s">
        <v>778</v>
      </c>
      <c r="L300" s="4">
        <v>40</v>
      </c>
      <c r="M300" s="3" t="s">
        <v>877</v>
      </c>
      <c r="N300" s="3" t="s">
        <v>63</v>
      </c>
    </row>
    <row r="301" spans="1:14" x14ac:dyDescent="0.2">
      <c r="A301" s="3" t="s">
        <v>23</v>
      </c>
      <c r="B301" s="6">
        <v>46251</v>
      </c>
      <c r="C301" s="3" t="s">
        <v>878</v>
      </c>
      <c r="D301" s="3" t="s">
        <v>879</v>
      </c>
      <c r="E301" s="4">
        <v>-32</v>
      </c>
      <c r="F301" s="3" t="s">
        <v>57</v>
      </c>
      <c r="G301" s="3" t="s">
        <v>58</v>
      </c>
      <c r="H301" s="3" t="s">
        <v>59</v>
      </c>
      <c r="I301" s="3" t="s">
        <v>880</v>
      </c>
      <c r="J301" s="4">
        <v>1271.9100000000001</v>
      </c>
      <c r="K301" s="3" t="s">
        <v>778</v>
      </c>
      <c r="L301" s="4">
        <v>32</v>
      </c>
      <c r="M301" s="3" t="s">
        <v>881</v>
      </c>
      <c r="N301" s="3" t="s">
        <v>63</v>
      </c>
    </row>
    <row r="302" spans="1:14" x14ac:dyDescent="0.2">
      <c r="A302" s="3" t="s">
        <v>23</v>
      </c>
      <c r="B302" s="6">
        <v>46251</v>
      </c>
      <c r="C302" s="3" t="s">
        <v>882</v>
      </c>
      <c r="D302" s="3" t="s">
        <v>883</v>
      </c>
      <c r="E302" s="4">
        <v>-5.5</v>
      </c>
      <c r="F302" s="3" t="s">
        <v>57</v>
      </c>
      <c r="G302" s="3" t="s">
        <v>58</v>
      </c>
      <c r="H302" s="3" t="s">
        <v>59</v>
      </c>
      <c r="I302" s="3" t="s">
        <v>884</v>
      </c>
      <c r="J302" s="4">
        <v>1266.4100000000001</v>
      </c>
      <c r="K302" s="3" t="s">
        <v>778</v>
      </c>
      <c r="L302" s="4">
        <v>5.5</v>
      </c>
      <c r="M302" s="3" t="s">
        <v>885</v>
      </c>
      <c r="N302" s="3" t="s">
        <v>63</v>
      </c>
    </row>
    <row r="303" spans="1:14" x14ac:dyDescent="0.2">
      <c r="A303" s="3" t="s">
        <v>23</v>
      </c>
      <c r="B303" s="6">
        <v>46251</v>
      </c>
      <c r="C303" s="3" t="s">
        <v>481</v>
      </c>
      <c r="D303" s="3" t="s">
        <v>886</v>
      </c>
      <c r="E303" s="4">
        <v>-27.04</v>
      </c>
      <c r="F303" s="3" t="s">
        <v>57</v>
      </c>
      <c r="G303" s="3" t="s">
        <v>340</v>
      </c>
      <c r="H303" s="3" t="s">
        <v>341</v>
      </c>
      <c r="I303" s="3"/>
      <c r="J303" s="4">
        <v>2365.41</v>
      </c>
      <c r="K303" s="3" t="s">
        <v>778</v>
      </c>
      <c r="L303" s="4">
        <v>27.04</v>
      </c>
      <c r="M303" s="3" t="s">
        <v>887</v>
      </c>
      <c r="N303" s="3" t="s">
        <v>63</v>
      </c>
    </row>
    <row r="304" spans="1:14" x14ac:dyDescent="0.2">
      <c r="A304" s="3" t="s">
        <v>23</v>
      </c>
      <c r="B304" s="6">
        <v>46251</v>
      </c>
      <c r="C304" s="3" t="s">
        <v>602</v>
      </c>
      <c r="D304" s="3" t="s">
        <v>888</v>
      </c>
      <c r="E304" s="4">
        <v>-850</v>
      </c>
      <c r="F304" s="3" t="s">
        <v>57</v>
      </c>
      <c r="G304" s="3" t="s">
        <v>58</v>
      </c>
      <c r="H304" s="3" t="s">
        <v>59</v>
      </c>
      <c r="I304" s="3" t="s">
        <v>604</v>
      </c>
      <c r="J304" s="4">
        <v>1515.41</v>
      </c>
      <c r="K304" s="3" t="s">
        <v>778</v>
      </c>
      <c r="L304" s="4">
        <v>850</v>
      </c>
      <c r="M304" s="3" t="s">
        <v>889</v>
      </c>
      <c r="N304" s="3" t="s">
        <v>63</v>
      </c>
    </row>
    <row r="305" spans="1:14" x14ac:dyDescent="0.2">
      <c r="A305" s="3" t="s">
        <v>23</v>
      </c>
      <c r="B305" s="6">
        <v>46252</v>
      </c>
      <c r="C305" s="3" t="s">
        <v>890</v>
      </c>
      <c r="D305" s="3" t="s">
        <v>891</v>
      </c>
      <c r="E305" s="4">
        <v>-320</v>
      </c>
      <c r="F305" s="3" t="s">
        <v>57</v>
      </c>
      <c r="G305" s="3" t="s">
        <v>716</v>
      </c>
      <c r="H305" s="3" t="s">
        <v>716</v>
      </c>
      <c r="I305" s="3" t="s">
        <v>890</v>
      </c>
      <c r="J305" s="4">
        <v>946.41</v>
      </c>
      <c r="K305" s="3" t="s">
        <v>778</v>
      </c>
      <c r="L305" s="4">
        <v>320</v>
      </c>
      <c r="M305" s="3" t="s">
        <v>892</v>
      </c>
      <c r="N305" s="3" t="s">
        <v>63</v>
      </c>
    </row>
    <row r="306" spans="1:14" x14ac:dyDescent="0.2">
      <c r="A306" s="3" t="s">
        <v>23</v>
      </c>
      <c r="B306" s="6">
        <v>46252</v>
      </c>
      <c r="C306" s="3" t="s">
        <v>203</v>
      </c>
      <c r="D306" s="3" t="s">
        <v>893</v>
      </c>
      <c r="E306" s="4">
        <v>-22.47</v>
      </c>
      <c r="F306" s="3" t="s">
        <v>57</v>
      </c>
      <c r="G306" s="3" t="s">
        <v>58</v>
      </c>
      <c r="H306" s="3" t="s">
        <v>59</v>
      </c>
      <c r="I306" s="3" t="s">
        <v>205</v>
      </c>
      <c r="J306" s="4">
        <v>924.93</v>
      </c>
      <c r="K306" s="3" t="s">
        <v>778</v>
      </c>
      <c r="L306" s="4">
        <v>22.47</v>
      </c>
      <c r="M306" s="3" t="s">
        <v>894</v>
      </c>
      <c r="N306" s="3" t="s">
        <v>63</v>
      </c>
    </row>
    <row r="307" spans="1:14" x14ac:dyDescent="0.2">
      <c r="A307" s="3" t="s">
        <v>23</v>
      </c>
      <c r="B307" s="6">
        <v>46252</v>
      </c>
      <c r="C307" s="3" t="s">
        <v>701</v>
      </c>
      <c r="D307" s="3" t="s">
        <v>895</v>
      </c>
      <c r="E307" s="4">
        <v>-92</v>
      </c>
      <c r="F307" s="3" t="s">
        <v>57</v>
      </c>
      <c r="G307" s="3" t="s">
        <v>70</v>
      </c>
      <c r="H307" s="3" t="s">
        <v>71</v>
      </c>
      <c r="I307" s="3" t="s">
        <v>701</v>
      </c>
      <c r="J307" s="4">
        <v>832.93</v>
      </c>
      <c r="K307" s="3" t="s">
        <v>778</v>
      </c>
      <c r="L307" s="4">
        <v>92</v>
      </c>
      <c r="M307" s="3" t="s">
        <v>896</v>
      </c>
      <c r="N307" s="3" t="s">
        <v>63</v>
      </c>
    </row>
    <row r="308" spans="1:14" x14ac:dyDescent="0.2">
      <c r="A308" s="3" t="s">
        <v>23</v>
      </c>
      <c r="B308" s="6">
        <v>46252</v>
      </c>
      <c r="C308" s="3" t="s">
        <v>78</v>
      </c>
      <c r="D308" s="3" t="s">
        <v>897</v>
      </c>
      <c r="E308" s="4">
        <v>0.99</v>
      </c>
      <c r="F308" s="3" t="s">
        <v>80</v>
      </c>
      <c r="G308" s="3" t="s">
        <v>6</v>
      </c>
      <c r="H308" s="3" t="s">
        <v>78</v>
      </c>
      <c r="I308" s="3" t="s">
        <v>81</v>
      </c>
      <c r="J308" s="4">
        <v>947.4</v>
      </c>
      <c r="K308" s="3" t="s">
        <v>778</v>
      </c>
      <c r="L308" s="4">
        <v>0.99</v>
      </c>
      <c r="M308" s="3" t="s">
        <v>898</v>
      </c>
      <c r="N308" s="3" t="s">
        <v>63</v>
      </c>
    </row>
    <row r="309" spans="1:14" x14ac:dyDescent="0.2">
      <c r="A309" s="3" t="s">
        <v>23</v>
      </c>
      <c r="B309" s="6">
        <v>46253</v>
      </c>
      <c r="C309" s="3" t="s">
        <v>899</v>
      </c>
      <c r="D309" s="3" t="s">
        <v>900</v>
      </c>
      <c r="E309" s="4">
        <v>-118.54</v>
      </c>
      <c r="F309" s="3" t="s">
        <v>57</v>
      </c>
      <c r="G309" s="3" t="s">
        <v>667</v>
      </c>
      <c r="H309" s="3" t="s">
        <v>667</v>
      </c>
      <c r="I309" s="3" t="s">
        <v>899</v>
      </c>
      <c r="J309" s="4">
        <v>714.78</v>
      </c>
      <c r="K309" s="3" t="s">
        <v>778</v>
      </c>
      <c r="L309" s="4">
        <v>118.54</v>
      </c>
      <c r="M309" s="3" t="s">
        <v>901</v>
      </c>
      <c r="N309" s="3" t="s">
        <v>63</v>
      </c>
    </row>
    <row r="310" spans="1:14" x14ac:dyDescent="0.2">
      <c r="A310" s="3" t="s">
        <v>23</v>
      </c>
      <c r="B310" s="6">
        <v>46253</v>
      </c>
      <c r="C310" s="3" t="s">
        <v>902</v>
      </c>
      <c r="D310" s="3" t="s">
        <v>903</v>
      </c>
      <c r="E310" s="4">
        <v>-41</v>
      </c>
      <c r="F310" s="3" t="s">
        <v>57</v>
      </c>
      <c r="G310" s="3" t="s">
        <v>58</v>
      </c>
      <c r="H310" s="3" t="s">
        <v>59</v>
      </c>
      <c r="I310" s="3" t="s">
        <v>904</v>
      </c>
      <c r="J310" s="4">
        <v>673.78</v>
      </c>
      <c r="K310" s="3" t="s">
        <v>778</v>
      </c>
      <c r="L310" s="4">
        <v>41</v>
      </c>
      <c r="M310" s="3" t="s">
        <v>905</v>
      </c>
      <c r="N310" s="3" t="s">
        <v>63</v>
      </c>
    </row>
    <row r="311" spans="1:14" x14ac:dyDescent="0.2">
      <c r="A311" s="3" t="s">
        <v>23</v>
      </c>
      <c r="B311" s="6">
        <v>46253</v>
      </c>
      <c r="C311" s="3" t="s">
        <v>78</v>
      </c>
      <c r="D311" s="3" t="s">
        <v>906</v>
      </c>
      <c r="E311" s="4">
        <v>0.39</v>
      </c>
      <c r="F311" s="3" t="s">
        <v>80</v>
      </c>
      <c r="G311" s="3" t="s">
        <v>6</v>
      </c>
      <c r="H311" s="3" t="s">
        <v>78</v>
      </c>
      <c r="I311" s="3" t="s">
        <v>81</v>
      </c>
      <c r="J311" s="4">
        <v>833.32</v>
      </c>
      <c r="K311" s="3" t="s">
        <v>778</v>
      </c>
      <c r="L311" s="4">
        <v>0.39</v>
      </c>
      <c r="M311" s="3" t="s">
        <v>907</v>
      </c>
      <c r="N311" s="3" t="s">
        <v>63</v>
      </c>
    </row>
    <row r="312" spans="1:14" x14ac:dyDescent="0.2">
      <c r="A312" s="3" t="s">
        <v>23</v>
      </c>
      <c r="B312" s="6">
        <v>46254</v>
      </c>
      <c r="C312" s="3" t="s">
        <v>235</v>
      </c>
      <c r="D312" s="3" t="s">
        <v>908</v>
      </c>
      <c r="E312" s="4">
        <v>-96.99</v>
      </c>
      <c r="F312" s="3" t="s">
        <v>57</v>
      </c>
      <c r="G312" s="3" t="s">
        <v>237</v>
      </c>
      <c r="H312" s="3" t="s">
        <v>238</v>
      </c>
      <c r="I312" s="3" t="s">
        <v>235</v>
      </c>
      <c r="J312" s="4">
        <v>577.09</v>
      </c>
      <c r="K312" s="3" t="s">
        <v>778</v>
      </c>
      <c r="L312" s="4">
        <v>96.99</v>
      </c>
      <c r="M312" s="3" t="s">
        <v>909</v>
      </c>
      <c r="N312" s="3" t="s">
        <v>63</v>
      </c>
    </row>
    <row r="313" spans="1:14" x14ac:dyDescent="0.2">
      <c r="A313" s="3" t="s">
        <v>23</v>
      </c>
      <c r="B313" s="6">
        <v>46254</v>
      </c>
      <c r="C313" s="3" t="s">
        <v>78</v>
      </c>
      <c r="D313" s="3" t="s">
        <v>910</v>
      </c>
      <c r="E313" s="4">
        <v>0.3</v>
      </c>
      <c r="F313" s="3" t="s">
        <v>80</v>
      </c>
      <c r="G313" s="3" t="s">
        <v>6</v>
      </c>
      <c r="H313" s="3" t="s">
        <v>78</v>
      </c>
      <c r="I313" s="3" t="s">
        <v>81</v>
      </c>
      <c r="J313" s="4">
        <v>674.08</v>
      </c>
      <c r="K313" s="3" t="s">
        <v>778</v>
      </c>
      <c r="L313" s="4">
        <v>0.3</v>
      </c>
      <c r="M313" s="3" t="s">
        <v>911</v>
      </c>
      <c r="N313" s="3" t="s">
        <v>63</v>
      </c>
    </row>
    <row r="314" spans="1:14" x14ac:dyDescent="0.2">
      <c r="A314" s="3" t="s">
        <v>23</v>
      </c>
      <c r="B314" s="6">
        <v>46255</v>
      </c>
      <c r="C314" s="3" t="s">
        <v>78</v>
      </c>
      <c r="D314" s="3" t="s">
        <v>912</v>
      </c>
      <c r="E314" s="4">
        <v>0.24</v>
      </c>
      <c r="F314" s="3" t="s">
        <v>80</v>
      </c>
      <c r="G314" s="3" t="s">
        <v>6</v>
      </c>
      <c r="H314" s="3" t="s">
        <v>78</v>
      </c>
      <c r="I314" s="3" t="s">
        <v>81</v>
      </c>
      <c r="J314" s="4">
        <v>577.33000000000004</v>
      </c>
      <c r="K314" s="3" t="s">
        <v>778</v>
      </c>
      <c r="L314" s="4">
        <v>0.24</v>
      </c>
      <c r="M314" s="3" t="s">
        <v>913</v>
      </c>
      <c r="N314" s="3" t="s">
        <v>63</v>
      </c>
    </row>
    <row r="315" spans="1:14" x14ac:dyDescent="0.2">
      <c r="A315" s="3" t="s">
        <v>23</v>
      </c>
      <c r="B315" s="6">
        <v>46256</v>
      </c>
      <c r="C315" s="3" t="s">
        <v>529</v>
      </c>
      <c r="D315" s="3" t="s">
        <v>914</v>
      </c>
      <c r="E315" s="4">
        <v>-108</v>
      </c>
      <c r="F315" s="3" t="s">
        <v>57</v>
      </c>
      <c r="G315" s="3" t="s">
        <v>58</v>
      </c>
      <c r="H315" s="3" t="s">
        <v>59</v>
      </c>
      <c r="I315" s="3" t="s">
        <v>531</v>
      </c>
      <c r="J315" s="4">
        <v>469.33</v>
      </c>
      <c r="K315" s="3" t="s">
        <v>778</v>
      </c>
      <c r="L315" s="4">
        <v>108</v>
      </c>
      <c r="M315" s="3" t="s">
        <v>915</v>
      </c>
      <c r="N315" s="3" t="s">
        <v>63</v>
      </c>
    </row>
    <row r="316" spans="1:14" x14ac:dyDescent="0.2">
      <c r="A316" s="3" t="s">
        <v>23</v>
      </c>
      <c r="B316" s="6">
        <v>46256</v>
      </c>
      <c r="C316" s="3" t="s">
        <v>338</v>
      </c>
      <c r="D316" s="3" t="s">
        <v>916</v>
      </c>
      <c r="E316" s="4">
        <v>-154.99</v>
      </c>
      <c r="F316" s="3" t="s">
        <v>57</v>
      </c>
      <c r="G316" s="3" t="s">
        <v>340</v>
      </c>
      <c r="H316" s="3" t="s">
        <v>341</v>
      </c>
      <c r="I316" s="3"/>
      <c r="J316" s="4">
        <v>314.33999999999997</v>
      </c>
      <c r="K316" s="3" t="s">
        <v>778</v>
      </c>
      <c r="L316" s="4">
        <v>154.99</v>
      </c>
      <c r="M316" s="3" t="s">
        <v>917</v>
      </c>
      <c r="N316" s="3" t="s">
        <v>63</v>
      </c>
    </row>
    <row r="317" spans="1:14" x14ac:dyDescent="0.2">
      <c r="A317" s="3" t="s">
        <v>23</v>
      </c>
      <c r="B317" s="6">
        <v>46257</v>
      </c>
      <c r="C317" s="3" t="s">
        <v>98</v>
      </c>
      <c r="D317" s="3" t="s">
        <v>918</v>
      </c>
      <c r="E317" s="4">
        <v>-106.7</v>
      </c>
      <c r="F317" s="3" t="s">
        <v>57</v>
      </c>
      <c r="G317" s="3" t="s">
        <v>70</v>
      </c>
      <c r="H317" s="3" t="s">
        <v>71</v>
      </c>
      <c r="I317" s="3" t="s">
        <v>100</v>
      </c>
      <c r="J317" s="4">
        <v>207.64</v>
      </c>
      <c r="K317" s="3" t="s">
        <v>778</v>
      </c>
      <c r="L317" s="4">
        <v>106.7</v>
      </c>
      <c r="M317" s="3" t="s">
        <v>919</v>
      </c>
      <c r="N317" s="3" t="s">
        <v>63</v>
      </c>
    </row>
    <row r="318" spans="1:14" x14ac:dyDescent="0.2">
      <c r="A318" s="3" t="s">
        <v>23</v>
      </c>
      <c r="B318" s="6">
        <v>46258</v>
      </c>
      <c r="C318" s="3" t="s">
        <v>719</v>
      </c>
      <c r="D318" s="3" t="s">
        <v>920</v>
      </c>
      <c r="E318" s="4">
        <v>-59.98</v>
      </c>
      <c r="F318" s="3" t="s">
        <v>57</v>
      </c>
      <c r="G318" s="3" t="s">
        <v>405</v>
      </c>
      <c r="H318" s="3" t="s">
        <v>406</v>
      </c>
      <c r="I318" s="3" t="s">
        <v>719</v>
      </c>
      <c r="J318" s="4">
        <v>147.66</v>
      </c>
      <c r="K318" s="3" t="s">
        <v>778</v>
      </c>
      <c r="L318" s="4">
        <v>59.98</v>
      </c>
      <c r="M318" s="3" t="s">
        <v>921</v>
      </c>
      <c r="N318" s="3" t="s">
        <v>63</v>
      </c>
    </row>
    <row r="319" spans="1:14" x14ac:dyDescent="0.2">
      <c r="A319" s="3" t="s">
        <v>23</v>
      </c>
      <c r="B319" s="6">
        <v>46258</v>
      </c>
      <c r="C319" s="3" t="s">
        <v>481</v>
      </c>
      <c r="D319" s="3" t="s">
        <v>922</v>
      </c>
      <c r="E319" s="4">
        <v>-109.9</v>
      </c>
      <c r="F319" s="3" t="s">
        <v>57</v>
      </c>
      <c r="G319" s="3" t="s">
        <v>340</v>
      </c>
      <c r="H319" s="3" t="s">
        <v>341</v>
      </c>
      <c r="I319" s="3"/>
      <c r="J319" s="4">
        <v>38</v>
      </c>
      <c r="K319" s="3" t="s">
        <v>778</v>
      </c>
      <c r="L319" s="4">
        <v>109.9</v>
      </c>
      <c r="M319" s="3" t="s">
        <v>923</v>
      </c>
      <c r="N319" s="3" t="s">
        <v>63</v>
      </c>
    </row>
    <row r="320" spans="1:14" x14ac:dyDescent="0.2">
      <c r="A320" s="3" t="s">
        <v>23</v>
      </c>
      <c r="B320" s="6">
        <v>46258</v>
      </c>
      <c r="C320" s="3" t="s">
        <v>78</v>
      </c>
      <c r="D320" s="3" t="s">
        <v>924</v>
      </c>
      <c r="E320" s="4">
        <v>0.24</v>
      </c>
      <c r="F320" s="3" t="s">
        <v>80</v>
      </c>
      <c r="G320" s="3" t="s">
        <v>6</v>
      </c>
      <c r="H320" s="3" t="s">
        <v>78</v>
      </c>
      <c r="I320" s="3" t="s">
        <v>81</v>
      </c>
      <c r="J320" s="4">
        <v>147.9</v>
      </c>
      <c r="K320" s="3" t="s">
        <v>778</v>
      </c>
      <c r="L320" s="4">
        <v>0.24</v>
      </c>
      <c r="M320" s="3" t="s">
        <v>925</v>
      </c>
      <c r="N320" s="3" t="s">
        <v>63</v>
      </c>
    </row>
    <row r="321" spans="1:14" x14ac:dyDescent="0.2">
      <c r="A321" s="3" t="s">
        <v>23</v>
      </c>
      <c r="B321" s="6">
        <v>46259</v>
      </c>
      <c r="C321" s="3" t="s">
        <v>926</v>
      </c>
      <c r="D321" s="3" t="s">
        <v>927</v>
      </c>
      <c r="E321" s="4">
        <v>-7.62</v>
      </c>
      <c r="F321" s="3" t="s">
        <v>57</v>
      </c>
      <c r="G321" s="3" t="s">
        <v>312</v>
      </c>
      <c r="H321" s="3" t="s">
        <v>313</v>
      </c>
      <c r="I321" s="3" t="s">
        <v>928</v>
      </c>
      <c r="J321" s="4">
        <v>30.44</v>
      </c>
      <c r="K321" s="3" t="s">
        <v>778</v>
      </c>
      <c r="L321" s="4">
        <v>7.62</v>
      </c>
      <c r="M321" s="3" t="s">
        <v>929</v>
      </c>
      <c r="N321" s="3" t="s">
        <v>63</v>
      </c>
    </row>
    <row r="322" spans="1:14" x14ac:dyDescent="0.2">
      <c r="A322" s="3" t="s">
        <v>23</v>
      </c>
      <c r="B322" s="6">
        <v>46259</v>
      </c>
      <c r="C322" s="3" t="s">
        <v>78</v>
      </c>
      <c r="D322" s="3" t="s">
        <v>930</v>
      </c>
      <c r="E322" s="4">
        <v>0.06</v>
      </c>
      <c r="F322" s="3" t="s">
        <v>80</v>
      </c>
      <c r="G322" s="3" t="s">
        <v>6</v>
      </c>
      <c r="H322" s="3" t="s">
        <v>78</v>
      </c>
      <c r="I322" s="3" t="s">
        <v>81</v>
      </c>
      <c r="J322" s="4">
        <v>38.06</v>
      </c>
      <c r="K322" s="3" t="s">
        <v>778</v>
      </c>
      <c r="L322" s="4">
        <v>0.06</v>
      </c>
      <c r="M322" s="3" t="s">
        <v>931</v>
      </c>
      <c r="N322" s="3" t="s">
        <v>63</v>
      </c>
    </row>
    <row r="323" spans="1:14" x14ac:dyDescent="0.2">
      <c r="A323" s="3" t="s">
        <v>23</v>
      </c>
      <c r="B323" s="6">
        <v>46260</v>
      </c>
      <c r="C323" s="3" t="s">
        <v>328</v>
      </c>
      <c r="D323" s="3" t="s">
        <v>932</v>
      </c>
      <c r="E323" s="4">
        <v>-13.78</v>
      </c>
      <c r="F323" s="3" t="s">
        <v>57</v>
      </c>
      <c r="G323" s="3" t="s">
        <v>70</v>
      </c>
      <c r="H323" s="3" t="s">
        <v>71</v>
      </c>
      <c r="I323" s="3" t="s">
        <v>330</v>
      </c>
      <c r="J323" s="4">
        <v>16.68</v>
      </c>
      <c r="K323" s="3" t="s">
        <v>778</v>
      </c>
      <c r="L323" s="4">
        <v>13.78</v>
      </c>
      <c r="M323" s="3" t="s">
        <v>933</v>
      </c>
      <c r="N323" s="3" t="s">
        <v>63</v>
      </c>
    </row>
    <row r="324" spans="1:14" x14ac:dyDescent="0.2">
      <c r="A324" s="3" t="s">
        <v>23</v>
      </c>
      <c r="B324" s="6">
        <v>46260</v>
      </c>
      <c r="C324" s="3" t="s">
        <v>78</v>
      </c>
      <c r="D324" s="3" t="s">
        <v>934</v>
      </c>
      <c r="E324" s="4">
        <v>0.02</v>
      </c>
      <c r="F324" s="3" t="s">
        <v>80</v>
      </c>
      <c r="G324" s="3" t="s">
        <v>6</v>
      </c>
      <c r="H324" s="3" t="s">
        <v>78</v>
      </c>
      <c r="I324" s="3" t="s">
        <v>81</v>
      </c>
      <c r="J324" s="4">
        <v>30.46</v>
      </c>
      <c r="K324" s="3" t="s">
        <v>778</v>
      </c>
      <c r="L324" s="4">
        <v>0.02</v>
      </c>
      <c r="M324" s="3" t="s">
        <v>935</v>
      </c>
      <c r="N324" s="3" t="s">
        <v>63</v>
      </c>
    </row>
    <row r="325" spans="1:14" x14ac:dyDescent="0.2">
      <c r="A325" s="3" t="s">
        <v>23</v>
      </c>
      <c r="B325" s="6">
        <v>46261</v>
      </c>
      <c r="C325" s="3" t="s">
        <v>78</v>
      </c>
      <c r="D325" s="3" t="s">
        <v>936</v>
      </c>
      <c r="E325" s="4">
        <v>0.01</v>
      </c>
      <c r="F325" s="3" t="s">
        <v>80</v>
      </c>
      <c r="G325" s="3" t="s">
        <v>6</v>
      </c>
      <c r="H325" s="3" t="s">
        <v>78</v>
      </c>
      <c r="I325" s="3" t="s">
        <v>81</v>
      </c>
      <c r="J325" s="4">
        <v>16.690000000000001</v>
      </c>
      <c r="K325" s="3" t="s">
        <v>778</v>
      </c>
      <c r="L325" s="4">
        <v>0.01</v>
      </c>
      <c r="M325" s="3" t="s">
        <v>937</v>
      </c>
      <c r="N325" s="3" t="s">
        <v>63</v>
      </c>
    </row>
    <row r="326" spans="1:14" x14ac:dyDescent="0.2">
      <c r="A326" s="3" t="s">
        <v>23</v>
      </c>
      <c r="B326" s="6">
        <v>46262</v>
      </c>
      <c r="C326" s="3" t="s">
        <v>78</v>
      </c>
      <c r="D326" s="3" t="s">
        <v>938</v>
      </c>
      <c r="E326" s="4">
        <v>0.01</v>
      </c>
      <c r="F326" s="3" t="s">
        <v>80</v>
      </c>
      <c r="G326" s="3" t="s">
        <v>6</v>
      </c>
      <c r="H326" s="3" t="s">
        <v>78</v>
      </c>
      <c r="I326" s="3" t="s">
        <v>81</v>
      </c>
      <c r="J326" s="4">
        <v>16.7</v>
      </c>
      <c r="K326" s="3" t="s">
        <v>778</v>
      </c>
      <c r="L326" s="4">
        <v>0.01</v>
      </c>
      <c r="M326" s="3" t="s">
        <v>939</v>
      </c>
      <c r="N326" s="3" t="s">
        <v>63</v>
      </c>
    </row>
    <row r="327" spans="1:14" x14ac:dyDescent="0.2">
      <c r="A327" s="3" t="s">
        <v>23</v>
      </c>
      <c r="B327" s="6">
        <v>46262</v>
      </c>
      <c r="C327" s="3" t="s">
        <v>691</v>
      </c>
      <c r="D327" s="3" t="s">
        <v>940</v>
      </c>
      <c r="E327" s="4">
        <v>-112</v>
      </c>
      <c r="F327" s="3" t="s">
        <v>57</v>
      </c>
      <c r="G327" s="3" t="s">
        <v>58</v>
      </c>
      <c r="H327" s="3" t="s">
        <v>59</v>
      </c>
      <c r="I327" s="3" t="s">
        <v>693</v>
      </c>
      <c r="J327" s="4">
        <v>11904.7</v>
      </c>
      <c r="K327" s="3" t="s">
        <v>778</v>
      </c>
      <c r="L327" s="4">
        <v>112</v>
      </c>
      <c r="M327" s="3" t="s">
        <v>941</v>
      </c>
      <c r="N327" s="3" t="s">
        <v>63</v>
      </c>
    </row>
    <row r="328" spans="1:14" x14ac:dyDescent="0.2">
      <c r="A328" s="3" t="s">
        <v>23</v>
      </c>
      <c r="B328" s="6">
        <v>46262</v>
      </c>
      <c r="C328" s="3" t="s">
        <v>445</v>
      </c>
      <c r="D328" s="3" t="s">
        <v>942</v>
      </c>
      <c r="E328" s="4">
        <v>12000</v>
      </c>
      <c r="F328" s="3" t="s">
        <v>80</v>
      </c>
      <c r="G328" s="3" t="s">
        <v>270</v>
      </c>
      <c r="H328" s="3" t="s">
        <v>271</v>
      </c>
      <c r="I328" s="3" t="s">
        <v>447</v>
      </c>
      <c r="J328" s="4">
        <v>12016.7</v>
      </c>
      <c r="K328" s="3" t="s">
        <v>778</v>
      </c>
      <c r="L328" s="4">
        <v>12000</v>
      </c>
      <c r="M328" s="3" t="s">
        <v>943</v>
      </c>
      <c r="N328" s="3" t="s">
        <v>63</v>
      </c>
    </row>
    <row r="329" spans="1:14" x14ac:dyDescent="0.2">
      <c r="A329" s="3" t="s">
        <v>23</v>
      </c>
      <c r="B329" s="6">
        <v>46265</v>
      </c>
      <c r="C329" s="3" t="s">
        <v>78</v>
      </c>
      <c r="D329" s="3" t="s">
        <v>944</v>
      </c>
      <c r="E329" s="4">
        <v>5.03</v>
      </c>
      <c r="F329" s="3" t="s">
        <v>80</v>
      </c>
      <c r="G329" s="3" t="s">
        <v>6</v>
      </c>
      <c r="H329" s="3" t="s">
        <v>78</v>
      </c>
      <c r="I329" s="3" t="s">
        <v>81</v>
      </c>
      <c r="J329" s="4">
        <v>11909.73</v>
      </c>
      <c r="K329" s="3" t="s">
        <v>778</v>
      </c>
      <c r="L329" s="4">
        <v>5.03</v>
      </c>
      <c r="M329" s="3" t="s">
        <v>945</v>
      </c>
      <c r="N329" s="3" t="s">
        <v>63</v>
      </c>
    </row>
    <row r="330" spans="1:14" x14ac:dyDescent="0.2">
      <c r="A330" s="3" t="s">
        <v>23</v>
      </c>
      <c r="B330" s="6">
        <v>46265</v>
      </c>
      <c r="C330" s="3" t="s">
        <v>946</v>
      </c>
      <c r="D330" s="3" t="s">
        <v>947</v>
      </c>
      <c r="E330" s="4">
        <v>-73</v>
      </c>
      <c r="F330" s="3" t="s">
        <v>57</v>
      </c>
      <c r="G330" s="3" t="s">
        <v>58</v>
      </c>
      <c r="H330" s="3" t="s">
        <v>59</v>
      </c>
      <c r="I330" s="3" t="s">
        <v>948</v>
      </c>
      <c r="J330" s="4">
        <v>11836.73</v>
      </c>
      <c r="K330" s="3" t="s">
        <v>778</v>
      </c>
      <c r="L330" s="4">
        <v>73</v>
      </c>
      <c r="M330" s="3" t="s">
        <v>949</v>
      </c>
      <c r="N330" s="3" t="s">
        <v>63</v>
      </c>
    </row>
  </sheetData>
  <autoFilter ref="A4:N330" xr:uid="{00000000-0009-0000-0000-000002000000}"/>
  <mergeCells count="2">
    <mergeCell ref="A2:N2"/>
    <mergeCell ref="A1:N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2F5B84"/>
  </sheetPr>
  <dimension ref="A1:H24"/>
  <sheetViews>
    <sheetView showGridLines="0" workbookViewId="0">
      <pane ySplit="3" topLeftCell="A4" activePane="bottomLeft" state="frozen"/>
      <selection pane="bottomLeft"/>
    </sheetView>
  </sheetViews>
  <sheetFormatPr baseColWidth="10" defaultColWidth="8.83203125" defaultRowHeight="15" x14ac:dyDescent="0.2"/>
  <cols>
    <col min="1" max="1" width="28" customWidth="1"/>
    <col min="2" max="2" width="20" customWidth="1"/>
    <col min="3" max="4" width="18" customWidth="1"/>
  </cols>
  <sheetData>
    <row r="1" spans="1:8" ht="32" customHeight="1" x14ac:dyDescent="0.2">
      <c r="A1" s="12" t="s">
        <v>950</v>
      </c>
      <c r="B1" s="13"/>
      <c r="C1" s="13"/>
      <c r="D1" s="13"/>
      <c r="E1" s="13"/>
      <c r="F1" s="13"/>
      <c r="G1" s="13"/>
      <c r="H1" s="13"/>
    </row>
    <row r="2" spans="1:8" ht="22" customHeight="1" x14ac:dyDescent="0.2">
      <c r="A2" s="16" t="s">
        <v>951</v>
      </c>
      <c r="B2" s="13"/>
      <c r="C2" s="13"/>
      <c r="D2" s="13"/>
      <c r="E2" s="13"/>
      <c r="F2" s="13"/>
      <c r="G2" s="13"/>
      <c r="H2" s="13"/>
    </row>
    <row r="4" spans="1:8" x14ac:dyDescent="0.2">
      <c r="A4" s="2" t="s">
        <v>47</v>
      </c>
      <c r="B4" s="2" t="s">
        <v>952</v>
      </c>
      <c r="C4" s="2" t="s">
        <v>953</v>
      </c>
      <c r="D4" s="2" t="s">
        <v>954</v>
      </c>
    </row>
    <row r="5" spans="1:8" x14ac:dyDescent="0.2">
      <c r="A5" s="3" t="s">
        <v>58</v>
      </c>
      <c r="B5" s="4">
        <v>47343.839999999997</v>
      </c>
      <c r="C5" s="7">
        <v>0.41316350496554499</v>
      </c>
      <c r="D5" s="3">
        <v>89</v>
      </c>
    </row>
    <row r="6" spans="1:8" x14ac:dyDescent="0.2">
      <c r="A6" s="3" t="s">
        <v>292</v>
      </c>
      <c r="B6" s="4">
        <v>29540.63</v>
      </c>
      <c r="C6" s="7">
        <v>0.25779721775188341</v>
      </c>
      <c r="D6" s="3">
        <v>5</v>
      </c>
    </row>
    <row r="7" spans="1:8" x14ac:dyDescent="0.2">
      <c r="A7" s="3" t="s">
        <v>625</v>
      </c>
      <c r="B7" s="4">
        <v>9790.6</v>
      </c>
      <c r="C7" s="7">
        <v>8.5441286801317032E-2</v>
      </c>
      <c r="D7" s="3">
        <v>2</v>
      </c>
    </row>
    <row r="8" spans="1:8" x14ac:dyDescent="0.2">
      <c r="A8" s="3" t="s">
        <v>70</v>
      </c>
      <c r="B8" s="4">
        <v>6716.58</v>
      </c>
      <c r="C8" s="7">
        <v>5.8614715962657042E-2</v>
      </c>
      <c r="D8" s="3">
        <v>43</v>
      </c>
    </row>
    <row r="9" spans="1:8" x14ac:dyDescent="0.2">
      <c r="A9" s="3" t="s">
        <v>340</v>
      </c>
      <c r="B9" s="4">
        <v>4805.3900000000003</v>
      </c>
      <c r="C9" s="7">
        <v>4.1936010579758223E-2</v>
      </c>
      <c r="D9" s="3">
        <v>13</v>
      </c>
    </row>
    <row r="10" spans="1:8" x14ac:dyDescent="0.2">
      <c r="A10" s="3" t="s">
        <v>85</v>
      </c>
      <c r="B10" s="4">
        <v>3529.31</v>
      </c>
      <c r="C10" s="7">
        <v>3.079982717307991E-2</v>
      </c>
      <c r="D10" s="3">
        <v>2</v>
      </c>
    </row>
    <row r="11" spans="1:8" x14ac:dyDescent="0.2">
      <c r="A11" s="3" t="s">
        <v>178</v>
      </c>
      <c r="B11" s="4">
        <v>3340</v>
      </c>
      <c r="C11" s="7">
        <v>2.914774354139674E-2</v>
      </c>
      <c r="D11" s="3">
        <v>2</v>
      </c>
    </row>
    <row r="12" spans="1:8" x14ac:dyDescent="0.2">
      <c r="A12" s="3" t="s">
        <v>312</v>
      </c>
      <c r="B12" s="4">
        <v>2096.13</v>
      </c>
      <c r="C12" s="7">
        <v>1.8292652595637109E-2</v>
      </c>
      <c r="D12" s="3">
        <v>8</v>
      </c>
    </row>
    <row r="13" spans="1:8" x14ac:dyDescent="0.2">
      <c r="A13" s="3" t="s">
        <v>150</v>
      </c>
      <c r="B13" s="4">
        <v>1448.9</v>
      </c>
      <c r="C13" s="7">
        <v>1.2644360963212489E-2</v>
      </c>
      <c r="D13" s="3">
        <v>12</v>
      </c>
    </row>
    <row r="14" spans="1:8" x14ac:dyDescent="0.2">
      <c r="A14" s="3" t="s">
        <v>359</v>
      </c>
      <c r="B14" s="4">
        <v>1342.74</v>
      </c>
      <c r="C14" s="7">
        <v>1.1717916515800911E-2</v>
      </c>
      <c r="D14" s="3">
        <v>1</v>
      </c>
    </row>
    <row r="15" spans="1:8" x14ac:dyDescent="0.2">
      <c r="A15" s="3" t="s">
        <v>90</v>
      </c>
      <c r="B15" s="4">
        <v>1181.9100000000001</v>
      </c>
      <c r="C15" s="7">
        <v>1.0314374122458749E-2</v>
      </c>
      <c r="D15" s="3">
        <v>4</v>
      </c>
    </row>
    <row r="16" spans="1:8" x14ac:dyDescent="0.2">
      <c r="A16" s="3" t="s">
        <v>297</v>
      </c>
      <c r="B16" s="4">
        <v>814.88999999999987</v>
      </c>
      <c r="C16" s="7">
        <v>7.1114385432481386E-3</v>
      </c>
      <c r="D16" s="3">
        <v>5</v>
      </c>
    </row>
    <row r="17" spans="1:4" x14ac:dyDescent="0.2">
      <c r="A17" s="3" t="s">
        <v>112</v>
      </c>
      <c r="B17" s="4">
        <v>800.78</v>
      </c>
      <c r="C17" s="7">
        <v>6.9883024170897239E-3</v>
      </c>
      <c r="D17" s="3">
        <v>6</v>
      </c>
    </row>
    <row r="18" spans="1:4" x14ac:dyDescent="0.2">
      <c r="A18" s="3" t="s">
        <v>405</v>
      </c>
      <c r="B18" s="4">
        <v>520.74</v>
      </c>
      <c r="C18" s="7">
        <v>4.5444299316607598E-3</v>
      </c>
      <c r="D18" s="3">
        <v>9</v>
      </c>
    </row>
    <row r="19" spans="1:4" x14ac:dyDescent="0.2">
      <c r="A19" s="3" t="s">
        <v>237</v>
      </c>
      <c r="B19" s="4">
        <v>387.96</v>
      </c>
      <c r="C19" s="7">
        <v>3.385676222850382E-3</v>
      </c>
      <c r="D19" s="3">
        <v>4</v>
      </c>
    </row>
    <row r="20" spans="1:4" x14ac:dyDescent="0.2">
      <c r="A20" s="3" t="s">
        <v>716</v>
      </c>
      <c r="B20" s="4">
        <v>346</v>
      </c>
      <c r="C20" s="7">
        <v>3.0194967860249309E-3</v>
      </c>
      <c r="D20" s="3">
        <v>3</v>
      </c>
    </row>
    <row r="21" spans="1:4" x14ac:dyDescent="0.2">
      <c r="A21" s="3" t="s">
        <v>667</v>
      </c>
      <c r="B21" s="4">
        <v>337.66</v>
      </c>
      <c r="C21" s="7">
        <v>2.946714695864678E-3</v>
      </c>
      <c r="D21" s="3">
        <v>4</v>
      </c>
    </row>
    <row r="22" spans="1:4" x14ac:dyDescent="0.2">
      <c r="A22" s="3" t="s">
        <v>852</v>
      </c>
      <c r="B22" s="4">
        <v>155.58000000000001</v>
      </c>
      <c r="C22" s="7">
        <v>1.357726329392367E-3</v>
      </c>
      <c r="D22" s="3">
        <v>2</v>
      </c>
    </row>
    <row r="23" spans="1:4" x14ac:dyDescent="0.2">
      <c r="A23" s="3" t="s">
        <v>138</v>
      </c>
      <c r="B23" s="4">
        <v>78.989999999999995</v>
      </c>
      <c r="C23" s="7">
        <v>6.8933540788470899E-4</v>
      </c>
      <c r="D23" s="3">
        <v>1</v>
      </c>
    </row>
    <row r="24" spans="1:4" x14ac:dyDescent="0.2">
      <c r="A24" s="3" t="s">
        <v>459</v>
      </c>
      <c r="B24" s="4">
        <v>10</v>
      </c>
      <c r="C24" s="7">
        <v>8.7268693237714783E-5</v>
      </c>
      <c r="D24" s="3">
        <v>1</v>
      </c>
    </row>
  </sheetData>
  <mergeCells count="2">
    <mergeCell ref="A2:H2"/>
    <mergeCell ref="A1:H1"/>
  </mergeCells>
  <pageMargins left="0.75" right="0.75" top="1" bottom="1" header="0.5" footer="0.5"/>
  <drawing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2F5B84"/>
  </sheetPr>
  <dimension ref="A1:H108"/>
  <sheetViews>
    <sheetView showGridLines="0" workbookViewId="0">
      <pane ySplit="4" topLeftCell="A5" activePane="bottomLeft" state="frozen"/>
      <selection pane="bottomLeft"/>
    </sheetView>
  </sheetViews>
  <sheetFormatPr baseColWidth="10" defaultColWidth="8.83203125" defaultRowHeight="15" x14ac:dyDescent="0.2"/>
  <cols>
    <col min="1" max="1" width="45" customWidth="1"/>
    <col min="2" max="2" width="28" customWidth="1"/>
    <col min="3" max="3" width="15" customWidth="1"/>
    <col min="4" max="5" width="18" customWidth="1"/>
  </cols>
  <sheetData>
    <row r="1" spans="1:8" ht="32" customHeight="1" x14ac:dyDescent="0.2">
      <c r="A1" s="12" t="s">
        <v>955</v>
      </c>
      <c r="B1" s="13"/>
      <c r="C1" s="13"/>
      <c r="D1" s="13"/>
      <c r="E1" s="13"/>
      <c r="F1" s="13"/>
      <c r="G1" s="13"/>
      <c r="H1" s="13"/>
    </row>
    <row r="2" spans="1:8" ht="22" customHeight="1" x14ac:dyDescent="0.2">
      <c r="A2" s="16" t="s">
        <v>956</v>
      </c>
      <c r="B2" s="13"/>
      <c r="C2" s="13"/>
      <c r="D2" s="13"/>
      <c r="E2" s="13"/>
      <c r="F2" s="13"/>
      <c r="G2" s="13"/>
      <c r="H2" s="13"/>
    </row>
    <row r="4" spans="1:8" x14ac:dyDescent="0.2">
      <c r="A4" s="2" t="s">
        <v>49</v>
      </c>
      <c r="B4" s="2" t="s">
        <v>957</v>
      </c>
      <c r="C4" s="2" t="s">
        <v>10</v>
      </c>
      <c r="D4" s="2" t="s">
        <v>958</v>
      </c>
      <c r="E4" s="2" t="s">
        <v>959</v>
      </c>
    </row>
    <row r="5" spans="1:8" x14ac:dyDescent="0.2">
      <c r="A5" s="3"/>
      <c r="B5" s="3" t="s">
        <v>292</v>
      </c>
      <c r="C5" s="3">
        <v>5</v>
      </c>
      <c r="D5" s="4">
        <v>-29540.63</v>
      </c>
      <c r="E5" s="4">
        <v>29540.63</v>
      </c>
    </row>
    <row r="6" spans="1:8" x14ac:dyDescent="0.2">
      <c r="A6" s="3"/>
      <c r="B6" s="3" t="s">
        <v>340</v>
      </c>
      <c r="C6" s="3">
        <v>13</v>
      </c>
      <c r="D6" s="4">
        <v>-4805.3900000000003</v>
      </c>
      <c r="E6" s="4">
        <v>4805.3900000000003</v>
      </c>
    </row>
    <row r="7" spans="1:8" x14ac:dyDescent="0.2">
      <c r="A7" s="3" t="s">
        <v>948</v>
      </c>
      <c r="B7" s="3" t="s">
        <v>58</v>
      </c>
      <c r="C7" s="3">
        <v>1</v>
      </c>
      <c r="D7" s="4">
        <v>-73</v>
      </c>
      <c r="E7" s="4">
        <v>73</v>
      </c>
    </row>
    <row r="8" spans="1:8" x14ac:dyDescent="0.2">
      <c r="A8" s="3" t="s">
        <v>244</v>
      </c>
      <c r="B8" s="3" t="s">
        <v>58</v>
      </c>
      <c r="C8" s="3">
        <v>1</v>
      </c>
      <c r="D8" s="4">
        <v>-35</v>
      </c>
      <c r="E8" s="4">
        <v>35</v>
      </c>
    </row>
    <row r="9" spans="1:8" x14ac:dyDescent="0.2">
      <c r="A9" s="3" t="s">
        <v>371</v>
      </c>
      <c r="B9" s="3" t="s">
        <v>150</v>
      </c>
      <c r="C9" s="3">
        <v>1</v>
      </c>
      <c r="D9" s="4">
        <v>-110</v>
      </c>
      <c r="E9" s="4">
        <v>110</v>
      </c>
    </row>
    <row r="10" spans="1:8" x14ac:dyDescent="0.2">
      <c r="A10" s="3" t="s">
        <v>519</v>
      </c>
      <c r="B10" s="3" t="s">
        <v>405</v>
      </c>
      <c r="C10" s="3">
        <v>1</v>
      </c>
      <c r="D10" s="4">
        <v>-29.5</v>
      </c>
      <c r="E10" s="4">
        <v>29.5</v>
      </c>
    </row>
    <row r="11" spans="1:8" x14ac:dyDescent="0.2">
      <c r="A11" s="3" t="s">
        <v>256</v>
      </c>
      <c r="B11" s="3" t="s">
        <v>58</v>
      </c>
      <c r="C11" s="3">
        <v>1</v>
      </c>
      <c r="D11" s="4">
        <v>-131</v>
      </c>
      <c r="E11" s="4">
        <v>131</v>
      </c>
    </row>
    <row r="12" spans="1:8" x14ac:dyDescent="0.2">
      <c r="A12" s="3" t="s">
        <v>201</v>
      </c>
      <c r="B12" s="3" t="s">
        <v>58</v>
      </c>
      <c r="C12" s="3">
        <v>1</v>
      </c>
      <c r="D12" s="4">
        <v>-208</v>
      </c>
      <c r="E12" s="4">
        <v>208</v>
      </c>
    </row>
    <row r="13" spans="1:8" x14ac:dyDescent="0.2">
      <c r="A13" s="3" t="s">
        <v>627</v>
      </c>
      <c r="B13" s="3" t="s">
        <v>625</v>
      </c>
      <c r="C13" s="3">
        <v>1</v>
      </c>
      <c r="D13" s="4">
        <v>-9377.49</v>
      </c>
      <c r="E13" s="4">
        <v>9377.49</v>
      </c>
    </row>
    <row r="14" spans="1:8" x14ac:dyDescent="0.2">
      <c r="A14" s="3" t="s">
        <v>555</v>
      </c>
      <c r="B14" s="3" t="s">
        <v>150</v>
      </c>
      <c r="C14" s="3">
        <v>1</v>
      </c>
      <c r="D14" s="4">
        <v>-94.7</v>
      </c>
      <c r="E14" s="4">
        <v>94.7</v>
      </c>
    </row>
    <row r="15" spans="1:8" x14ac:dyDescent="0.2">
      <c r="A15" s="3" t="s">
        <v>193</v>
      </c>
      <c r="B15" s="3" t="s">
        <v>150</v>
      </c>
      <c r="C15" s="3">
        <v>3</v>
      </c>
      <c r="D15" s="4">
        <v>-526.51</v>
      </c>
      <c r="E15" s="4">
        <v>526.51</v>
      </c>
    </row>
    <row r="16" spans="1:8" x14ac:dyDescent="0.2">
      <c r="A16" s="3" t="s">
        <v>205</v>
      </c>
      <c r="B16" s="3" t="s">
        <v>58</v>
      </c>
      <c r="C16" s="3">
        <v>2</v>
      </c>
      <c r="D16" s="4">
        <v>-69.449999999999989</v>
      </c>
      <c r="E16" s="4">
        <v>69.449999999999989</v>
      </c>
    </row>
    <row r="17" spans="1:5" x14ac:dyDescent="0.2">
      <c r="A17" s="3" t="s">
        <v>604</v>
      </c>
      <c r="B17" s="3" t="s">
        <v>58</v>
      </c>
      <c r="C17" s="3">
        <v>5</v>
      </c>
      <c r="D17" s="4">
        <v>-2570</v>
      </c>
      <c r="E17" s="4">
        <v>2570</v>
      </c>
    </row>
    <row r="18" spans="1:5" x14ac:dyDescent="0.2">
      <c r="A18" s="3" t="s">
        <v>179</v>
      </c>
      <c r="B18" s="3" t="s">
        <v>178</v>
      </c>
      <c r="C18" s="3">
        <v>1</v>
      </c>
      <c r="D18" s="4">
        <v>-3200</v>
      </c>
      <c r="E18" s="4">
        <v>3200</v>
      </c>
    </row>
    <row r="19" spans="1:5" x14ac:dyDescent="0.2">
      <c r="A19" s="3" t="s">
        <v>160</v>
      </c>
      <c r="B19" s="3" t="s">
        <v>150</v>
      </c>
      <c r="C19" s="3">
        <v>1</v>
      </c>
      <c r="D19" s="4">
        <v>-222.97</v>
      </c>
      <c r="E19" s="4">
        <v>222.97</v>
      </c>
    </row>
    <row r="20" spans="1:5" x14ac:dyDescent="0.2">
      <c r="A20" s="3" t="s">
        <v>527</v>
      </c>
      <c r="B20" s="3" t="s">
        <v>70</v>
      </c>
      <c r="C20" s="3">
        <v>1</v>
      </c>
      <c r="D20" s="4">
        <v>-11.5</v>
      </c>
      <c r="E20" s="4">
        <v>11.5</v>
      </c>
    </row>
    <row r="21" spans="1:5" x14ac:dyDescent="0.2">
      <c r="A21" s="3" t="s">
        <v>899</v>
      </c>
      <c r="B21" s="3" t="s">
        <v>667</v>
      </c>
      <c r="C21" s="3">
        <v>1</v>
      </c>
      <c r="D21" s="4">
        <v>-118.54</v>
      </c>
      <c r="E21" s="4">
        <v>118.54</v>
      </c>
    </row>
    <row r="22" spans="1:5" x14ac:dyDescent="0.2">
      <c r="A22" s="3" t="s">
        <v>92</v>
      </c>
      <c r="B22" s="3" t="s">
        <v>90</v>
      </c>
      <c r="C22" s="3">
        <v>2</v>
      </c>
      <c r="D22" s="4">
        <v>-317.25</v>
      </c>
      <c r="E22" s="4">
        <v>317.25</v>
      </c>
    </row>
    <row r="23" spans="1:5" x14ac:dyDescent="0.2">
      <c r="A23" s="3" t="s">
        <v>818</v>
      </c>
      <c r="B23" s="3" t="s">
        <v>667</v>
      </c>
      <c r="C23" s="3">
        <v>1</v>
      </c>
      <c r="D23" s="4">
        <v>-154.12</v>
      </c>
      <c r="E23" s="4">
        <v>154.12</v>
      </c>
    </row>
    <row r="24" spans="1:5" x14ac:dyDescent="0.2">
      <c r="A24" s="3" t="s">
        <v>170</v>
      </c>
      <c r="B24" s="3" t="s">
        <v>70</v>
      </c>
      <c r="C24" s="3">
        <v>2</v>
      </c>
      <c r="D24" s="4">
        <v>-810.58999999999992</v>
      </c>
      <c r="E24" s="4">
        <v>810.58999999999992</v>
      </c>
    </row>
    <row r="25" spans="1:5" x14ac:dyDescent="0.2">
      <c r="A25" s="3" t="s">
        <v>746</v>
      </c>
      <c r="B25" s="3" t="s">
        <v>312</v>
      </c>
      <c r="C25" s="3">
        <v>1</v>
      </c>
      <c r="D25" s="4">
        <v>-322.8</v>
      </c>
      <c r="E25" s="4">
        <v>322.8</v>
      </c>
    </row>
    <row r="26" spans="1:5" x14ac:dyDescent="0.2">
      <c r="A26" s="3" t="s">
        <v>752</v>
      </c>
      <c r="B26" s="3" t="s">
        <v>58</v>
      </c>
      <c r="C26" s="3">
        <v>1</v>
      </c>
      <c r="D26" s="4">
        <v>-146.99</v>
      </c>
      <c r="E26" s="4">
        <v>146.99</v>
      </c>
    </row>
    <row r="27" spans="1:5" x14ac:dyDescent="0.2">
      <c r="A27" s="3" t="s">
        <v>314</v>
      </c>
      <c r="B27" s="3" t="s">
        <v>312</v>
      </c>
      <c r="C27" s="3">
        <v>2</v>
      </c>
      <c r="D27" s="4">
        <v>-296</v>
      </c>
      <c r="E27" s="4">
        <v>296</v>
      </c>
    </row>
    <row r="28" spans="1:5" x14ac:dyDescent="0.2">
      <c r="A28" s="3" t="s">
        <v>838</v>
      </c>
      <c r="B28" s="3" t="s">
        <v>150</v>
      </c>
      <c r="C28" s="3">
        <v>1</v>
      </c>
      <c r="D28" s="4">
        <v>-168.1</v>
      </c>
      <c r="E28" s="4">
        <v>168.1</v>
      </c>
    </row>
    <row r="29" spans="1:5" x14ac:dyDescent="0.2">
      <c r="A29" s="3" t="s">
        <v>557</v>
      </c>
      <c r="B29" s="3" t="s">
        <v>297</v>
      </c>
      <c r="C29" s="3">
        <v>1</v>
      </c>
      <c r="D29" s="4">
        <v>-13.49</v>
      </c>
      <c r="E29" s="4">
        <v>13.49</v>
      </c>
    </row>
    <row r="30" spans="1:5" x14ac:dyDescent="0.2">
      <c r="A30" s="3" t="s">
        <v>523</v>
      </c>
      <c r="B30" s="3" t="s">
        <v>297</v>
      </c>
      <c r="C30" s="3">
        <v>1</v>
      </c>
      <c r="D30" s="4">
        <v>-16.989999999999998</v>
      </c>
      <c r="E30" s="4">
        <v>16.989999999999998</v>
      </c>
    </row>
    <row r="31" spans="1:5" x14ac:dyDescent="0.2">
      <c r="A31" s="3" t="s">
        <v>884</v>
      </c>
      <c r="B31" s="3" t="s">
        <v>58</v>
      </c>
      <c r="C31" s="3">
        <v>1</v>
      </c>
      <c r="D31" s="4">
        <v>-5.5</v>
      </c>
      <c r="E31" s="4">
        <v>5.5</v>
      </c>
    </row>
    <row r="32" spans="1:5" x14ac:dyDescent="0.2">
      <c r="A32" s="3" t="s">
        <v>850</v>
      </c>
      <c r="B32" s="3" t="s">
        <v>852</v>
      </c>
      <c r="C32" s="3">
        <v>2</v>
      </c>
      <c r="D32" s="4">
        <v>-155.58000000000001</v>
      </c>
      <c r="E32" s="4">
        <v>155.58000000000001</v>
      </c>
    </row>
    <row r="33" spans="1:5" x14ac:dyDescent="0.2">
      <c r="A33" s="3" t="s">
        <v>76</v>
      </c>
      <c r="B33" s="3" t="s">
        <v>58</v>
      </c>
      <c r="C33" s="3">
        <v>4</v>
      </c>
      <c r="D33" s="4">
        <v>-356.71</v>
      </c>
      <c r="E33" s="4">
        <v>356.71</v>
      </c>
    </row>
    <row r="34" spans="1:5" x14ac:dyDescent="0.2">
      <c r="A34" s="3" t="s">
        <v>250</v>
      </c>
      <c r="B34" s="3" t="s">
        <v>248</v>
      </c>
      <c r="C34" s="3">
        <v>1</v>
      </c>
      <c r="D34" s="4">
        <v>19</v>
      </c>
      <c r="E34" s="4">
        <v>19</v>
      </c>
    </row>
    <row r="35" spans="1:5" x14ac:dyDescent="0.2">
      <c r="A35" s="3" t="s">
        <v>395</v>
      </c>
      <c r="B35" s="3" t="s">
        <v>58</v>
      </c>
      <c r="C35" s="3">
        <v>1</v>
      </c>
      <c r="D35" s="4">
        <v>-36</v>
      </c>
      <c r="E35" s="4">
        <v>36</v>
      </c>
    </row>
    <row r="36" spans="1:5" x14ac:dyDescent="0.2">
      <c r="A36" s="3" t="s">
        <v>717</v>
      </c>
      <c r="B36" s="3" t="s">
        <v>716</v>
      </c>
      <c r="C36" s="3">
        <v>2</v>
      </c>
      <c r="D36" s="4">
        <v>-26</v>
      </c>
      <c r="E36" s="4">
        <v>26</v>
      </c>
    </row>
    <row r="37" spans="1:5" x14ac:dyDescent="0.2">
      <c r="A37" s="3" t="s">
        <v>447</v>
      </c>
      <c r="B37" s="3" t="s">
        <v>270</v>
      </c>
      <c r="C37" s="3">
        <v>6</v>
      </c>
      <c r="D37" s="4">
        <v>61000</v>
      </c>
      <c r="E37" s="4">
        <v>61000</v>
      </c>
    </row>
    <row r="38" spans="1:5" x14ac:dyDescent="0.2">
      <c r="A38" s="3" t="s">
        <v>272</v>
      </c>
      <c r="B38" s="3" t="s">
        <v>270</v>
      </c>
      <c r="C38" s="3">
        <v>3</v>
      </c>
      <c r="D38" s="4">
        <v>40300.19</v>
      </c>
      <c r="E38" s="4">
        <v>40300.19</v>
      </c>
    </row>
    <row r="39" spans="1:5" x14ac:dyDescent="0.2">
      <c r="A39" s="3" t="s">
        <v>531</v>
      </c>
      <c r="B39" s="3" t="s">
        <v>58</v>
      </c>
      <c r="C39" s="3">
        <v>2</v>
      </c>
      <c r="D39" s="4">
        <v>-158</v>
      </c>
      <c r="E39" s="4">
        <v>158</v>
      </c>
    </row>
    <row r="40" spans="1:5" x14ac:dyDescent="0.2">
      <c r="A40" s="3" t="s">
        <v>475</v>
      </c>
      <c r="B40" s="3" t="s">
        <v>90</v>
      </c>
      <c r="C40" s="3">
        <v>2</v>
      </c>
      <c r="D40" s="4">
        <v>-864.66</v>
      </c>
      <c r="E40" s="4">
        <v>864.66</v>
      </c>
    </row>
    <row r="41" spans="1:5" x14ac:dyDescent="0.2">
      <c r="A41" s="3" t="s">
        <v>701</v>
      </c>
      <c r="B41" s="3" t="s">
        <v>70</v>
      </c>
      <c r="C41" s="3">
        <v>3</v>
      </c>
      <c r="D41" s="4">
        <v>-300.39999999999998</v>
      </c>
      <c r="E41" s="4">
        <v>300.39999999999998</v>
      </c>
    </row>
    <row r="42" spans="1:5" x14ac:dyDescent="0.2">
      <c r="A42" s="3" t="s">
        <v>72</v>
      </c>
      <c r="B42" s="3" t="s">
        <v>70</v>
      </c>
      <c r="C42" s="3">
        <v>4</v>
      </c>
      <c r="D42" s="4">
        <v>-669.88</v>
      </c>
      <c r="E42" s="4">
        <v>669.88</v>
      </c>
    </row>
    <row r="43" spans="1:5" x14ac:dyDescent="0.2">
      <c r="A43" s="3" t="s">
        <v>890</v>
      </c>
      <c r="B43" s="3" t="s">
        <v>716</v>
      </c>
      <c r="C43" s="3">
        <v>1</v>
      </c>
      <c r="D43" s="4">
        <v>-320</v>
      </c>
      <c r="E43" s="4">
        <v>320</v>
      </c>
    </row>
    <row r="44" spans="1:5" x14ac:dyDescent="0.2">
      <c r="A44" s="3" t="s">
        <v>742</v>
      </c>
      <c r="B44" s="3" t="s">
        <v>58</v>
      </c>
      <c r="C44" s="3">
        <v>1</v>
      </c>
      <c r="D44" s="4">
        <v>-130.13</v>
      </c>
      <c r="E44" s="4">
        <v>130.13</v>
      </c>
    </row>
    <row r="45" spans="1:5" x14ac:dyDescent="0.2">
      <c r="A45" s="3" t="s">
        <v>282</v>
      </c>
      <c r="B45" s="3" t="s">
        <v>58</v>
      </c>
      <c r="C45" s="3">
        <v>2</v>
      </c>
      <c r="D45" s="4">
        <v>-5500</v>
      </c>
      <c r="E45" s="4">
        <v>5500</v>
      </c>
    </row>
    <row r="46" spans="1:5" x14ac:dyDescent="0.2">
      <c r="A46" s="3" t="s">
        <v>96</v>
      </c>
      <c r="B46" s="3" t="s">
        <v>58</v>
      </c>
      <c r="C46" s="3">
        <v>8</v>
      </c>
      <c r="D46" s="4">
        <v>-3560</v>
      </c>
      <c r="E46" s="4">
        <v>3560</v>
      </c>
    </row>
    <row r="47" spans="1:5" x14ac:dyDescent="0.2">
      <c r="A47" s="3" t="s">
        <v>461</v>
      </c>
      <c r="B47" s="3" t="s">
        <v>459</v>
      </c>
      <c r="C47" s="3">
        <v>1</v>
      </c>
      <c r="D47" s="4">
        <v>-10</v>
      </c>
      <c r="E47" s="4">
        <v>10</v>
      </c>
    </row>
    <row r="48" spans="1:5" x14ac:dyDescent="0.2">
      <c r="A48" s="3" t="s">
        <v>104</v>
      </c>
      <c r="B48" s="3" t="s">
        <v>70</v>
      </c>
      <c r="C48" s="3">
        <v>9</v>
      </c>
      <c r="D48" s="4">
        <v>-966.9</v>
      </c>
      <c r="E48" s="4">
        <v>966.9</v>
      </c>
    </row>
    <row r="49" spans="1:5" x14ac:dyDescent="0.2">
      <c r="A49" s="3" t="s">
        <v>60</v>
      </c>
      <c r="B49" s="3" t="s">
        <v>58</v>
      </c>
      <c r="C49" s="3">
        <v>8</v>
      </c>
      <c r="D49" s="4">
        <v>-10360</v>
      </c>
      <c r="E49" s="4">
        <v>10360</v>
      </c>
    </row>
    <row r="50" spans="1:5" x14ac:dyDescent="0.2">
      <c r="A50" s="3" t="s">
        <v>419</v>
      </c>
      <c r="B50" s="3" t="s">
        <v>58</v>
      </c>
      <c r="C50" s="3">
        <v>2</v>
      </c>
      <c r="D50" s="4">
        <v>-2000</v>
      </c>
      <c r="E50" s="4">
        <v>2000</v>
      </c>
    </row>
    <row r="51" spans="1:5" x14ac:dyDescent="0.2">
      <c r="A51" s="3" t="s">
        <v>777</v>
      </c>
      <c r="B51" s="3" t="s">
        <v>58</v>
      </c>
      <c r="C51" s="3">
        <v>1</v>
      </c>
      <c r="D51" s="4">
        <v>-41.38</v>
      </c>
      <c r="E51" s="4">
        <v>41.38</v>
      </c>
    </row>
    <row r="52" spans="1:5" x14ac:dyDescent="0.2">
      <c r="A52" s="3" t="s">
        <v>211</v>
      </c>
      <c r="B52" s="3" t="s">
        <v>58</v>
      </c>
      <c r="C52" s="3">
        <v>1</v>
      </c>
      <c r="D52" s="4">
        <v>-114.77</v>
      </c>
      <c r="E52" s="4">
        <v>114.77</v>
      </c>
    </row>
    <row r="53" spans="1:5" x14ac:dyDescent="0.2">
      <c r="A53" s="3" t="s">
        <v>796</v>
      </c>
      <c r="B53" s="3" t="s">
        <v>312</v>
      </c>
      <c r="C53" s="3">
        <v>1</v>
      </c>
      <c r="D53" s="4">
        <v>-400</v>
      </c>
      <c r="E53" s="4">
        <v>400</v>
      </c>
    </row>
    <row r="54" spans="1:5" x14ac:dyDescent="0.2">
      <c r="A54" s="3" t="s">
        <v>764</v>
      </c>
      <c r="B54" s="3" t="s">
        <v>312</v>
      </c>
      <c r="C54" s="3">
        <v>1</v>
      </c>
      <c r="D54" s="4">
        <v>-188</v>
      </c>
      <c r="E54" s="4">
        <v>188</v>
      </c>
    </row>
    <row r="55" spans="1:5" x14ac:dyDescent="0.2">
      <c r="A55" s="3" t="s">
        <v>880</v>
      </c>
      <c r="B55" s="3" t="s">
        <v>58</v>
      </c>
      <c r="C55" s="3">
        <v>1</v>
      </c>
      <c r="D55" s="4">
        <v>-32</v>
      </c>
      <c r="E55" s="4">
        <v>32</v>
      </c>
    </row>
    <row r="56" spans="1:5" x14ac:dyDescent="0.2">
      <c r="A56" s="3" t="s">
        <v>174</v>
      </c>
      <c r="B56" s="3" t="s">
        <v>58</v>
      </c>
      <c r="C56" s="3">
        <v>1</v>
      </c>
      <c r="D56" s="4">
        <v>-3235</v>
      </c>
      <c r="E56" s="4">
        <v>3235</v>
      </c>
    </row>
    <row r="57" spans="1:5" x14ac:dyDescent="0.2">
      <c r="A57" s="3" t="s">
        <v>156</v>
      </c>
      <c r="B57" s="3" t="s">
        <v>58</v>
      </c>
      <c r="C57" s="3">
        <v>1</v>
      </c>
      <c r="D57" s="4">
        <v>-22</v>
      </c>
      <c r="E57" s="4">
        <v>22</v>
      </c>
    </row>
    <row r="58" spans="1:5" x14ac:dyDescent="0.2">
      <c r="A58" s="3" t="s">
        <v>132</v>
      </c>
      <c r="B58" s="3" t="s">
        <v>58</v>
      </c>
      <c r="C58" s="3">
        <v>6</v>
      </c>
      <c r="D58" s="4">
        <v>-4033</v>
      </c>
      <c r="E58" s="4">
        <v>4033</v>
      </c>
    </row>
    <row r="59" spans="1:5" x14ac:dyDescent="0.2">
      <c r="A59" s="3" t="s">
        <v>86</v>
      </c>
      <c r="B59" s="3" t="s">
        <v>85</v>
      </c>
      <c r="C59" s="3">
        <v>1</v>
      </c>
      <c r="D59" s="4">
        <v>-1422.71</v>
      </c>
      <c r="E59" s="4">
        <v>1422.71</v>
      </c>
    </row>
    <row r="60" spans="1:5" x14ac:dyDescent="0.2">
      <c r="A60" s="3" t="s">
        <v>865</v>
      </c>
      <c r="B60" s="3" t="s">
        <v>150</v>
      </c>
      <c r="C60" s="3">
        <v>1</v>
      </c>
      <c r="D60" s="4">
        <v>-116.82</v>
      </c>
      <c r="E60" s="4">
        <v>116.82</v>
      </c>
    </row>
    <row r="61" spans="1:5" x14ac:dyDescent="0.2">
      <c r="A61" s="3" t="s">
        <v>407</v>
      </c>
      <c r="B61" s="3" t="s">
        <v>405</v>
      </c>
      <c r="C61" s="3">
        <v>3</v>
      </c>
      <c r="D61" s="4">
        <v>-122.86</v>
      </c>
      <c r="E61" s="4">
        <v>122.86</v>
      </c>
    </row>
    <row r="62" spans="1:5" x14ac:dyDescent="0.2">
      <c r="A62" s="3" t="s">
        <v>501</v>
      </c>
      <c r="B62" s="3" t="s">
        <v>58</v>
      </c>
      <c r="C62" s="3">
        <v>1</v>
      </c>
      <c r="D62" s="4">
        <v>-100</v>
      </c>
      <c r="E62" s="4">
        <v>100</v>
      </c>
    </row>
    <row r="63" spans="1:5" x14ac:dyDescent="0.2">
      <c r="A63" s="3" t="s">
        <v>726</v>
      </c>
      <c r="B63" s="3" t="s">
        <v>58</v>
      </c>
      <c r="C63" s="3">
        <v>2</v>
      </c>
      <c r="D63" s="4">
        <v>-145</v>
      </c>
      <c r="E63" s="4">
        <v>145</v>
      </c>
    </row>
    <row r="64" spans="1:5" x14ac:dyDescent="0.2">
      <c r="A64" s="3" t="s">
        <v>375</v>
      </c>
      <c r="B64" s="3" t="s">
        <v>58</v>
      </c>
      <c r="C64" s="3">
        <v>1</v>
      </c>
      <c r="D64" s="4">
        <v>-22.85</v>
      </c>
      <c r="E64" s="4">
        <v>22.85</v>
      </c>
    </row>
    <row r="65" spans="1:5" x14ac:dyDescent="0.2">
      <c r="A65" s="3" t="s">
        <v>387</v>
      </c>
      <c r="B65" s="3" t="s">
        <v>297</v>
      </c>
      <c r="C65" s="3">
        <v>1</v>
      </c>
      <c r="D65" s="4">
        <v>-554.91999999999996</v>
      </c>
      <c r="E65" s="4">
        <v>554.91999999999996</v>
      </c>
    </row>
    <row r="66" spans="1:5" x14ac:dyDescent="0.2">
      <c r="A66" s="3" t="s">
        <v>355</v>
      </c>
      <c r="B66" s="3" t="s">
        <v>312</v>
      </c>
      <c r="C66" s="3">
        <v>1</v>
      </c>
      <c r="D66" s="4">
        <v>-386.91</v>
      </c>
      <c r="E66" s="4">
        <v>386.91</v>
      </c>
    </row>
    <row r="67" spans="1:5" x14ac:dyDescent="0.2">
      <c r="A67" s="3" t="s">
        <v>124</v>
      </c>
      <c r="B67" s="3" t="s">
        <v>70</v>
      </c>
      <c r="C67" s="3">
        <v>13</v>
      </c>
      <c r="D67" s="4">
        <v>-2284.9899999999998</v>
      </c>
      <c r="E67" s="4">
        <v>2284.9899999999998</v>
      </c>
    </row>
    <row r="68" spans="1:5" x14ac:dyDescent="0.2">
      <c r="A68" s="3" t="s">
        <v>549</v>
      </c>
      <c r="B68" s="3" t="s">
        <v>58</v>
      </c>
      <c r="C68" s="3">
        <v>2</v>
      </c>
      <c r="D68" s="4">
        <v>-28</v>
      </c>
      <c r="E68" s="4">
        <v>28</v>
      </c>
    </row>
    <row r="69" spans="1:5" x14ac:dyDescent="0.2">
      <c r="A69" s="3" t="s">
        <v>665</v>
      </c>
      <c r="B69" s="3" t="s">
        <v>667</v>
      </c>
      <c r="C69" s="3">
        <v>1</v>
      </c>
      <c r="D69" s="4">
        <v>-25</v>
      </c>
      <c r="E69" s="4">
        <v>25</v>
      </c>
    </row>
    <row r="70" spans="1:5" x14ac:dyDescent="0.2">
      <c r="A70" s="3" t="s">
        <v>469</v>
      </c>
      <c r="B70" s="3" t="s">
        <v>58</v>
      </c>
      <c r="C70" s="3">
        <v>1</v>
      </c>
      <c r="D70" s="4">
        <v>-17</v>
      </c>
      <c r="E70" s="4">
        <v>17</v>
      </c>
    </row>
    <row r="71" spans="1:5" x14ac:dyDescent="0.2">
      <c r="A71" s="3" t="s">
        <v>278</v>
      </c>
      <c r="B71" s="3" t="s">
        <v>58</v>
      </c>
      <c r="C71" s="3">
        <v>7</v>
      </c>
      <c r="D71" s="4">
        <v>-5200</v>
      </c>
      <c r="E71" s="4">
        <v>5200</v>
      </c>
    </row>
    <row r="72" spans="1:5" x14ac:dyDescent="0.2">
      <c r="A72" s="3" t="s">
        <v>762</v>
      </c>
      <c r="B72" s="3" t="s">
        <v>58</v>
      </c>
      <c r="C72" s="3">
        <v>1</v>
      </c>
      <c r="D72" s="4">
        <v>-960</v>
      </c>
      <c r="E72" s="4">
        <v>960</v>
      </c>
    </row>
    <row r="73" spans="1:5" x14ac:dyDescent="0.2">
      <c r="A73" s="3" t="s">
        <v>66</v>
      </c>
      <c r="B73" s="3" t="s">
        <v>58</v>
      </c>
      <c r="C73" s="3">
        <v>9</v>
      </c>
      <c r="D73" s="4">
        <v>-3530.2</v>
      </c>
      <c r="E73" s="4">
        <v>3530.2</v>
      </c>
    </row>
    <row r="74" spans="1:5" x14ac:dyDescent="0.2">
      <c r="A74" s="3" t="s">
        <v>391</v>
      </c>
      <c r="B74" s="3" t="s">
        <v>58</v>
      </c>
      <c r="C74" s="3">
        <v>1</v>
      </c>
      <c r="D74" s="4">
        <v>-86</v>
      </c>
      <c r="E74" s="4">
        <v>86</v>
      </c>
    </row>
    <row r="75" spans="1:5" x14ac:dyDescent="0.2">
      <c r="A75" s="3" t="s">
        <v>81</v>
      </c>
      <c r="B75" s="3" t="s">
        <v>6</v>
      </c>
      <c r="C75" s="3">
        <v>99</v>
      </c>
      <c r="D75" s="4">
        <v>251.08</v>
      </c>
      <c r="E75" s="4">
        <v>251.08</v>
      </c>
    </row>
    <row r="76" spans="1:5" x14ac:dyDescent="0.2">
      <c r="A76" s="3" t="s">
        <v>166</v>
      </c>
      <c r="B76" s="3" t="s">
        <v>70</v>
      </c>
      <c r="C76" s="3">
        <v>1</v>
      </c>
      <c r="D76" s="4">
        <v>-73.7</v>
      </c>
      <c r="E76" s="4">
        <v>73.7</v>
      </c>
    </row>
    <row r="77" spans="1:5" x14ac:dyDescent="0.2">
      <c r="A77" s="3" t="s">
        <v>873</v>
      </c>
      <c r="B77" s="3" t="s">
        <v>70</v>
      </c>
      <c r="C77" s="3">
        <v>1</v>
      </c>
      <c r="D77" s="4">
        <v>-171.5</v>
      </c>
      <c r="E77" s="4">
        <v>171.5</v>
      </c>
    </row>
    <row r="78" spans="1:5" x14ac:dyDescent="0.2">
      <c r="A78" s="3" t="s">
        <v>875</v>
      </c>
      <c r="B78" s="3" t="s">
        <v>667</v>
      </c>
      <c r="C78" s="3">
        <v>1</v>
      </c>
      <c r="D78" s="4">
        <v>-40</v>
      </c>
      <c r="E78" s="4">
        <v>40</v>
      </c>
    </row>
    <row r="79" spans="1:5" x14ac:dyDescent="0.2">
      <c r="A79" s="3" t="s">
        <v>928</v>
      </c>
      <c r="B79" s="3" t="s">
        <v>312</v>
      </c>
      <c r="C79" s="3">
        <v>1</v>
      </c>
      <c r="D79" s="4">
        <v>-7.62</v>
      </c>
      <c r="E79" s="4">
        <v>7.62</v>
      </c>
    </row>
    <row r="80" spans="1:5" x14ac:dyDescent="0.2">
      <c r="A80" s="3" t="s">
        <v>814</v>
      </c>
      <c r="B80" s="3" t="s">
        <v>178</v>
      </c>
      <c r="C80" s="3">
        <v>1</v>
      </c>
      <c r="D80" s="4">
        <v>-140</v>
      </c>
      <c r="E80" s="4">
        <v>140</v>
      </c>
    </row>
    <row r="81" spans="1:5" x14ac:dyDescent="0.2">
      <c r="A81" s="3" t="s">
        <v>330</v>
      </c>
      <c r="B81" s="3" t="s">
        <v>70</v>
      </c>
      <c r="C81" s="3">
        <v>4</v>
      </c>
      <c r="D81" s="4">
        <v>-230.1</v>
      </c>
      <c r="E81" s="4">
        <v>230.1</v>
      </c>
    </row>
    <row r="82" spans="1:5" x14ac:dyDescent="0.2">
      <c r="A82" s="3" t="s">
        <v>511</v>
      </c>
      <c r="B82" s="3" t="s">
        <v>58</v>
      </c>
      <c r="C82" s="3">
        <v>1</v>
      </c>
      <c r="D82" s="4">
        <v>-1200</v>
      </c>
      <c r="E82" s="4">
        <v>1200</v>
      </c>
    </row>
    <row r="83" spans="1:5" x14ac:dyDescent="0.2">
      <c r="A83" s="3" t="s">
        <v>719</v>
      </c>
      <c r="B83" s="3" t="s">
        <v>405</v>
      </c>
      <c r="C83" s="3">
        <v>5</v>
      </c>
      <c r="D83" s="4">
        <v>-368.38</v>
      </c>
      <c r="E83" s="4">
        <v>368.38</v>
      </c>
    </row>
    <row r="84" spans="1:5" x14ac:dyDescent="0.2">
      <c r="A84" s="3" t="s">
        <v>235</v>
      </c>
      <c r="B84" s="3" t="s">
        <v>237</v>
      </c>
      <c r="C84" s="3">
        <v>4</v>
      </c>
      <c r="D84" s="4">
        <v>-387.96</v>
      </c>
      <c r="E84" s="4">
        <v>387.96</v>
      </c>
    </row>
    <row r="85" spans="1:5" x14ac:dyDescent="0.2">
      <c r="A85" s="3" t="s">
        <v>295</v>
      </c>
      <c r="B85" s="3" t="s">
        <v>297</v>
      </c>
      <c r="C85" s="3">
        <v>1</v>
      </c>
      <c r="D85" s="4">
        <v>-130.91</v>
      </c>
      <c r="E85" s="4">
        <v>130.91</v>
      </c>
    </row>
    <row r="86" spans="1:5" x14ac:dyDescent="0.2">
      <c r="A86" s="3" t="s">
        <v>844</v>
      </c>
      <c r="B86" s="3" t="s">
        <v>297</v>
      </c>
      <c r="C86" s="3">
        <v>1</v>
      </c>
      <c r="D86" s="4">
        <v>-98.58</v>
      </c>
      <c r="E86" s="4">
        <v>98.58</v>
      </c>
    </row>
    <row r="87" spans="1:5" x14ac:dyDescent="0.2">
      <c r="A87" s="3" t="s">
        <v>108</v>
      </c>
      <c r="B87" s="3" t="s">
        <v>58</v>
      </c>
      <c r="C87" s="3">
        <v>1</v>
      </c>
      <c r="D87" s="4">
        <v>-112.27</v>
      </c>
      <c r="E87" s="4">
        <v>112.27</v>
      </c>
    </row>
    <row r="88" spans="1:5" x14ac:dyDescent="0.2">
      <c r="A88" s="3" t="s">
        <v>100</v>
      </c>
      <c r="B88" s="3" t="s">
        <v>70</v>
      </c>
      <c r="C88" s="3">
        <v>3</v>
      </c>
      <c r="D88" s="4">
        <v>-642.01</v>
      </c>
      <c r="E88" s="4">
        <v>642.01</v>
      </c>
    </row>
    <row r="89" spans="1:5" x14ac:dyDescent="0.2">
      <c r="A89" s="3" t="s">
        <v>671</v>
      </c>
      <c r="B89" s="3" t="s">
        <v>625</v>
      </c>
      <c r="C89" s="3">
        <v>1</v>
      </c>
      <c r="D89" s="4">
        <v>-413.11</v>
      </c>
      <c r="E89" s="4">
        <v>413.11</v>
      </c>
    </row>
    <row r="90" spans="1:5" x14ac:dyDescent="0.2">
      <c r="A90" s="3" t="s">
        <v>655</v>
      </c>
      <c r="B90" s="3" t="s">
        <v>58</v>
      </c>
      <c r="C90" s="3">
        <v>1</v>
      </c>
      <c r="D90" s="4">
        <v>-9.19</v>
      </c>
      <c r="E90" s="4">
        <v>9.19</v>
      </c>
    </row>
    <row r="91" spans="1:5" x14ac:dyDescent="0.2">
      <c r="A91" s="3" t="s">
        <v>361</v>
      </c>
      <c r="B91" s="3" t="s">
        <v>359</v>
      </c>
      <c r="C91" s="3">
        <v>1</v>
      </c>
      <c r="D91" s="4">
        <v>-1342.74</v>
      </c>
      <c r="E91" s="4">
        <v>1342.74</v>
      </c>
    </row>
    <row r="92" spans="1:5" x14ac:dyDescent="0.2">
      <c r="A92" s="3" t="s">
        <v>334</v>
      </c>
      <c r="B92" s="3" t="s">
        <v>70</v>
      </c>
      <c r="C92" s="3">
        <v>2</v>
      </c>
      <c r="D92" s="4">
        <v>-555.01</v>
      </c>
      <c r="E92" s="4">
        <v>555.01</v>
      </c>
    </row>
    <row r="93" spans="1:5" x14ac:dyDescent="0.2">
      <c r="A93" s="3" t="s">
        <v>613</v>
      </c>
      <c r="B93" s="3" t="s">
        <v>248</v>
      </c>
      <c r="C93" s="3">
        <v>1</v>
      </c>
      <c r="D93" s="4">
        <v>3700</v>
      </c>
      <c r="E93" s="4">
        <v>3700</v>
      </c>
    </row>
    <row r="94" spans="1:5" x14ac:dyDescent="0.2">
      <c r="A94" s="3" t="s">
        <v>225</v>
      </c>
      <c r="B94" s="3" t="s">
        <v>112</v>
      </c>
      <c r="C94" s="3">
        <v>2</v>
      </c>
      <c r="D94" s="4">
        <v>-144.99</v>
      </c>
      <c r="E94" s="4">
        <v>144.99</v>
      </c>
    </row>
    <row r="95" spans="1:5" x14ac:dyDescent="0.2">
      <c r="A95" s="3" t="s">
        <v>693</v>
      </c>
      <c r="B95" s="3" t="s">
        <v>58</v>
      </c>
      <c r="C95" s="3">
        <v>3</v>
      </c>
      <c r="D95" s="4">
        <v>-278</v>
      </c>
      <c r="E95" s="4">
        <v>278</v>
      </c>
    </row>
    <row r="96" spans="1:5" x14ac:dyDescent="0.2">
      <c r="A96" s="3" t="s">
        <v>152</v>
      </c>
      <c r="B96" s="3" t="s">
        <v>150</v>
      </c>
      <c r="C96" s="3">
        <v>3</v>
      </c>
      <c r="D96" s="4">
        <v>-124</v>
      </c>
      <c r="E96" s="4">
        <v>124</v>
      </c>
    </row>
    <row r="97" spans="1:5" x14ac:dyDescent="0.2">
      <c r="A97" s="3" t="s">
        <v>635</v>
      </c>
      <c r="B97" s="3" t="s">
        <v>112</v>
      </c>
      <c r="C97" s="3">
        <v>2</v>
      </c>
      <c r="D97" s="4">
        <v>-336.57</v>
      </c>
      <c r="E97" s="4">
        <v>336.57</v>
      </c>
    </row>
    <row r="98" spans="1:5" x14ac:dyDescent="0.2">
      <c r="A98" s="3" t="s">
        <v>120</v>
      </c>
      <c r="B98" s="3" t="s">
        <v>58</v>
      </c>
      <c r="C98" s="3">
        <v>1</v>
      </c>
      <c r="D98" s="4">
        <v>-76.400000000000006</v>
      </c>
      <c r="E98" s="4">
        <v>76.400000000000006</v>
      </c>
    </row>
    <row r="99" spans="1:5" x14ac:dyDescent="0.2">
      <c r="A99" s="3" t="s">
        <v>904</v>
      </c>
      <c r="B99" s="3" t="s">
        <v>58</v>
      </c>
      <c r="C99" s="3">
        <v>1</v>
      </c>
      <c r="D99" s="4">
        <v>-41</v>
      </c>
      <c r="E99" s="4">
        <v>41</v>
      </c>
    </row>
    <row r="100" spans="1:5" x14ac:dyDescent="0.2">
      <c r="A100" s="3" t="s">
        <v>140</v>
      </c>
      <c r="B100" s="3" t="s">
        <v>138</v>
      </c>
      <c r="C100" s="3">
        <v>1</v>
      </c>
      <c r="D100" s="4">
        <v>-78.989999999999995</v>
      </c>
      <c r="E100" s="4">
        <v>78.989999999999995</v>
      </c>
    </row>
    <row r="101" spans="1:5" x14ac:dyDescent="0.2">
      <c r="A101" s="3" t="s">
        <v>413</v>
      </c>
      <c r="B101" s="3" t="s">
        <v>150</v>
      </c>
      <c r="C101" s="3">
        <v>1</v>
      </c>
      <c r="D101" s="4">
        <v>-85.8</v>
      </c>
      <c r="E101" s="4">
        <v>85.8</v>
      </c>
    </row>
    <row r="102" spans="1:5" x14ac:dyDescent="0.2">
      <c r="A102" s="3" t="s">
        <v>861</v>
      </c>
      <c r="B102" s="3" t="s">
        <v>85</v>
      </c>
      <c r="C102" s="3">
        <v>1</v>
      </c>
      <c r="D102" s="4">
        <v>-2106.6</v>
      </c>
      <c r="E102" s="4">
        <v>2106.6</v>
      </c>
    </row>
    <row r="103" spans="1:5" x14ac:dyDescent="0.2">
      <c r="A103" s="3" t="s">
        <v>324</v>
      </c>
      <c r="B103" s="3" t="s">
        <v>312</v>
      </c>
      <c r="C103" s="3">
        <v>1</v>
      </c>
      <c r="D103" s="4">
        <v>-494.8</v>
      </c>
      <c r="E103" s="4">
        <v>494.8</v>
      </c>
    </row>
    <row r="104" spans="1:5" x14ac:dyDescent="0.2">
      <c r="A104" s="3" t="s">
        <v>465</v>
      </c>
      <c r="B104" s="3" t="s">
        <v>58</v>
      </c>
      <c r="C104" s="3">
        <v>1</v>
      </c>
      <c r="D104" s="4">
        <v>-10</v>
      </c>
      <c r="E104" s="4">
        <v>10</v>
      </c>
    </row>
    <row r="105" spans="1:5" x14ac:dyDescent="0.2">
      <c r="A105" s="3" t="s">
        <v>541</v>
      </c>
      <c r="B105" s="3" t="s">
        <v>58</v>
      </c>
      <c r="C105" s="3">
        <v>1</v>
      </c>
      <c r="D105" s="4">
        <v>-500</v>
      </c>
      <c r="E105" s="4">
        <v>500</v>
      </c>
    </row>
    <row r="106" spans="1:5" x14ac:dyDescent="0.2">
      <c r="A106" s="3" t="s">
        <v>215</v>
      </c>
      <c r="B106" s="3" t="s">
        <v>58</v>
      </c>
      <c r="C106" s="3">
        <v>1</v>
      </c>
      <c r="D106" s="4">
        <v>-125</v>
      </c>
      <c r="E106" s="4">
        <v>125</v>
      </c>
    </row>
    <row r="107" spans="1:5" x14ac:dyDescent="0.2">
      <c r="A107" s="3" t="s">
        <v>114</v>
      </c>
      <c r="B107" s="3" t="s">
        <v>112</v>
      </c>
      <c r="C107" s="3">
        <v>2</v>
      </c>
      <c r="D107" s="4">
        <v>-319.22000000000003</v>
      </c>
      <c r="E107" s="4">
        <v>319.22000000000003</v>
      </c>
    </row>
    <row r="108" spans="1:5" x14ac:dyDescent="0.2">
      <c r="A108" s="3" t="s">
        <v>183</v>
      </c>
      <c r="B108" s="3" t="s">
        <v>58</v>
      </c>
      <c r="C108" s="3">
        <v>1</v>
      </c>
      <c r="D108" s="4">
        <v>-2085</v>
      </c>
      <c r="E108" s="4">
        <v>2085</v>
      </c>
    </row>
  </sheetData>
  <mergeCells count="2">
    <mergeCell ref="A2:H2"/>
    <mergeCell ref="A1:H1"/>
  </mergeCells>
  <pageMargins left="0.75" right="0.75" top="1" bottom="1" header="0.5" footer="0.5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2F5B84"/>
  </sheetPr>
  <dimension ref="A1:J18"/>
  <sheetViews>
    <sheetView showGridLines="0" workbookViewId="0">
      <pane ySplit="3" topLeftCell="A4" activePane="bottomLeft" state="frozen"/>
      <selection pane="bottomLeft"/>
    </sheetView>
  </sheetViews>
  <sheetFormatPr baseColWidth="10" defaultColWidth="8.83203125" defaultRowHeight="15" x14ac:dyDescent="0.2"/>
  <cols>
    <col min="1" max="1" width="28" customWidth="1"/>
    <col min="2" max="2" width="18" customWidth="1"/>
    <col min="3" max="3" width="28" customWidth="1"/>
    <col min="4" max="4" width="22" customWidth="1"/>
    <col min="5" max="5" width="25" customWidth="1"/>
  </cols>
  <sheetData>
    <row r="1" spans="1:10" ht="32" customHeight="1" x14ac:dyDescent="0.2">
      <c r="A1" s="12" t="s">
        <v>960</v>
      </c>
      <c r="B1" s="13"/>
      <c r="C1" s="13"/>
      <c r="D1" s="13"/>
      <c r="E1" s="13"/>
      <c r="F1" s="13"/>
      <c r="G1" s="13"/>
      <c r="H1" s="13"/>
      <c r="I1" s="13"/>
      <c r="J1" s="13"/>
    </row>
    <row r="2" spans="1:10" ht="22" customHeight="1" x14ac:dyDescent="0.2">
      <c r="A2" s="16" t="s">
        <v>961</v>
      </c>
      <c r="B2" s="13"/>
      <c r="C2" s="13"/>
      <c r="D2" s="13"/>
      <c r="E2" s="13"/>
      <c r="F2" s="13"/>
      <c r="G2" s="13"/>
      <c r="H2" s="13"/>
      <c r="I2" s="13"/>
      <c r="J2" s="13"/>
    </row>
    <row r="4" spans="1:10" x14ac:dyDescent="0.2">
      <c r="A4" s="2" t="s">
        <v>962</v>
      </c>
      <c r="B4" s="2" t="s">
        <v>963</v>
      </c>
      <c r="C4" s="2" t="s">
        <v>27</v>
      </c>
      <c r="D4" s="2" t="s">
        <v>29</v>
      </c>
      <c r="E4" s="2" t="s">
        <v>964</v>
      </c>
      <c r="F4" s="2" t="s">
        <v>28</v>
      </c>
      <c r="G4" s="2" t="s">
        <v>30</v>
      </c>
      <c r="H4" s="2" t="s">
        <v>965</v>
      </c>
      <c r="I4" s="2" t="s">
        <v>966</v>
      </c>
      <c r="J4" s="2" t="s">
        <v>967</v>
      </c>
    </row>
    <row r="5" spans="1:10" x14ac:dyDescent="0.2">
      <c r="A5" s="3" t="s">
        <v>36</v>
      </c>
      <c r="B5" s="4">
        <v>21155.09</v>
      </c>
      <c r="C5" s="4">
        <v>27262.06</v>
      </c>
      <c r="D5" s="4">
        <v>27262.06</v>
      </c>
      <c r="E5" s="4">
        <v>-3.637978807091713E-12</v>
      </c>
      <c r="F5" s="4">
        <v>21193.040000000001</v>
      </c>
      <c r="G5" s="4">
        <v>21193.040000000001</v>
      </c>
      <c r="H5" s="4">
        <v>0</v>
      </c>
      <c r="I5" s="4">
        <v>27224.11</v>
      </c>
      <c r="J5" s="3" t="s">
        <v>19</v>
      </c>
    </row>
    <row r="6" spans="1:10" x14ac:dyDescent="0.2">
      <c r="A6" s="3" t="s">
        <v>37</v>
      </c>
      <c r="B6" s="4">
        <v>27224.11</v>
      </c>
      <c r="C6" s="4">
        <v>17065.63</v>
      </c>
      <c r="D6" s="4">
        <v>17065.63</v>
      </c>
      <c r="E6" s="4">
        <v>-3.637978807091713E-12</v>
      </c>
      <c r="F6" s="4">
        <v>30217.29</v>
      </c>
      <c r="G6" s="4">
        <v>30217.29</v>
      </c>
      <c r="H6" s="4">
        <v>0</v>
      </c>
      <c r="I6" s="4">
        <v>14072.45</v>
      </c>
      <c r="J6" s="3" t="s">
        <v>19</v>
      </c>
    </row>
    <row r="7" spans="1:10" x14ac:dyDescent="0.2">
      <c r="A7" s="3" t="s">
        <v>38</v>
      </c>
      <c r="B7" s="4">
        <v>14072.45</v>
      </c>
      <c r="C7" s="4">
        <v>24151.040000000001</v>
      </c>
      <c r="D7" s="4">
        <v>24151.040000000001</v>
      </c>
      <c r="E7" s="4">
        <v>-3.637978807091713E-12</v>
      </c>
      <c r="F7" s="4">
        <v>14108.3</v>
      </c>
      <c r="G7" s="4">
        <v>14108.3</v>
      </c>
      <c r="H7" s="4">
        <v>0</v>
      </c>
      <c r="I7" s="4">
        <v>24115.19</v>
      </c>
      <c r="J7" s="3" t="s">
        <v>19</v>
      </c>
    </row>
    <row r="8" spans="1:10" x14ac:dyDescent="0.2">
      <c r="A8" s="3" t="s">
        <v>39</v>
      </c>
      <c r="B8" s="4">
        <v>24115.19</v>
      </c>
      <c r="C8" s="4">
        <v>11272.89</v>
      </c>
      <c r="D8" s="4">
        <v>11272.89</v>
      </c>
      <c r="E8" s="4">
        <v>0</v>
      </c>
      <c r="F8" s="4">
        <v>31069.01</v>
      </c>
      <c r="G8" s="4">
        <v>31069.01</v>
      </c>
      <c r="H8" s="4">
        <v>3.637978807091713E-12</v>
      </c>
      <c r="I8" s="4">
        <v>4319.07</v>
      </c>
      <c r="J8" s="3" t="s">
        <v>19</v>
      </c>
    </row>
    <row r="9" spans="1:10" x14ac:dyDescent="0.2">
      <c r="A9" s="3" t="s">
        <v>40</v>
      </c>
      <c r="B9" s="4">
        <v>4319.07</v>
      </c>
      <c r="C9" s="4">
        <v>25518.65</v>
      </c>
      <c r="D9" s="4">
        <v>25518.65</v>
      </c>
      <c r="E9" s="4">
        <v>0</v>
      </c>
      <c r="F9" s="4">
        <v>18000.990000000002</v>
      </c>
      <c r="G9" s="4">
        <v>18000.990000000002</v>
      </c>
      <c r="H9" s="4">
        <v>-3.637978807091713E-12</v>
      </c>
      <c r="I9" s="4">
        <v>11836.73</v>
      </c>
      <c r="J9" s="3" t="s">
        <v>19</v>
      </c>
    </row>
    <row r="11" spans="1:10" ht="19" x14ac:dyDescent="0.2">
      <c r="A11" s="1" t="s">
        <v>968</v>
      </c>
    </row>
    <row r="12" spans="1:10" x14ac:dyDescent="0.2">
      <c r="A12" s="2" t="s">
        <v>51</v>
      </c>
      <c r="B12" s="2" t="s">
        <v>26</v>
      </c>
      <c r="C12" s="2" t="s">
        <v>969</v>
      </c>
      <c r="D12" s="2" t="s">
        <v>970</v>
      </c>
      <c r="E12" s="2" t="s">
        <v>971</v>
      </c>
    </row>
    <row r="13" spans="1:10" x14ac:dyDescent="0.2">
      <c r="A13" s="3" t="s">
        <v>489</v>
      </c>
      <c r="B13" s="3" t="s">
        <v>38</v>
      </c>
      <c r="C13" s="3" t="s">
        <v>972</v>
      </c>
      <c r="D13" s="3" t="s">
        <v>973</v>
      </c>
      <c r="E13" s="3" t="s">
        <v>974</v>
      </c>
    </row>
    <row r="14" spans="1:10" x14ac:dyDescent="0.2">
      <c r="A14" s="3" t="s">
        <v>778</v>
      </c>
      <c r="B14" s="3" t="s">
        <v>40</v>
      </c>
      <c r="C14" s="3" t="s">
        <v>972</v>
      </c>
      <c r="D14" s="3" t="s">
        <v>973</v>
      </c>
      <c r="E14" s="3" t="s">
        <v>975</v>
      </c>
    </row>
    <row r="15" spans="1:10" x14ac:dyDescent="0.2">
      <c r="A15" s="3" t="s">
        <v>605</v>
      </c>
      <c r="B15" s="3" t="s">
        <v>39</v>
      </c>
      <c r="C15" s="3" t="s">
        <v>972</v>
      </c>
      <c r="D15" s="3" t="s">
        <v>973</v>
      </c>
      <c r="E15" s="3" t="s">
        <v>976</v>
      </c>
    </row>
    <row r="16" spans="1:10" x14ac:dyDescent="0.2">
      <c r="A16" s="3" t="s">
        <v>977</v>
      </c>
      <c r="B16" s="3" t="s">
        <v>38</v>
      </c>
      <c r="C16" s="3" t="s">
        <v>978</v>
      </c>
      <c r="D16" s="3" t="s">
        <v>979</v>
      </c>
      <c r="E16" s="3" t="s">
        <v>980</v>
      </c>
    </row>
    <row r="17" spans="1:5" x14ac:dyDescent="0.2">
      <c r="A17" s="3" t="s">
        <v>61</v>
      </c>
      <c r="B17" s="3" t="s">
        <v>37</v>
      </c>
      <c r="C17" s="3" t="s">
        <v>981</v>
      </c>
      <c r="D17" s="3" t="s">
        <v>973</v>
      </c>
      <c r="E17" s="3" t="s">
        <v>982</v>
      </c>
    </row>
    <row r="18" spans="1:5" x14ac:dyDescent="0.2">
      <c r="A18" s="3" t="s">
        <v>61</v>
      </c>
      <c r="B18" s="3" t="s">
        <v>36</v>
      </c>
      <c r="C18" s="3" t="s">
        <v>981</v>
      </c>
      <c r="D18" s="3" t="s">
        <v>973</v>
      </c>
      <c r="E18" s="3" t="s">
        <v>983</v>
      </c>
    </row>
  </sheetData>
  <mergeCells count="2">
    <mergeCell ref="A1:J1"/>
    <mergeCell ref="A2:J2"/>
  </mergeCells>
  <conditionalFormatting sqref="E5:E9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5:H9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  <tableParts count="2">
    <tablePart r:id="rId1"/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B8860B"/>
  </sheetPr>
  <dimension ref="A1:J52"/>
  <sheetViews>
    <sheetView showGridLines="0" workbookViewId="0">
      <pane ySplit="3" topLeftCell="A4" activePane="bottomLeft" state="frozen"/>
      <selection pane="bottomLeft"/>
    </sheetView>
  </sheetViews>
  <sheetFormatPr baseColWidth="10" defaultColWidth="8.83203125" defaultRowHeight="15" x14ac:dyDescent="0.2"/>
  <cols>
    <col min="1" max="1" width="110" customWidth="1"/>
  </cols>
  <sheetData>
    <row r="1" spans="1:10" ht="32" customHeight="1" x14ac:dyDescent="0.2">
      <c r="A1" s="12" t="s">
        <v>984</v>
      </c>
      <c r="B1" s="13"/>
      <c r="C1" s="13"/>
      <c r="D1" s="13"/>
      <c r="E1" s="13"/>
      <c r="F1" s="13"/>
      <c r="G1" s="13"/>
      <c r="H1" s="13"/>
      <c r="I1" s="13"/>
      <c r="J1" s="13"/>
    </row>
    <row r="2" spans="1:10" ht="22" customHeight="1" x14ac:dyDescent="0.2">
      <c r="A2" s="16" t="s">
        <v>985</v>
      </c>
      <c r="B2" s="13"/>
      <c r="C2" s="13"/>
      <c r="D2" s="13"/>
      <c r="E2" s="13"/>
      <c r="F2" s="13"/>
      <c r="G2" s="13"/>
      <c r="H2" s="13"/>
      <c r="I2" s="13"/>
      <c r="J2" s="13"/>
    </row>
    <row r="4" spans="1:10" ht="17" x14ac:dyDescent="0.2">
      <c r="A4" s="8" t="s">
        <v>986</v>
      </c>
    </row>
    <row r="5" spans="1:10" x14ac:dyDescent="0.2">
      <c r="A5" s="17" t="s">
        <v>987</v>
      </c>
      <c r="B5" s="13"/>
      <c r="C5" s="13"/>
      <c r="D5" s="13"/>
      <c r="E5" s="13"/>
      <c r="F5" s="13"/>
      <c r="G5" s="13"/>
      <c r="H5" s="13"/>
      <c r="I5" s="13"/>
      <c r="J5" s="13"/>
    </row>
    <row r="6" spans="1:10" x14ac:dyDescent="0.2">
      <c r="A6" s="17" t="s">
        <v>988</v>
      </c>
      <c r="B6" s="13"/>
      <c r="C6" s="13"/>
      <c r="D6" s="13"/>
      <c r="E6" s="13"/>
      <c r="F6" s="13"/>
      <c r="G6" s="13"/>
      <c r="H6" s="13"/>
      <c r="I6" s="13"/>
      <c r="J6" s="13"/>
    </row>
    <row r="7" spans="1:10" x14ac:dyDescent="0.2">
      <c r="A7" s="17" t="s">
        <v>989</v>
      </c>
      <c r="B7" s="13"/>
      <c r="C7" s="13"/>
      <c r="D7" s="13"/>
      <c r="E7" s="13"/>
      <c r="F7" s="13"/>
      <c r="G7" s="13"/>
      <c r="H7" s="13"/>
      <c r="I7" s="13"/>
      <c r="J7" s="13"/>
    </row>
    <row r="8" spans="1:10" x14ac:dyDescent="0.2">
      <c r="A8" s="17" t="s">
        <v>990</v>
      </c>
      <c r="B8" s="13"/>
      <c r="C8" s="13"/>
      <c r="D8" s="13"/>
      <c r="E8" s="13"/>
      <c r="F8" s="13"/>
      <c r="G8" s="13"/>
      <c r="H8" s="13"/>
      <c r="I8" s="13"/>
      <c r="J8" s="13"/>
    </row>
    <row r="10" spans="1:10" ht="17" x14ac:dyDescent="0.2">
      <c r="A10" s="8" t="s">
        <v>36</v>
      </c>
    </row>
    <row r="11" spans="1:10" x14ac:dyDescent="0.2">
      <c r="A11" s="17" t="s">
        <v>991</v>
      </c>
      <c r="B11" s="13"/>
      <c r="C11" s="13"/>
      <c r="D11" s="13"/>
      <c r="E11" s="13"/>
      <c r="F11" s="13"/>
      <c r="G11" s="13"/>
      <c r="H11" s="13"/>
      <c r="I11" s="13"/>
      <c r="J11" s="13"/>
    </row>
    <row r="12" spans="1:10" x14ac:dyDescent="0.2">
      <c r="A12" s="17" t="s">
        <v>992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17" t="s">
        <v>993</v>
      </c>
      <c r="B13" s="13"/>
      <c r="C13" s="13"/>
      <c r="D13" s="13"/>
      <c r="E13" s="13"/>
      <c r="F13" s="13"/>
      <c r="G13" s="13"/>
      <c r="H13" s="13"/>
      <c r="I13" s="13"/>
      <c r="J13" s="13"/>
    </row>
    <row r="14" spans="1:10" x14ac:dyDescent="0.2">
      <c r="A14" s="17" t="s">
        <v>994</v>
      </c>
      <c r="B14" s="13"/>
      <c r="C14" s="13"/>
      <c r="D14" s="13"/>
      <c r="E14" s="13"/>
      <c r="F14" s="13"/>
      <c r="G14" s="13"/>
      <c r="H14" s="13"/>
      <c r="I14" s="13"/>
      <c r="J14" s="13"/>
    </row>
    <row r="16" spans="1:10" ht="17" x14ac:dyDescent="0.2">
      <c r="A16" s="8" t="s">
        <v>37</v>
      </c>
    </row>
    <row r="17" spans="1:10" x14ac:dyDescent="0.2">
      <c r="A17" s="17" t="s">
        <v>995</v>
      </c>
      <c r="B17" s="13"/>
      <c r="C17" s="13"/>
      <c r="D17" s="13"/>
      <c r="E17" s="13"/>
      <c r="F17" s="13"/>
      <c r="G17" s="13"/>
      <c r="H17" s="13"/>
      <c r="I17" s="13"/>
      <c r="J17" s="13"/>
    </row>
    <row r="18" spans="1:10" x14ac:dyDescent="0.2">
      <c r="A18" s="17" t="s">
        <v>996</v>
      </c>
      <c r="B18" s="13"/>
      <c r="C18" s="13"/>
      <c r="D18" s="13"/>
      <c r="E18" s="13"/>
      <c r="F18" s="13"/>
      <c r="G18" s="13"/>
      <c r="H18" s="13"/>
      <c r="I18" s="13"/>
      <c r="J18" s="13"/>
    </row>
    <row r="19" spans="1:10" x14ac:dyDescent="0.2">
      <c r="A19" s="17" t="s">
        <v>997</v>
      </c>
      <c r="B19" s="13"/>
      <c r="C19" s="13"/>
      <c r="D19" s="13"/>
      <c r="E19" s="13"/>
      <c r="F19" s="13"/>
      <c r="G19" s="13"/>
      <c r="H19" s="13"/>
      <c r="I19" s="13"/>
      <c r="J19" s="13"/>
    </row>
    <row r="20" spans="1:10" x14ac:dyDescent="0.2">
      <c r="A20" s="17" t="s">
        <v>998</v>
      </c>
      <c r="B20" s="13"/>
      <c r="C20" s="13"/>
      <c r="D20" s="13"/>
      <c r="E20" s="13"/>
      <c r="F20" s="13"/>
      <c r="G20" s="13"/>
      <c r="H20" s="13"/>
      <c r="I20" s="13"/>
      <c r="J20" s="13"/>
    </row>
    <row r="22" spans="1:10" ht="17" x14ac:dyDescent="0.2">
      <c r="A22" s="8" t="s">
        <v>38</v>
      </c>
    </row>
    <row r="23" spans="1:10" x14ac:dyDescent="0.2">
      <c r="A23" s="17" t="s">
        <v>999</v>
      </c>
      <c r="B23" s="13"/>
      <c r="C23" s="13"/>
      <c r="D23" s="13"/>
      <c r="E23" s="13"/>
      <c r="F23" s="13"/>
      <c r="G23" s="13"/>
      <c r="H23" s="13"/>
      <c r="I23" s="13"/>
      <c r="J23" s="13"/>
    </row>
    <row r="24" spans="1:10" x14ac:dyDescent="0.2">
      <c r="A24" s="17" t="s">
        <v>1000</v>
      </c>
      <c r="B24" s="13"/>
      <c r="C24" s="13"/>
      <c r="D24" s="13"/>
      <c r="E24" s="13"/>
      <c r="F24" s="13"/>
      <c r="G24" s="13"/>
      <c r="H24" s="13"/>
      <c r="I24" s="13"/>
      <c r="J24" s="13"/>
    </row>
    <row r="25" spans="1:10" x14ac:dyDescent="0.2">
      <c r="A25" s="17" t="s">
        <v>1001</v>
      </c>
      <c r="B25" s="13"/>
      <c r="C25" s="13"/>
      <c r="D25" s="13"/>
      <c r="E25" s="13"/>
      <c r="F25" s="13"/>
      <c r="G25" s="13"/>
      <c r="H25" s="13"/>
      <c r="I25" s="13"/>
      <c r="J25" s="13"/>
    </row>
    <row r="26" spans="1:10" x14ac:dyDescent="0.2">
      <c r="A26" s="17" t="s">
        <v>1002</v>
      </c>
      <c r="B26" s="13"/>
      <c r="C26" s="13"/>
      <c r="D26" s="13"/>
      <c r="E26" s="13"/>
      <c r="F26" s="13"/>
      <c r="G26" s="13"/>
      <c r="H26" s="13"/>
      <c r="I26" s="13"/>
      <c r="J26" s="13"/>
    </row>
    <row r="28" spans="1:10" ht="17" x14ac:dyDescent="0.2">
      <c r="A28" s="8" t="s">
        <v>39</v>
      </c>
    </row>
    <row r="29" spans="1:10" x14ac:dyDescent="0.2">
      <c r="A29" s="17" t="s">
        <v>1003</v>
      </c>
      <c r="B29" s="13"/>
      <c r="C29" s="13"/>
      <c r="D29" s="13"/>
      <c r="E29" s="13"/>
      <c r="F29" s="13"/>
      <c r="G29" s="13"/>
      <c r="H29" s="13"/>
      <c r="I29" s="13"/>
      <c r="J29" s="13"/>
    </row>
    <row r="30" spans="1:10" x14ac:dyDescent="0.2">
      <c r="A30" s="17" t="s">
        <v>1004</v>
      </c>
      <c r="B30" s="13"/>
      <c r="C30" s="13"/>
      <c r="D30" s="13"/>
      <c r="E30" s="13"/>
      <c r="F30" s="13"/>
      <c r="G30" s="13"/>
      <c r="H30" s="13"/>
      <c r="I30" s="13"/>
      <c r="J30" s="13"/>
    </row>
    <row r="31" spans="1:10" x14ac:dyDescent="0.2">
      <c r="A31" s="17" t="s">
        <v>1005</v>
      </c>
      <c r="B31" s="13"/>
      <c r="C31" s="13"/>
      <c r="D31" s="13"/>
      <c r="E31" s="13"/>
      <c r="F31" s="13"/>
      <c r="G31" s="13"/>
      <c r="H31" s="13"/>
      <c r="I31" s="13"/>
      <c r="J31" s="13"/>
    </row>
    <row r="32" spans="1:10" x14ac:dyDescent="0.2">
      <c r="A32" s="17" t="s">
        <v>1006</v>
      </c>
      <c r="B32" s="13"/>
      <c r="C32" s="13"/>
      <c r="D32" s="13"/>
      <c r="E32" s="13"/>
      <c r="F32" s="13"/>
      <c r="G32" s="13"/>
      <c r="H32" s="13"/>
      <c r="I32" s="13"/>
      <c r="J32" s="13"/>
    </row>
    <row r="34" spans="1:10" ht="17" x14ac:dyDescent="0.2">
      <c r="A34" s="8" t="s">
        <v>40</v>
      </c>
    </row>
    <row r="35" spans="1:10" x14ac:dyDescent="0.2">
      <c r="A35" s="17" t="s">
        <v>1007</v>
      </c>
      <c r="B35" s="13"/>
      <c r="C35" s="13"/>
      <c r="D35" s="13"/>
      <c r="E35" s="13"/>
      <c r="F35" s="13"/>
      <c r="G35" s="13"/>
      <c r="H35" s="13"/>
      <c r="I35" s="13"/>
      <c r="J35" s="13"/>
    </row>
    <row r="36" spans="1:10" x14ac:dyDescent="0.2">
      <c r="A36" s="17" t="s">
        <v>1008</v>
      </c>
      <c r="B36" s="13"/>
      <c r="C36" s="13"/>
      <c r="D36" s="13"/>
      <c r="E36" s="13"/>
      <c r="F36" s="13"/>
      <c r="G36" s="13"/>
      <c r="H36" s="13"/>
      <c r="I36" s="13"/>
      <c r="J36" s="13"/>
    </row>
    <row r="37" spans="1:10" x14ac:dyDescent="0.2">
      <c r="A37" s="17" t="s">
        <v>1009</v>
      </c>
      <c r="B37" s="13"/>
      <c r="C37" s="13"/>
      <c r="D37" s="13"/>
      <c r="E37" s="13"/>
      <c r="F37" s="13"/>
      <c r="G37" s="13"/>
      <c r="H37" s="13"/>
      <c r="I37" s="13"/>
      <c r="J37" s="13"/>
    </row>
    <row r="38" spans="1:10" x14ac:dyDescent="0.2">
      <c r="A38" s="17" t="s">
        <v>1010</v>
      </c>
      <c r="B38" s="13"/>
      <c r="C38" s="13"/>
      <c r="D38" s="13"/>
      <c r="E38" s="13"/>
      <c r="F38" s="13"/>
      <c r="G38" s="13"/>
      <c r="H38" s="13"/>
      <c r="I38" s="13"/>
      <c r="J38" s="13"/>
    </row>
    <row r="39" spans="1:10" x14ac:dyDescent="0.2">
      <c r="A39" s="17" t="s">
        <v>1011</v>
      </c>
      <c r="B39" s="13"/>
      <c r="C39" s="13"/>
      <c r="D39" s="13"/>
      <c r="E39" s="13"/>
      <c r="F39" s="13"/>
      <c r="G39" s="13"/>
      <c r="H39" s="13"/>
      <c r="I39" s="13"/>
      <c r="J39" s="13"/>
    </row>
    <row r="41" spans="1:10" ht="17" x14ac:dyDescent="0.2">
      <c r="A41" s="8" t="s">
        <v>1012</v>
      </c>
    </row>
    <row r="42" spans="1:10" x14ac:dyDescent="0.2">
      <c r="A42" s="17" t="s">
        <v>1013</v>
      </c>
      <c r="B42" s="13"/>
      <c r="C42" s="13"/>
      <c r="D42" s="13"/>
      <c r="E42" s="13"/>
      <c r="F42" s="13"/>
      <c r="G42" s="13"/>
      <c r="H42" s="13"/>
      <c r="I42" s="13"/>
      <c r="J42" s="13"/>
    </row>
    <row r="43" spans="1:10" x14ac:dyDescent="0.2">
      <c r="A43" s="17" t="s">
        <v>1014</v>
      </c>
      <c r="B43" s="13"/>
      <c r="C43" s="13"/>
      <c r="D43" s="13"/>
      <c r="E43" s="13"/>
      <c r="F43" s="13"/>
      <c r="G43" s="13"/>
      <c r="H43" s="13"/>
      <c r="I43" s="13"/>
      <c r="J43" s="13"/>
    </row>
    <row r="44" spans="1:10" x14ac:dyDescent="0.2">
      <c r="A44" s="17" t="s">
        <v>1015</v>
      </c>
      <c r="B44" s="13"/>
      <c r="C44" s="13"/>
      <c r="D44" s="13"/>
      <c r="E44" s="13"/>
      <c r="F44" s="13"/>
      <c r="G44" s="13"/>
      <c r="H44" s="13"/>
      <c r="I44" s="13"/>
      <c r="J44" s="13"/>
    </row>
    <row r="45" spans="1:10" x14ac:dyDescent="0.2">
      <c r="A45" s="17" t="s">
        <v>1016</v>
      </c>
      <c r="B45" s="13"/>
      <c r="C45" s="13"/>
      <c r="D45" s="13"/>
      <c r="E45" s="13"/>
      <c r="F45" s="13"/>
      <c r="G45" s="13"/>
      <c r="H45" s="13"/>
      <c r="I45" s="13"/>
      <c r="J45" s="13"/>
    </row>
    <row r="46" spans="1:10" x14ac:dyDescent="0.2">
      <c r="A46" s="17" t="s">
        <v>1017</v>
      </c>
      <c r="B46" s="13"/>
      <c r="C46" s="13"/>
      <c r="D46" s="13"/>
      <c r="E46" s="13"/>
      <c r="F46" s="13"/>
      <c r="G46" s="13"/>
      <c r="H46" s="13"/>
      <c r="I46" s="13"/>
      <c r="J46" s="13"/>
    </row>
    <row r="47" spans="1:10" x14ac:dyDescent="0.2">
      <c r="A47" s="17" t="s">
        <v>1018</v>
      </c>
      <c r="B47" s="13"/>
      <c r="C47" s="13"/>
      <c r="D47" s="13"/>
      <c r="E47" s="13"/>
      <c r="F47" s="13"/>
      <c r="G47" s="13"/>
      <c r="H47" s="13"/>
      <c r="I47" s="13"/>
      <c r="J47" s="13"/>
    </row>
    <row r="49" spans="1:10" ht="17" x14ac:dyDescent="0.2">
      <c r="A49" s="8" t="s">
        <v>1019</v>
      </c>
    </row>
    <row r="50" spans="1:10" x14ac:dyDescent="0.2">
      <c r="A50" s="17" t="s">
        <v>1020</v>
      </c>
      <c r="B50" s="13"/>
      <c r="C50" s="13"/>
      <c r="D50" s="13"/>
      <c r="E50" s="13"/>
      <c r="F50" s="13"/>
      <c r="G50" s="13"/>
      <c r="H50" s="13"/>
      <c r="I50" s="13"/>
      <c r="J50" s="13"/>
    </row>
    <row r="51" spans="1:10" x14ac:dyDescent="0.2">
      <c r="A51" s="17" t="s">
        <v>1021</v>
      </c>
      <c r="B51" s="13"/>
      <c r="C51" s="13"/>
      <c r="D51" s="13"/>
      <c r="E51" s="13"/>
      <c r="F51" s="13"/>
      <c r="G51" s="13"/>
      <c r="H51" s="13"/>
      <c r="I51" s="13"/>
      <c r="J51" s="13"/>
    </row>
    <row r="52" spans="1:10" x14ac:dyDescent="0.2">
      <c r="A52" s="17" t="s">
        <v>1022</v>
      </c>
      <c r="B52" s="13"/>
      <c r="C52" s="13"/>
      <c r="D52" s="13"/>
      <c r="E52" s="13"/>
      <c r="F52" s="13"/>
      <c r="G52" s="13"/>
      <c r="H52" s="13"/>
      <c r="I52" s="13"/>
      <c r="J52" s="13"/>
    </row>
  </sheetData>
  <mergeCells count="36">
    <mergeCell ref="A1:J1"/>
    <mergeCell ref="A45:J45"/>
    <mergeCell ref="A36:J36"/>
    <mergeCell ref="A6:J6"/>
    <mergeCell ref="A7:J7"/>
    <mergeCell ref="A25:J25"/>
    <mergeCell ref="A37:J37"/>
    <mergeCell ref="A18:J18"/>
    <mergeCell ref="A12:J12"/>
    <mergeCell ref="A26:J26"/>
    <mergeCell ref="A2:J2"/>
    <mergeCell ref="A42:J42"/>
    <mergeCell ref="A52:J52"/>
    <mergeCell ref="A19:J19"/>
    <mergeCell ref="A13:J13"/>
    <mergeCell ref="A44:J44"/>
    <mergeCell ref="A31:J31"/>
    <mergeCell ref="A30:J30"/>
    <mergeCell ref="A39:J39"/>
    <mergeCell ref="A24:J24"/>
    <mergeCell ref="A51:J51"/>
    <mergeCell ref="A46:J46"/>
    <mergeCell ref="A50:J50"/>
    <mergeCell ref="A47:J47"/>
    <mergeCell ref="A5:J5"/>
    <mergeCell ref="A23:J23"/>
    <mergeCell ref="A32:J32"/>
    <mergeCell ref="A8:J8"/>
    <mergeCell ref="A14:J14"/>
    <mergeCell ref="A17:J17"/>
    <mergeCell ref="A29:J29"/>
    <mergeCell ref="A35:J35"/>
    <mergeCell ref="A20:J20"/>
    <mergeCell ref="A38:J38"/>
    <mergeCell ref="A43:J43"/>
    <mergeCell ref="A11:J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Read Me</vt:lpstr>
      <vt:lpstr>USER_GUIDE</vt:lpstr>
      <vt:lpstr>Executive Summary</vt:lpstr>
      <vt:lpstr>Trends &amp; Insights</vt:lpstr>
      <vt:lpstr>Dashboard</vt:lpstr>
      <vt:lpstr>Monthly Summary</vt:lpstr>
      <vt:lpstr>Transactions</vt:lpstr>
      <vt:lpstr>Outflow Categories</vt:lpstr>
      <vt:lpstr>Counterparties</vt:lpstr>
      <vt:lpstr>Reconciliation</vt:lpstr>
      <vt:lpstr>Analysis &amp; Chat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Mercado Pago April-August 2026 Professional Analysis</dc:title>
  <dc:subject>Consolidated transaction data, reconciliation, insights and analytical classification</dc:subject>
  <dc:creator>OpenAI</dc:creator>
  <cp:lastModifiedBy>eduardo giovannini</cp:lastModifiedBy>
  <dcterms:created xsi:type="dcterms:W3CDTF">2026-09-03T07:55:53Z</dcterms:created>
  <dcterms:modified xsi:type="dcterms:W3CDTF">2026-09-03T11:02:34Z</dcterms:modified>
</cp:coreProperties>
</file>